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swidhash/Projects/guardian/Methodology Library/Verra/Verified Carbon Standard (VCS)/VM0044 v2/resources/"/>
    </mc:Choice>
  </mc:AlternateContent>
  <xr:revisionPtr revIDLastSave="0" documentId="8_{3A2160DD-BD57-6443-90A5-3C474D4998F2}" xr6:coauthVersionLast="47" xr6:coauthVersionMax="47" xr10:uidLastSave="{00000000-0000-0000-0000-000000000000}"/>
  <bookViews>
    <workbookView xWindow="0" yWindow="660" windowWidth="29040" windowHeight="15720" firstSheet="6" activeTab="10" xr2:uid="{00000000-000D-0000-FFFF-FFFF00000000}"/>
  </bookViews>
  <sheets>
    <sheet name="Parameters" sheetId="13" r:id="rId1"/>
    <sheet name="ER Calc (by Waqar) " sheetId="14" state="hidden" r:id="rId2"/>
    <sheet name="Extended ER Calc (by Waqar) " sheetId="15" state="hidden" r:id="rId3"/>
    <sheet name="Extended ER Calc2 (Waqar)" sheetId="17" state="hidden" r:id="rId4"/>
    <sheet name="Lists" sheetId="36" r:id="rId5"/>
    <sheet name="Test Data High Tech(April 2025)" sheetId="32" r:id="rId6"/>
    <sheet name="Test Data low Tech (April 2025)" sheetId="35" r:id="rId7"/>
    <sheet name="Tool 05 Calcs" sheetId="38" r:id="rId8"/>
    <sheet name="Tool 03 Calcs" sheetId="37" r:id="rId9"/>
    <sheet name="Data input" sheetId="34" r:id="rId10"/>
    <sheet name="Sheet1" sheetId="39" r:id="rId11"/>
  </sheets>
  <definedNames>
    <definedName name="_xlnm._FilterDatabase" localSheetId="1" hidden="1">'ER Calc (by Waqar) '!$M$6:$S$44</definedName>
    <definedName name="_xlnm._FilterDatabase" localSheetId="2" hidden="1">'Extended ER Calc (by Waqar) '!$M$6:$S$77</definedName>
    <definedName name="_xlnm._FilterDatabase" localSheetId="3" hidden="1">'Extended ER Calc2 (Waqar)'!$M$6:$S$81</definedName>
    <definedName name="_xlnm._FilterDatabase" localSheetId="0" hidden="1">Parameters!$A$1:$I$41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UaPkvhHcFMibe9QiRfQFtZHQV+AtrxcsHzVmsfYvdFQ="/>
    </ext>
  </extLst>
</workbook>
</file>

<file path=xl/calcChain.xml><?xml version="1.0" encoding="utf-8"?>
<calcChain xmlns="http://schemas.openxmlformats.org/spreadsheetml/2006/main">
  <c r="K37" i="37" l="1"/>
  <c r="J89" i="38" a="1"/>
  <c r="J90" i="38" a="1"/>
  <c r="J91" i="38" a="1"/>
  <c r="J92" i="38" a="1"/>
  <c r="J93" i="38" a="1"/>
  <c r="J94" i="38" a="1"/>
  <c r="J95" i="38" a="1"/>
  <c r="J96" i="38" a="1"/>
  <c r="J97" i="38" a="1"/>
  <c r="J98" i="38" a="1"/>
  <c r="J99" i="38" a="1"/>
  <c r="J100" i="38" a="1"/>
  <c r="J101" i="38" a="1"/>
  <c r="J102" i="38" a="1"/>
  <c r="J103" i="38" a="1"/>
  <c r="J104" i="38" a="1"/>
  <c r="J105" i="38" a="1"/>
  <c r="J106" i="38" a="1"/>
  <c r="J107" i="38" a="1"/>
  <c r="J108" i="38" a="1"/>
  <c r="J109" i="38" a="1"/>
  <c r="J110" i="38" a="1"/>
  <c r="J111" i="38" a="1"/>
  <c r="J112" i="38" a="1"/>
  <c r="J113" i="38" a="1"/>
  <c r="J114" i="38" a="1"/>
  <c r="J115" i="38" a="1"/>
  <c r="J88" i="38" a="1"/>
  <c r="I89" i="38"/>
  <c r="I90" i="38"/>
  <c r="I91" i="38"/>
  <c r="I92" i="38"/>
  <c r="I93" i="38"/>
  <c r="I94" i="38"/>
  <c r="I95" i="38"/>
  <c r="I96" i="38"/>
  <c r="I97" i="38"/>
  <c r="I98" i="38"/>
  <c r="I99" i="38"/>
  <c r="I100" i="38"/>
  <c r="I101" i="38"/>
  <c r="I102" i="38"/>
  <c r="I103" i="38"/>
  <c r="I104" i="38"/>
  <c r="I105" i="38"/>
  <c r="I106" i="38"/>
  <c r="I107" i="38"/>
  <c r="I108" i="38"/>
  <c r="I109" i="38"/>
  <c r="I110" i="38"/>
  <c r="I111" i="38"/>
  <c r="I112" i="38"/>
  <c r="I113" i="38"/>
  <c r="I114" i="38"/>
  <c r="I115" i="38"/>
  <c r="I88" i="38"/>
  <c r="H89" i="38" a="1"/>
  <c r="H90" i="38" a="1"/>
  <c r="H91" i="38" a="1"/>
  <c r="H92" i="38" a="1"/>
  <c r="H93" i="38" a="1"/>
  <c r="H94" i="38" a="1"/>
  <c r="H95" i="38" a="1"/>
  <c r="H96" i="38" a="1"/>
  <c r="H97" i="38" a="1"/>
  <c r="H98" i="38" a="1"/>
  <c r="H99" i="38" a="1"/>
  <c r="H100" i="38" a="1"/>
  <c r="H101" i="38" a="1"/>
  <c r="H102" i="38" a="1"/>
  <c r="H103" i="38" a="1"/>
  <c r="H104" i="38" a="1"/>
  <c r="H105" i="38" a="1"/>
  <c r="H106" i="38" a="1"/>
  <c r="H107" i="38" a="1"/>
  <c r="H108" i="38" a="1"/>
  <c r="H109" i="38" a="1"/>
  <c r="H110" i="38" a="1"/>
  <c r="H111" i="38" a="1"/>
  <c r="H112" i="38" a="1"/>
  <c r="H113" i="38" a="1"/>
  <c r="H114" i="38" a="1"/>
  <c r="H115" i="38" a="1"/>
  <c r="H88" i="38" a="1"/>
  <c r="L368" i="37"/>
  <c r="L369" i="37"/>
  <c r="L370" i="37"/>
  <c r="L371" i="37"/>
  <c r="L372" i="37"/>
  <c r="L373" i="37"/>
  <c r="L374" i="37"/>
  <c r="L375" i="37"/>
  <c r="L376" i="37"/>
  <c r="L377" i="37"/>
  <c r="L378" i="37"/>
  <c r="L379" i="37"/>
  <c r="L380" i="37"/>
  <c r="L381" i="37"/>
  <c r="L382" i="37"/>
  <c r="L383" i="37"/>
  <c r="L384" i="37"/>
  <c r="L385" i="37"/>
  <c r="L386" i="37"/>
  <c r="L387" i="37"/>
  <c r="L388" i="37"/>
  <c r="L389" i="37"/>
  <c r="L390" i="37"/>
  <c r="L391" i="37"/>
  <c r="L392" i="37"/>
  <c r="L393" i="37"/>
  <c r="L394" i="37"/>
  <c r="L367" i="37"/>
  <c r="J394" i="37" a="1"/>
  <c r="J393" i="37" a="1"/>
  <c r="J392" i="37" a="1"/>
  <c r="J391" i="37" a="1"/>
  <c r="J390" i="37" a="1"/>
  <c r="J389" i="37" a="1"/>
  <c r="J388" i="37" a="1"/>
  <c r="J387" i="37" a="1"/>
  <c r="J386" i="37" a="1"/>
  <c r="J385" i="37" a="1"/>
  <c r="J384" i="37" a="1"/>
  <c r="J383" i="37" a="1"/>
  <c r="J382" i="37" a="1"/>
  <c r="J381" i="37" a="1"/>
  <c r="J380" i="37" a="1"/>
  <c r="J379" i="37" a="1"/>
  <c r="J378" i="37" a="1"/>
  <c r="J377" i="37" a="1"/>
  <c r="J376" i="37" a="1"/>
  <c r="J375" i="37" a="1"/>
  <c r="J374" i="37" a="1"/>
  <c r="J373" i="37" a="1"/>
  <c r="J372" i="37" a="1"/>
  <c r="J371" i="37" a="1"/>
  <c r="J370" i="37" a="1"/>
  <c r="J369" i="37" a="1"/>
  <c r="J368" i="37" a="1"/>
  <c r="J367" i="37" a="1"/>
  <c r="I394" i="37" a="1"/>
  <c r="I393" i="37" a="1"/>
  <c r="I392" i="37" a="1"/>
  <c r="I391" i="37" a="1"/>
  <c r="I390" i="37" a="1"/>
  <c r="I389" i="37" a="1"/>
  <c r="I388" i="37" a="1"/>
  <c r="I387" i="37" a="1"/>
  <c r="I386" i="37" a="1"/>
  <c r="K386" i="37" s="1"/>
  <c r="M386" i="37" s="1"/>
  <c r="I385" i="37" a="1"/>
  <c r="I384" i="37" a="1"/>
  <c r="I383" i="37" a="1"/>
  <c r="I382" i="37" a="1"/>
  <c r="I381" i="37" a="1"/>
  <c r="I380" i="37" a="1"/>
  <c r="I379" i="37" a="1"/>
  <c r="I378" i="37" a="1"/>
  <c r="I377" i="37" a="1"/>
  <c r="I376" i="37" a="1"/>
  <c r="I375" i="37" a="1"/>
  <c r="I374" i="37" a="1"/>
  <c r="K374" i="37" s="1"/>
  <c r="M374" i="37" s="1"/>
  <c r="I373" i="37" a="1"/>
  <c r="I372" i="37" a="1"/>
  <c r="I371" i="37" a="1"/>
  <c r="I370" i="37" a="1"/>
  <c r="I369" i="37" a="1"/>
  <c r="I368" i="37" a="1"/>
  <c r="I367" i="37" a="1"/>
  <c r="L333" i="37"/>
  <c r="L334" i="37"/>
  <c r="L335" i="37"/>
  <c r="L336" i="37"/>
  <c r="L337" i="37"/>
  <c r="L338" i="37"/>
  <c r="L339" i="37"/>
  <c r="L340" i="37"/>
  <c r="L341" i="37"/>
  <c r="L342" i="37"/>
  <c r="L343" i="37"/>
  <c r="L344" i="37"/>
  <c r="L345" i="37"/>
  <c r="L346" i="37"/>
  <c r="L347" i="37"/>
  <c r="L348" i="37"/>
  <c r="L349" i="37"/>
  <c r="L350" i="37"/>
  <c r="L351" i="37"/>
  <c r="L352" i="37"/>
  <c r="L353" i="37"/>
  <c r="L354" i="37"/>
  <c r="L355" i="37"/>
  <c r="L356" i="37"/>
  <c r="L357" i="37"/>
  <c r="L358" i="37"/>
  <c r="L359" i="37"/>
  <c r="L332" i="37"/>
  <c r="J333" i="37"/>
  <c r="J334" i="37"/>
  <c r="J335" i="37"/>
  <c r="J336" i="37"/>
  <c r="J337" i="37"/>
  <c r="J338" i="37"/>
  <c r="J339" i="37"/>
  <c r="J340" i="37"/>
  <c r="J341" i="37"/>
  <c r="J342" i="37"/>
  <c r="J343" i="37"/>
  <c r="J344" i="37"/>
  <c r="J345" i="37"/>
  <c r="J346" i="37"/>
  <c r="J347" i="37"/>
  <c r="J348" i="37"/>
  <c r="J349" i="37"/>
  <c r="J350" i="37"/>
  <c r="J351" i="37"/>
  <c r="J352" i="37"/>
  <c r="J353" i="37"/>
  <c r="J354" i="37"/>
  <c r="J355" i="37"/>
  <c r="J356" i="37"/>
  <c r="J357" i="37"/>
  <c r="J358" i="37"/>
  <c r="J359" i="37"/>
  <c r="J332" i="37"/>
  <c r="I359" i="37" a="1"/>
  <c r="I358" i="37" a="1"/>
  <c r="I357" i="37" a="1"/>
  <c r="I356" i="37" a="1"/>
  <c r="I355" i="37" a="1"/>
  <c r="I354" i="37" a="1"/>
  <c r="K354" i="37" s="1"/>
  <c r="M354" i="37" s="1"/>
  <c r="I353" i="37" a="1"/>
  <c r="I352" i="37" a="1"/>
  <c r="I351" i="37" a="1"/>
  <c r="I350" i="37" a="1"/>
  <c r="I349" i="37" a="1"/>
  <c r="I348" i="37" a="1"/>
  <c r="I347" i="37" a="1"/>
  <c r="I346" i="37" a="1"/>
  <c r="K346" i="37" s="1"/>
  <c r="I345" i="37" a="1"/>
  <c r="I344" i="37" a="1"/>
  <c r="I343" i="37" a="1"/>
  <c r="I342" i="37" a="1"/>
  <c r="I341" i="37" a="1"/>
  <c r="I340" i="37" a="1"/>
  <c r="I339" i="37" a="1"/>
  <c r="K339" i="37" s="1"/>
  <c r="M339" i="37" s="1"/>
  <c r="I338" i="37" a="1"/>
  <c r="K338" i="37" s="1"/>
  <c r="M338" i="37" s="1"/>
  <c r="I337" i="37" a="1"/>
  <c r="I336" i="37" a="1"/>
  <c r="I335" i="37" a="1"/>
  <c r="I334" i="37" a="1"/>
  <c r="K334" i="37" s="1"/>
  <c r="I333" i="37" a="1"/>
  <c r="I332" i="37" a="1"/>
  <c r="K295" i="37"/>
  <c r="K296" i="37"/>
  <c r="K297" i="37"/>
  <c r="K298" i="37"/>
  <c r="K299" i="37"/>
  <c r="K300" i="37"/>
  <c r="K301" i="37"/>
  <c r="K302" i="37"/>
  <c r="K303" i="37"/>
  <c r="K304" i="37"/>
  <c r="K305" i="37"/>
  <c r="K306" i="37"/>
  <c r="K307" i="37"/>
  <c r="K308" i="37"/>
  <c r="K309" i="37"/>
  <c r="K310" i="37"/>
  <c r="K311" i="37"/>
  <c r="K312" i="37"/>
  <c r="K313" i="37"/>
  <c r="K314" i="37"/>
  <c r="K315" i="37"/>
  <c r="K316" i="37"/>
  <c r="K317" i="37"/>
  <c r="K318" i="37"/>
  <c r="K319" i="37"/>
  <c r="K320" i="37"/>
  <c r="K321" i="37"/>
  <c r="K294" i="37"/>
  <c r="I295" i="37" a="1"/>
  <c r="J295" i="37" s="1"/>
  <c r="I296" i="37" a="1"/>
  <c r="J296" i="37" s="1"/>
  <c r="I297" i="37" a="1"/>
  <c r="J297" i="37" s="1"/>
  <c r="I298" i="37" a="1"/>
  <c r="J298" i="37" s="1"/>
  <c r="L298" i="37" s="1"/>
  <c r="I299" i="37" a="1"/>
  <c r="J299" i="37" s="1"/>
  <c r="I300" i="37" a="1"/>
  <c r="J300" i="37" s="1"/>
  <c r="I301" i="37" a="1"/>
  <c r="J301" i="37" s="1"/>
  <c r="I302" i="37" a="1"/>
  <c r="J302" i="37" s="1"/>
  <c r="I303" i="37" a="1"/>
  <c r="J303" i="37" s="1"/>
  <c r="I304" i="37" a="1"/>
  <c r="J304" i="37" s="1"/>
  <c r="I305" i="37" a="1"/>
  <c r="J305" i="37" s="1"/>
  <c r="I306" i="37" a="1"/>
  <c r="J306" i="37" s="1"/>
  <c r="I307" i="37" a="1"/>
  <c r="J307" i="37" s="1"/>
  <c r="I308" i="37" a="1"/>
  <c r="J308" i="37" s="1"/>
  <c r="I309" i="37" a="1"/>
  <c r="J309" i="37" s="1"/>
  <c r="I310" i="37" a="1"/>
  <c r="J310" i="37" s="1"/>
  <c r="I311" i="37" a="1"/>
  <c r="J311" i="37" s="1"/>
  <c r="I312" i="37" a="1"/>
  <c r="J312" i="37" s="1"/>
  <c r="I313" i="37" a="1"/>
  <c r="J313" i="37" s="1"/>
  <c r="I314" i="37" a="1"/>
  <c r="J314" i="37" s="1"/>
  <c r="I315" i="37" a="1"/>
  <c r="J315" i="37" s="1"/>
  <c r="I316" i="37" a="1"/>
  <c r="J316" i="37" s="1"/>
  <c r="I317" i="37" a="1"/>
  <c r="J317" i="37" s="1"/>
  <c r="L317" i="37" s="1"/>
  <c r="I318" i="37" a="1"/>
  <c r="J318" i="37" s="1"/>
  <c r="I319" i="37" a="1"/>
  <c r="J319" i="37" s="1"/>
  <c r="I320" i="37" a="1"/>
  <c r="J320" i="37" s="1"/>
  <c r="I321" i="37" a="1"/>
  <c r="J321" i="37" s="1"/>
  <c r="I294" i="37" a="1"/>
  <c r="J294" i="37" s="1"/>
  <c r="L238" i="37"/>
  <c r="I238" i="37" a="1"/>
  <c r="J238" i="37" a="1"/>
  <c r="K238" i="37" s="1"/>
  <c r="L203" i="37"/>
  <c r="I203" i="37" a="1"/>
  <c r="J203" i="37"/>
  <c r="L204" i="37"/>
  <c r="L205" i="37"/>
  <c r="L206" i="37"/>
  <c r="L207" i="37"/>
  <c r="L208" i="37"/>
  <c r="L209" i="37"/>
  <c r="L210" i="37"/>
  <c r="L211" i="37"/>
  <c r="L212" i="37"/>
  <c r="L213" i="37"/>
  <c r="L214" i="37"/>
  <c r="L215" i="37"/>
  <c r="L216" i="37"/>
  <c r="L217" i="37"/>
  <c r="L218" i="37"/>
  <c r="L219" i="37"/>
  <c r="L220" i="37"/>
  <c r="L221" i="37"/>
  <c r="L222" i="37"/>
  <c r="L223" i="37"/>
  <c r="L224" i="37"/>
  <c r="L225" i="37"/>
  <c r="L226" i="37"/>
  <c r="L227" i="37"/>
  <c r="L228" i="37"/>
  <c r="L229" i="37"/>
  <c r="L230" i="37"/>
  <c r="K168" i="37"/>
  <c r="I168" i="37" a="1"/>
  <c r="J168" i="37" s="1"/>
  <c r="L106" i="37"/>
  <c r="J107" i="37" a="1"/>
  <c r="J108" i="37" a="1"/>
  <c r="J109" i="37" a="1"/>
  <c r="J110" i="37" a="1"/>
  <c r="J111" i="37" a="1"/>
  <c r="J112" i="37" a="1"/>
  <c r="J113" i="37" a="1"/>
  <c r="J114" i="37" a="1"/>
  <c r="J115" i="37" a="1"/>
  <c r="J116" i="37" a="1"/>
  <c r="J117" i="37" a="1"/>
  <c r="J118" i="37" a="1"/>
  <c r="J119" i="37" a="1"/>
  <c r="J120" i="37" a="1"/>
  <c r="J121" i="37" a="1"/>
  <c r="J122" i="37" a="1"/>
  <c r="J123" i="37" a="1"/>
  <c r="J124" i="37" a="1"/>
  <c r="J125" i="37" a="1"/>
  <c r="J126" i="37" a="1"/>
  <c r="J127" i="37" a="1"/>
  <c r="J128" i="37" a="1"/>
  <c r="J129" i="37" a="1"/>
  <c r="J130" i="37" a="1"/>
  <c r="J131" i="37" a="1"/>
  <c r="J132" i="37" a="1"/>
  <c r="J133" i="37" a="1"/>
  <c r="J106" i="37" a="1"/>
  <c r="I107" i="37" a="1"/>
  <c r="I108" i="37" a="1"/>
  <c r="I109" i="37" a="1"/>
  <c r="I110" i="37" a="1"/>
  <c r="I111" i="37" a="1"/>
  <c r="I112" i="37" a="1"/>
  <c r="I113" i="37" a="1"/>
  <c r="I114" i="37" a="1"/>
  <c r="I115" i="37" a="1"/>
  <c r="I116" i="37" a="1"/>
  <c r="K116" i="37" s="1"/>
  <c r="I117" i="37" a="1"/>
  <c r="I118" i="37" a="1"/>
  <c r="I119" i="37" a="1"/>
  <c r="I120" i="37" a="1"/>
  <c r="I121" i="37" a="1"/>
  <c r="I122" i="37" a="1"/>
  <c r="K122" i="37" s="1"/>
  <c r="I123" i="37" a="1"/>
  <c r="I124" i="37" a="1"/>
  <c r="I125" i="37" a="1"/>
  <c r="I126" i="37" a="1"/>
  <c r="I127" i="37" a="1"/>
  <c r="I128" i="37" a="1"/>
  <c r="I129" i="37" a="1"/>
  <c r="I130" i="37" a="1"/>
  <c r="K130" i="37" s="1"/>
  <c r="I131" i="37" a="1"/>
  <c r="I132" i="37" a="1"/>
  <c r="I133" i="37" a="1"/>
  <c r="I106" i="37" a="1"/>
  <c r="L72" i="37"/>
  <c r="L73" i="37"/>
  <c r="L74" i="37"/>
  <c r="L75" i="37"/>
  <c r="L76" i="37"/>
  <c r="L77" i="37"/>
  <c r="L78" i="37"/>
  <c r="L79" i="37"/>
  <c r="L80" i="37"/>
  <c r="L81" i="37"/>
  <c r="L82" i="37"/>
  <c r="L83" i="37"/>
  <c r="L84" i="37"/>
  <c r="L85" i="37"/>
  <c r="L86" i="37"/>
  <c r="L87" i="37"/>
  <c r="L88" i="37"/>
  <c r="L89" i="37"/>
  <c r="L90" i="37"/>
  <c r="L91" i="37"/>
  <c r="L92" i="37"/>
  <c r="L93" i="37"/>
  <c r="L94" i="37"/>
  <c r="L95" i="37"/>
  <c r="L96" i="37"/>
  <c r="L97" i="37"/>
  <c r="L98" i="37"/>
  <c r="L71" i="37"/>
  <c r="L239" i="37"/>
  <c r="L240" i="37"/>
  <c r="L241" i="37"/>
  <c r="L242" i="37"/>
  <c r="L243" i="37"/>
  <c r="L244" i="37"/>
  <c r="L245" i="37"/>
  <c r="L246" i="37"/>
  <c r="L247" i="37"/>
  <c r="L248" i="37"/>
  <c r="L249" i="37"/>
  <c r="L250" i="37"/>
  <c r="L251" i="37"/>
  <c r="L252" i="37"/>
  <c r="L253" i="37"/>
  <c r="L254" i="37"/>
  <c r="L255" i="37"/>
  <c r="L256" i="37"/>
  <c r="L257" i="37"/>
  <c r="L258" i="37"/>
  <c r="L259" i="37"/>
  <c r="L260" i="37"/>
  <c r="L261" i="37"/>
  <c r="L262" i="37"/>
  <c r="L263" i="37"/>
  <c r="L264" i="37"/>
  <c r="L265" i="37"/>
  <c r="J239" i="37" a="1"/>
  <c r="J240" i="37" a="1"/>
  <c r="J241" i="37" a="1"/>
  <c r="J242" i="37" a="1"/>
  <c r="J243" i="37" a="1"/>
  <c r="J244" i="37" a="1"/>
  <c r="J245" i="37" a="1"/>
  <c r="J246" i="37" a="1"/>
  <c r="J247" i="37" a="1"/>
  <c r="J248" i="37" a="1"/>
  <c r="J249" i="37" a="1"/>
  <c r="J250" i="37" a="1"/>
  <c r="J251" i="37" a="1"/>
  <c r="J252" i="37" a="1"/>
  <c r="J253" i="37" a="1"/>
  <c r="J254" i="37" a="1"/>
  <c r="J255" i="37" a="1"/>
  <c r="J256" i="37" a="1"/>
  <c r="J257" i="37" a="1"/>
  <c r="J258" i="37" a="1"/>
  <c r="J259" i="37" a="1"/>
  <c r="J260" i="37" a="1"/>
  <c r="J261" i="37" a="1"/>
  <c r="J262" i="37" a="1"/>
  <c r="J263" i="37" a="1"/>
  <c r="J264" i="37" a="1"/>
  <c r="J265" i="37" a="1"/>
  <c r="I239" i="37" a="1"/>
  <c r="I240" i="37" a="1"/>
  <c r="I241" i="37" a="1"/>
  <c r="I242" i="37" a="1"/>
  <c r="I243" i="37" a="1"/>
  <c r="I244" i="37" a="1"/>
  <c r="I245" i="37" a="1"/>
  <c r="I246" i="37" a="1"/>
  <c r="I247" i="37" a="1"/>
  <c r="K247" i="37" s="1"/>
  <c r="I248" i="37" a="1"/>
  <c r="I249" i="37" a="1"/>
  <c r="K249" i="37" s="1"/>
  <c r="I250" i="37" a="1"/>
  <c r="I251" i="37" a="1"/>
  <c r="I252" i="37" a="1"/>
  <c r="I253" i="37" a="1"/>
  <c r="K253" i="37" s="1"/>
  <c r="I254" i="37" a="1"/>
  <c r="I255" i="37" a="1"/>
  <c r="K255" i="37" s="1"/>
  <c r="I256" i="37" a="1"/>
  <c r="I257" i="37" a="1"/>
  <c r="I258" i="37" a="1"/>
  <c r="I259" i="37" a="1"/>
  <c r="K259" i="37" s="1"/>
  <c r="M259" i="37" s="1"/>
  <c r="I260" i="37" a="1"/>
  <c r="I261" i="37" a="1"/>
  <c r="I262" i="37" a="1"/>
  <c r="I263" i="37" a="1"/>
  <c r="I264" i="37" a="1"/>
  <c r="I265" i="37" a="1"/>
  <c r="K265" i="37" s="1"/>
  <c r="J204" i="37"/>
  <c r="J205" i="37"/>
  <c r="J206" i="37"/>
  <c r="J207" i="37"/>
  <c r="J208" i="37"/>
  <c r="J209" i="37"/>
  <c r="J210" i="37"/>
  <c r="J211" i="37"/>
  <c r="J212" i="37"/>
  <c r="J213" i="37"/>
  <c r="J214" i="37"/>
  <c r="J215" i="37"/>
  <c r="J216" i="37"/>
  <c r="J217" i="37"/>
  <c r="J218" i="37"/>
  <c r="J219" i="37"/>
  <c r="J220" i="37"/>
  <c r="J221" i="37"/>
  <c r="J222" i="37"/>
  <c r="J223" i="37"/>
  <c r="J224" i="37"/>
  <c r="J225" i="37"/>
  <c r="J226" i="37"/>
  <c r="J227" i="37"/>
  <c r="J228" i="37"/>
  <c r="J229" i="37"/>
  <c r="J230" i="37"/>
  <c r="I230" i="37" a="1"/>
  <c r="I229" i="37" a="1"/>
  <c r="I228" i="37" a="1"/>
  <c r="I227" i="37" a="1"/>
  <c r="I226" i="37" a="1"/>
  <c r="I225" i="37" a="1"/>
  <c r="I224" i="37" a="1"/>
  <c r="I223" i="37" a="1"/>
  <c r="I222" i="37" a="1"/>
  <c r="K222" i="37" s="1"/>
  <c r="I221" i="37" a="1"/>
  <c r="I220" i="37" a="1"/>
  <c r="I219" i="37" a="1"/>
  <c r="I218" i="37" a="1"/>
  <c r="I217" i="37" a="1"/>
  <c r="I216" i="37" a="1"/>
  <c r="I215" i="37" a="1"/>
  <c r="I214" i="37" a="1"/>
  <c r="I213" i="37" a="1"/>
  <c r="I212" i="37" a="1"/>
  <c r="I211" i="37" a="1"/>
  <c r="K211" i="37" s="1"/>
  <c r="I210" i="37" a="1"/>
  <c r="I209" i="37" a="1"/>
  <c r="I208" i="37" a="1"/>
  <c r="I207" i="37" a="1"/>
  <c r="I206" i="37" a="1"/>
  <c r="I205" i="37" a="1"/>
  <c r="I204" i="37" a="1"/>
  <c r="K169" i="37"/>
  <c r="K170" i="37"/>
  <c r="K171" i="37"/>
  <c r="K172" i="37"/>
  <c r="K173" i="37"/>
  <c r="K174" i="37"/>
  <c r="K175" i="37"/>
  <c r="K176" i="37"/>
  <c r="K177" i="37"/>
  <c r="K178" i="37"/>
  <c r="K179" i="37"/>
  <c r="K180" i="37"/>
  <c r="K181" i="37"/>
  <c r="K182" i="37"/>
  <c r="K183" i="37"/>
  <c r="K184" i="37"/>
  <c r="K185" i="37"/>
  <c r="K186" i="37"/>
  <c r="K187" i="37"/>
  <c r="K188" i="37"/>
  <c r="K189" i="37"/>
  <c r="K190" i="37"/>
  <c r="K191" i="37"/>
  <c r="K192" i="37"/>
  <c r="K193" i="37"/>
  <c r="K194" i="37"/>
  <c r="K195" i="37"/>
  <c r="I195" i="37" a="1"/>
  <c r="J195" i="37" s="1"/>
  <c r="I194" i="37" a="1"/>
  <c r="J194" i="37" s="1"/>
  <c r="I193" i="37" a="1"/>
  <c r="J193" i="37" s="1"/>
  <c r="I192" i="37" a="1"/>
  <c r="J192" i="37" s="1"/>
  <c r="I191" i="37" a="1"/>
  <c r="J191" i="37" s="1"/>
  <c r="I190" i="37" a="1"/>
  <c r="J190" i="37" s="1"/>
  <c r="I189" i="37" a="1"/>
  <c r="J189" i="37" s="1"/>
  <c r="I188" i="37" a="1"/>
  <c r="J188" i="37" s="1"/>
  <c r="I187" i="37" a="1"/>
  <c r="J187" i="37" s="1"/>
  <c r="I186" i="37" a="1"/>
  <c r="J186" i="37" s="1"/>
  <c r="I185" i="37" a="1"/>
  <c r="J185" i="37" s="1"/>
  <c r="I184" i="37" a="1"/>
  <c r="J184" i="37" s="1"/>
  <c r="I183" i="37" a="1"/>
  <c r="J183" i="37" s="1"/>
  <c r="I182" i="37" a="1"/>
  <c r="J182" i="37" s="1"/>
  <c r="I181" i="37" a="1"/>
  <c r="J181" i="37" s="1"/>
  <c r="I180" i="37" a="1"/>
  <c r="J180" i="37" s="1"/>
  <c r="I179" i="37" a="1"/>
  <c r="J179" i="37" s="1"/>
  <c r="L179" i="37" s="1"/>
  <c r="I178" i="37" a="1"/>
  <c r="J178" i="37" s="1"/>
  <c r="I177" i="37" a="1"/>
  <c r="J177" i="37" s="1"/>
  <c r="I176" i="37" a="1"/>
  <c r="J176" i="37" s="1"/>
  <c r="I175" i="37" a="1"/>
  <c r="J175" i="37" s="1"/>
  <c r="I174" i="37" a="1"/>
  <c r="J174" i="37" s="1"/>
  <c r="I173" i="37" a="1"/>
  <c r="J173" i="37" s="1"/>
  <c r="I172" i="37" a="1"/>
  <c r="J172" i="37" s="1"/>
  <c r="I171" i="37" a="1"/>
  <c r="J171" i="37" s="1"/>
  <c r="I170" i="37" a="1"/>
  <c r="J170" i="37" s="1"/>
  <c r="I169" i="37" a="1"/>
  <c r="J169" i="37" s="1"/>
  <c r="L107" i="37"/>
  <c r="L108" i="37"/>
  <c r="L109" i="37"/>
  <c r="L110" i="37"/>
  <c r="L111" i="37"/>
  <c r="L112" i="37"/>
  <c r="L113" i="37"/>
  <c r="L114" i="37"/>
  <c r="L115" i="37"/>
  <c r="L116" i="37"/>
  <c r="L117" i="37"/>
  <c r="L118" i="37"/>
  <c r="L119" i="37"/>
  <c r="L120" i="37"/>
  <c r="L121" i="37"/>
  <c r="L122" i="37"/>
  <c r="L123" i="37"/>
  <c r="L124" i="37"/>
  <c r="L125" i="37"/>
  <c r="L126" i="37"/>
  <c r="L127" i="37"/>
  <c r="L128" i="37"/>
  <c r="L129" i="37"/>
  <c r="L130" i="37"/>
  <c r="L131" i="37"/>
  <c r="L132" i="37"/>
  <c r="L133" i="37"/>
  <c r="J72" i="37"/>
  <c r="J73" i="37"/>
  <c r="J74" i="37"/>
  <c r="J75" i="37"/>
  <c r="J76" i="37"/>
  <c r="J77" i="37"/>
  <c r="J78" i="37"/>
  <c r="J79" i="37"/>
  <c r="J80" i="37"/>
  <c r="J81" i="37"/>
  <c r="J82" i="37"/>
  <c r="J83" i="37"/>
  <c r="J84" i="37"/>
  <c r="J85" i="37"/>
  <c r="J86" i="37"/>
  <c r="J87" i="37"/>
  <c r="J88" i="37"/>
  <c r="J89" i="37"/>
  <c r="J90" i="37"/>
  <c r="J91" i="37"/>
  <c r="J92" i="37"/>
  <c r="J93" i="37"/>
  <c r="J94" i="37"/>
  <c r="J95" i="37"/>
  <c r="J96" i="37"/>
  <c r="J97" i="37"/>
  <c r="J98" i="37"/>
  <c r="J71" i="37"/>
  <c r="I98" i="37" a="1"/>
  <c r="I97" i="37" a="1"/>
  <c r="K97" i="37" s="1"/>
  <c r="M97" i="37" s="1"/>
  <c r="I96" i="37" a="1"/>
  <c r="I95" i="37" a="1"/>
  <c r="K95" i="37" s="1"/>
  <c r="I94" i="37" a="1"/>
  <c r="I93" i="37" a="1"/>
  <c r="I92" i="37" a="1"/>
  <c r="I91" i="37" a="1"/>
  <c r="I90" i="37" a="1"/>
  <c r="I89" i="37" a="1"/>
  <c r="I88" i="37" a="1"/>
  <c r="I87" i="37" a="1"/>
  <c r="K87" i="37" s="1"/>
  <c r="I86" i="37" a="1"/>
  <c r="I85" i="37" a="1"/>
  <c r="I84" i="37" a="1"/>
  <c r="I83" i="37" a="1"/>
  <c r="I82" i="37" a="1"/>
  <c r="K82" i="37" s="1"/>
  <c r="I81" i="37" a="1"/>
  <c r="I80" i="37" a="1"/>
  <c r="I79" i="37" a="1"/>
  <c r="I78" i="37" a="1"/>
  <c r="K78" i="37" s="1"/>
  <c r="M78" i="37" s="1"/>
  <c r="I77" i="37" a="1"/>
  <c r="K77" i="37" s="1"/>
  <c r="M77" i="37" s="1"/>
  <c r="I76" i="37" a="1"/>
  <c r="I75" i="37" a="1"/>
  <c r="K75" i="37" s="1"/>
  <c r="I74" i="37" a="1"/>
  <c r="I73" i="37" a="1"/>
  <c r="K73" i="37" s="1"/>
  <c r="M73" i="37" s="1"/>
  <c r="I72" i="37" a="1"/>
  <c r="I71" i="37" a="1"/>
  <c r="K71" i="37" s="1"/>
  <c r="M71" i="37" s="1"/>
  <c r="K38" i="37"/>
  <c r="K39" i="37"/>
  <c r="K40" i="37"/>
  <c r="K41" i="37"/>
  <c r="K42" i="37"/>
  <c r="K43" i="37"/>
  <c r="K44" i="37"/>
  <c r="K45" i="37"/>
  <c r="K46" i="37"/>
  <c r="K47" i="37"/>
  <c r="K48" i="37"/>
  <c r="K49" i="37"/>
  <c r="K50" i="37"/>
  <c r="K51" i="37"/>
  <c r="K52" i="37"/>
  <c r="K53" i="37"/>
  <c r="K54" i="37"/>
  <c r="K55" i="37"/>
  <c r="K56" i="37"/>
  <c r="K57" i="37"/>
  <c r="K58" i="37"/>
  <c r="K59" i="37"/>
  <c r="K60" i="37"/>
  <c r="K61" i="37"/>
  <c r="K62" i="37"/>
  <c r="K63" i="37"/>
  <c r="K36" i="37"/>
  <c r="I63" i="37" a="1"/>
  <c r="J63" i="37" s="1"/>
  <c r="L63" i="37" s="1"/>
  <c r="I62" i="37" a="1"/>
  <c r="J62" i="37" s="1"/>
  <c r="I61" i="37" a="1"/>
  <c r="J61" i="37" s="1"/>
  <c r="I60" i="37" a="1"/>
  <c r="J60" i="37" s="1"/>
  <c r="I59" i="37" a="1"/>
  <c r="J59" i="37" s="1"/>
  <c r="L59" i="37" s="1"/>
  <c r="I58" i="37" a="1"/>
  <c r="J58" i="37" s="1"/>
  <c r="I57" i="37" a="1"/>
  <c r="J57" i="37" s="1"/>
  <c r="I56" i="37" a="1"/>
  <c r="J56" i="37" s="1"/>
  <c r="I55" i="37" a="1"/>
  <c r="J55" i="37" s="1"/>
  <c r="I54" i="37" a="1"/>
  <c r="J54" i="37" s="1"/>
  <c r="I53" i="37" a="1"/>
  <c r="J53" i="37" s="1"/>
  <c r="I52" i="37" a="1"/>
  <c r="J52" i="37" s="1"/>
  <c r="I51" i="37" a="1"/>
  <c r="J51" i="37" s="1"/>
  <c r="L51" i="37" s="1"/>
  <c r="I50" i="37" a="1"/>
  <c r="J50" i="37" s="1"/>
  <c r="I49" i="37" a="1"/>
  <c r="J49" i="37" s="1"/>
  <c r="I48" i="37" a="1"/>
  <c r="J48" i="37" s="1"/>
  <c r="I47" i="37" a="1"/>
  <c r="J47" i="37" s="1"/>
  <c r="I46" i="37" a="1"/>
  <c r="J46" i="37" s="1"/>
  <c r="I45" i="37" a="1"/>
  <c r="J45" i="37" s="1"/>
  <c r="I44" i="37" a="1"/>
  <c r="J44" i="37" s="1"/>
  <c r="L44" i="37" s="1"/>
  <c r="I43" i="37" a="1"/>
  <c r="J43" i="37" s="1"/>
  <c r="I42" i="37" a="1"/>
  <c r="J42" i="37" s="1"/>
  <c r="L42" i="37" s="1"/>
  <c r="I41" i="37" a="1"/>
  <c r="J41" i="37" s="1"/>
  <c r="I40" i="37" a="1"/>
  <c r="J40" i="37" s="1"/>
  <c r="L40" i="37" s="1"/>
  <c r="I39" i="37" a="1"/>
  <c r="J39" i="37" s="1"/>
  <c r="L39" i="37" s="1"/>
  <c r="I38" i="37" a="1"/>
  <c r="J38" i="37" s="1"/>
  <c r="I37" i="37" a="1"/>
  <c r="J37" i="37" s="1"/>
  <c r="I36" i="37" a="1"/>
  <c r="J36" i="37" s="1"/>
  <c r="J172" i="38" a="1"/>
  <c r="J171" i="38" a="1"/>
  <c r="J170" i="38" a="1"/>
  <c r="J169" i="38" a="1"/>
  <c r="J168" i="38" a="1"/>
  <c r="J167" i="38" a="1"/>
  <c r="J166" i="38" a="1"/>
  <c r="J165" i="38" a="1"/>
  <c r="J164" i="38" a="1"/>
  <c r="J163" i="38" a="1"/>
  <c r="J162" i="38" a="1"/>
  <c r="J161" i="38" a="1"/>
  <c r="J160" i="38" a="1"/>
  <c r="J159" i="38" a="1"/>
  <c r="J158" i="38" a="1"/>
  <c r="J157" i="38" a="1"/>
  <c r="J156" i="38" a="1"/>
  <c r="J155" i="38" a="1"/>
  <c r="J154" i="38" a="1"/>
  <c r="J153" i="38" a="1"/>
  <c r="J152" i="38" a="1"/>
  <c r="J151" i="38" a="1"/>
  <c r="J150" i="38" a="1"/>
  <c r="J149" i="38" a="1"/>
  <c r="J148" i="38" a="1"/>
  <c r="J147" i="38" a="1"/>
  <c r="J146" i="38" a="1"/>
  <c r="J145" i="38" a="1"/>
  <c r="H172" i="38" a="1"/>
  <c r="H171" i="38" a="1"/>
  <c r="H170" i="38" a="1"/>
  <c r="H169" i="38" a="1"/>
  <c r="H168" i="38" a="1"/>
  <c r="H167" i="38" a="1"/>
  <c r="H166" i="38" a="1"/>
  <c r="H165" i="38" a="1"/>
  <c r="H164" i="38" a="1"/>
  <c r="H163" i="38" a="1"/>
  <c r="H162" i="38" a="1"/>
  <c r="H161" i="38" a="1"/>
  <c r="H160" i="38" a="1"/>
  <c r="H159" i="38" a="1"/>
  <c r="H158" i="38" a="1"/>
  <c r="H157" i="38" a="1"/>
  <c r="H156" i="38" a="1"/>
  <c r="H155" i="38" a="1"/>
  <c r="H154" i="38" a="1"/>
  <c r="H153" i="38" a="1"/>
  <c r="H152" i="38" a="1"/>
  <c r="H151" i="38" a="1"/>
  <c r="H150" i="38" a="1"/>
  <c r="H149" i="38" a="1"/>
  <c r="H148" i="38" a="1"/>
  <c r="H147" i="38" a="1"/>
  <c r="H146" i="38" a="1"/>
  <c r="I146" i="38"/>
  <c r="I147" i="38"/>
  <c r="I148" i="38"/>
  <c r="I149" i="38"/>
  <c r="I150" i="38"/>
  <c r="I151" i="38"/>
  <c r="I152" i="38"/>
  <c r="I153" i="38"/>
  <c r="I154" i="38"/>
  <c r="I155" i="38"/>
  <c r="I156" i="38"/>
  <c r="I157" i="38"/>
  <c r="I158" i="38"/>
  <c r="K158" i="38" s="1"/>
  <c r="I159" i="38"/>
  <c r="I160" i="38"/>
  <c r="I161" i="38"/>
  <c r="I162" i="38"/>
  <c r="I163" i="38"/>
  <c r="I164" i="38"/>
  <c r="I165" i="38"/>
  <c r="I166" i="38"/>
  <c r="I167" i="38"/>
  <c r="I168" i="38"/>
  <c r="I169" i="38"/>
  <c r="I170" i="38"/>
  <c r="I171" i="38"/>
  <c r="I172" i="38"/>
  <c r="I145" i="38"/>
  <c r="H145" i="38" a="1"/>
  <c r="I294" i="35"/>
  <c r="J294" i="35"/>
  <c r="K294" i="35"/>
  <c r="L294" i="35"/>
  <c r="I295" i="35"/>
  <c r="J295" i="35"/>
  <c r="K295" i="35"/>
  <c r="L295" i="35"/>
  <c r="I296" i="35"/>
  <c r="J296" i="35"/>
  <c r="K296" i="35"/>
  <c r="L296" i="35"/>
  <c r="I297" i="35"/>
  <c r="J297" i="35"/>
  <c r="K297" i="35"/>
  <c r="L297" i="35"/>
  <c r="I298" i="35"/>
  <c r="J298" i="35"/>
  <c r="K298" i="35"/>
  <c r="L298" i="35"/>
  <c r="I299" i="35"/>
  <c r="J299" i="35"/>
  <c r="K299" i="35"/>
  <c r="L299" i="35"/>
  <c r="L293" i="35"/>
  <c r="K293" i="35"/>
  <c r="J293" i="35"/>
  <c r="I293" i="35"/>
  <c r="L240" i="32"/>
  <c r="L241" i="32"/>
  <c r="L242" i="32"/>
  <c r="L243" i="32"/>
  <c r="L244" i="32"/>
  <c r="L245" i="32"/>
  <c r="L239" i="32"/>
  <c r="K240" i="32"/>
  <c r="K241" i="32"/>
  <c r="K242" i="32"/>
  <c r="K243" i="32"/>
  <c r="K244" i="32"/>
  <c r="K245" i="32"/>
  <c r="K239" i="32"/>
  <c r="J240" i="32"/>
  <c r="J241" i="32"/>
  <c r="J242" i="32"/>
  <c r="J243" i="32"/>
  <c r="J244" i="32"/>
  <c r="J245" i="32"/>
  <c r="J239" i="32"/>
  <c r="I240" i="32"/>
  <c r="I241" i="32"/>
  <c r="I242" i="32"/>
  <c r="I243" i="32"/>
  <c r="I244" i="32"/>
  <c r="I245" i="32"/>
  <c r="I239" i="32"/>
  <c r="J54" i="38" a="1"/>
  <c r="J53" i="38" a="1"/>
  <c r="J52" i="38" a="1"/>
  <c r="J51" i="38" a="1"/>
  <c r="J50" i="38" a="1"/>
  <c r="J49" i="38" a="1"/>
  <c r="J48" i="38" a="1"/>
  <c r="J47" i="38" a="1"/>
  <c r="J46" i="38" a="1"/>
  <c r="J45" i="38" a="1"/>
  <c r="J44" i="38" a="1"/>
  <c r="J43" i="38" a="1"/>
  <c r="J42" i="38" a="1"/>
  <c r="J41" i="38" a="1"/>
  <c r="J40" i="38" a="1"/>
  <c r="J39" i="38" a="1"/>
  <c r="J38" i="38" a="1"/>
  <c r="J37" i="38" a="1"/>
  <c r="J36" i="38" a="1"/>
  <c r="J35" i="38" a="1"/>
  <c r="J34" i="38" a="1"/>
  <c r="J33" i="38" a="1"/>
  <c r="J32" i="38" a="1"/>
  <c r="J31" i="38" a="1"/>
  <c r="J30" i="38" a="1"/>
  <c r="J29" i="38" a="1"/>
  <c r="J28" i="38" a="1"/>
  <c r="J27" i="38" a="1"/>
  <c r="I28" i="38"/>
  <c r="I29" i="38"/>
  <c r="I30" i="38"/>
  <c r="I31" i="38"/>
  <c r="I32" i="38"/>
  <c r="I33" i="38"/>
  <c r="I34" i="38"/>
  <c r="I35" i="38"/>
  <c r="I36" i="38"/>
  <c r="I37" i="38"/>
  <c r="I38" i="38"/>
  <c r="I39" i="38"/>
  <c r="I40" i="38"/>
  <c r="I41" i="38"/>
  <c r="I42" i="38"/>
  <c r="I43" i="38"/>
  <c r="I44" i="38"/>
  <c r="I45" i="38"/>
  <c r="I46" i="38"/>
  <c r="I47" i="38"/>
  <c r="I48" i="38"/>
  <c r="I49" i="38"/>
  <c r="I50" i="38"/>
  <c r="I51" i="38"/>
  <c r="I52" i="38"/>
  <c r="I53" i="38"/>
  <c r="I54" i="38"/>
  <c r="I27" i="38"/>
  <c r="H54" i="38" a="1"/>
  <c r="H53" i="38" a="1"/>
  <c r="H52" i="38" a="1"/>
  <c r="H51" i="38" a="1"/>
  <c r="H50" i="38" a="1"/>
  <c r="H49" i="38" a="1"/>
  <c r="H48" i="38" a="1"/>
  <c r="H47" i="38" a="1"/>
  <c r="H46" i="38" a="1"/>
  <c r="H45" i="38" a="1"/>
  <c r="H44" i="38" a="1"/>
  <c r="H43" i="38" a="1"/>
  <c r="H42" i="38" a="1"/>
  <c r="H41" i="38" a="1"/>
  <c r="H40" i="38" a="1"/>
  <c r="H39" i="38" a="1"/>
  <c r="H38" i="38" a="1"/>
  <c r="H37" i="38" a="1"/>
  <c r="H36" i="38" a="1"/>
  <c r="H35" i="38" a="1"/>
  <c r="H34" i="38" a="1"/>
  <c r="H33" i="38" a="1"/>
  <c r="H32" i="38" a="1"/>
  <c r="H31" i="38" a="1"/>
  <c r="H30" i="38" a="1"/>
  <c r="H29" i="38" a="1"/>
  <c r="H28" i="38" a="1"/>
  <c r="H27" i="38" a="1"/>
  <c r="L194" i="37" l="1"/>
  <c r="M222" i="37"/>
  <c r="K121" i="37"/>
  <c r="K90" i="37"/>
  <c r="M90" i="37" s="1"/>
  <c r="K213" i="37"/>
  <c r="K128" i="37"/>
  <c r="L295" i="37"/>
  <c r="K359" i="37"/>
  <c r="M359" i="37" s="1"/>
  <c r="L175" i="37"/>
  <c r="L315" i="37"/>
  <c r="K384" i="37"/>
  <c r="M384" i="37" s="1"/>
  <c r="L303" i="37"/>
  <c r="K74" i="37"/>
  <c r="M74" i="37" s="1"/>
  <c r="K107" i="37"/>
  <c r="M238" i="37"/>
  <c r="K160" i="38"/>
  <c r="K133" i="37"/>
  <c r="K115" i="37"/>
  <c r="K375" i="37"/>
  <c r="M375" i="37" s="1"/>
  <c r="K120" i="37"/>
  <c r="M120" i="37" s="1"/>
  <c r="L53" i="37"/>
  <c r="K332" i="37"/>
  <c r="M332" i="37" s="1"/>
  <c r="L190" i="37"/>
  <c r="L43" i="37"/>
  <c r="K106" i="37"/>
  <c r="M106" i="37" s="1"/>
  <c r="K127" i="37"/>
  <c r="M127" i="37" s="1"/>
  <c r="K221" i="37"/>
  <c r="K243" i="37"/>
  <c r="M243" i="37" s="1"/>
  <c r="K385" i="37"/>
  <c r="M385" i="37" s="1"/>
  <c r="K242" i="37"/>
  <c r="M242" i="37" s="1"/>
  <c r="K110" i="37"/>
  <c r="M110" i="37" s="1"/>
  <c r="L55" i="37"/>
  <c r="L195" i="37"/>
  <c r="K131" i="37"/>
  <c r="K387" i="37"/>
  <c r="M387" i="37" s="1"/>
  <c r="L38" i="37"/>
  <c r="L62" i="37"/>
  <c r="K109" i="37"/>
  <c r="M109" i="37" s="1"/>
  <c r="K376" i="37"/>
  <c r="M376" i="37" s="1"/>
  <c r="K214" i="37"/>
  <c r="M214" i="37" s="1"/>
  <c r="L297" i="37"/>
  <c r="K337" i="37"/>
  <c r="M337" i="37" s="1"/>
  <c r="M346" i="37"/>
  <c r="K225" i="37"/>
  <c r="M225" i="37" s="1"/>
  <c r="L316" i="37"/>
  <c r="L307" i="37"/>
  <c r="L296" i="37"/>
  <c r="M247" i="37"/>
  <c r="L50" i="37"/>
  <c r="K86" i="37"/>
  <c r="M86" i="37" s="1"/>
  <c r="K94" i="37"/>
  <c r="M94" i="37" s="1"/>
  <c r="L60" i="37"/>
  <c r="L36" i="37"/>
  <c r="L52" i="37"/>
  <c r="K88" i="37"/>
  <c r="M88" i="37" s="1"/>
  <c r="K260" i="37"/>
  <c r="M260" i="37" s="1"/>
  <c r="M133" i="37"/>
  <c r="M131" i="37"/>
  <c r="M130" i="37"/>
  <c r="M128" i="37"/>
  <c r="M122" i="37"/>
  <c r="M121" i="37"/>
  <c r="M116" i="37"/>
  <c r="M115" i="37"/>
  <c r="M107" i="37"/>
  <c r="K129" i="37"/>
  <c r="M129" i="37" s="1"/>
  <c r="K118" i="37"/>
  <c r="M118" i="37" s="1"/>
  <c r="K117" i="37"/>
  <c r="M117" i="37" s="1"/>
  <c r="K147" i="38"/>
  <c r="K157" i="38"/>
  <c r="K170" i="38"/>
  <c r="K155" i="38"/>
  <c r="K156" i="38"/>
  <c r="K159" i="38"/>
  <c r="K169" i="38"/>
  <c r="K149" i="38"/>
  <c r="K171" i="38"/>
  <c r="L185" i="37"/>
  <c r="K119" i="37"/>
  <c r="M119" i="37" s="1"/>
  <c r="L306" i="37"/>
  <c r="L305" i="37"/>
  <c r="K146" i="38"/>
  <c r="L41" i="37"/>
  <c r="L304" i="37"/>
  <c r="K347" i="37"/>
  <c r="M347" i="37" s="1"/>
  <c r="L54" i="37"/>
  <c r="K172" i="38"/>
  <c r="L47" i="37"/>
  <c r="K85" i="37"/>
  <c r="M85" i="37" s="1"/>
  <c r="K98" i="37"/>
  <c r="M98" i="37" s="1"/>
  <c r="K168" i="38"/>
  <c r="L168" i="37"/>
  <c r="L189" i="37"/>
  <c r="K108" i="37"/>
  <c r="M108" i="37" s="1"/>
  <c r="K132" i="37"/>
  <c r="M132" i="37" s="1"/>
  <c r="K167" i="38"/>
  <c r="K161" i="38"/>
  <c r="L37" i="37"/>
  <c r="M95" i="37"/>
  <c r="K248" i="37"/>
  <c r="M248" i="37" s="1"/>
  <c r="M82" i="37"/>
  <c r="K89" i="37"/>
  <c r="M89" i="37" s="1"/>
  <c r="K209" i="37"/>
  <c r="M209" i="37" s="1"/>
  <c r="K261" i="37"/>
  <c r="M261" i="37" s="1"/>
  <c r="K123" i="37"/>
  <c r="M123" i="37" s="1"/>
  <c r="K111" i="37"/>
  <c r="M111" i="37" s="1"/>
  <c r="K145" i="38"/>
  <c r="K162" i="38"/>
  <c r="K150" i="38"/>
  <c r="K148" i="38"/>
  <c r="K76" i="37"/>
  <c r="M76" i="37" s="1"/>
  <c r="K210" i="37"/>
  <c r="K254" i="37"/>
  <c r="M254" i="37" s="1"/>
  <c r="M213" i="37"/>
  <c r="K83" i="37"/>
  <c r="M83" i="37" s="1"/>
  <c r="K96" i="37"/>
  <c r="M96" i="37" s="1"/>
  <c r="K84" i="37"/>
  <c r="M84" i="37" s="1"/>
  <c r="K126" i="37"/>
  <c r="M126" i="37" s="1"/>
  <c r="K114" i="37"/>
  <c r="M114" i="37" s="1"/>
  <c r="K91" i="37"/>
  <c r="M91" i="37" s="1"/>
  <c r="L48" i="37"/>
  <c r="L61" i="37"/>
  <c r="K72" i="37"/>
  <c r="M72" i="37" s="1"/>
  <c r="K125" i="37"/>
  <c r="M125" i="37" s="1"/>
  <c r="K113" i="37"/>
  <c r="M113" i="37" s="1"/>
  <c r="K166" i="38"/>
  <c r="K154" i="38"/>
  <c r="K79" i="37"/>
  <c r="M79" i="37" s="1"/>
  <c r="K165" i="38"/>
  <c r="K153" i="38"/>
  <c r="L49" i="37"/>
  <c r="K124" i="37"/>
  <c r="M124" i="37" s="1"/>
  <c r="K112" i="37"/>
  <c r="M112" i="37" s="1"/>
  <c r="K164" i="38"/>
  <c r="K152" i="38"/>
  <c r="L56" i="37"/>
  <c r="K163" i="38"/>
  <c r="K151" i="38"/>
  <c r="L184" i="37"/>
  <c r="K220" i="37"/>
  <c r="M220" i="37" s="1"/>
  <c r="K230" i="37"/>
  <c r="M230" i="37" s="1"/>
  <c r="K241" i="37"/>
  <c r="M241" i="37" s="1"/>
  <c r="L45" i="37"/>
  <c r="L57" i="37"/>
  <c r="K80" i="37"/>
  <c r="M80" i="37" s="1"/>
  <c r="K92" i="37"/>
  <c r="M92" i="37" s="1"/>
  <c r="L170" i="37"/>
  <c r="L46" i="37"/>
  <c r="L58" i="37"/>
  <c r="M75" i="37"/>
  <c r="K81" i="37"/>
  <c r="M81" i="37" s="1"/>
  <c r="M87" i="37"/>
  <c r="K93" i="37"/>
  <c r="M93" i="37" s="1"/>
  <c r="L171" i="37"/>
  <c r="K226" i="37"/>
  <c r="M226" i="37" s="1"/>
  <c r="K351" i="37"/>
  <c r="M351" i="37" s="1"/>
  <c r="L172" i="37"/>
  <c r="L182" i="37"/>
  <c r="K208" i="37"/>
  <c r="M208" i="37" s="1"/>
  <c r="L183" i="37"/>
  <c r="K357" i="37"/>
  <c r="M357" i="37" s="1"/>
  <c r="K345" i="37"/>
  <c r="M345" i="37" s="1"/>
  <c r="K341" i="37"/>
  <c r="M341" i="37" s="1"/>
  <c r="K350" i="37"/>
  <c r="M350" i="37" s="1"/>
  <c r="K333" i="37"/>
  <c r="M333" i="37" s="1"/>
  <c r="K392" i="37"/>
  <c r="M392" i="37" s="1"/>
  <c r="K382" i="37"/>
  <c r="M382" i="37" s="1"/>
  <c r="K393" i="37"/>
  <c r="M393" i="37" s="1"/>
  <c r="K372" i="37"/>
  <c r="M372" i="37" s="1"/>
  <c r="G284" i="37" s="1"/>
  <c r="K383" i="37"/>
  <c r="M383" i="37" s="1"/>
  <c r="L314" i="37"/>
  <c r="L294" i="37"/>
  <c r="L320" i="37"/>
  <c r="L318" i="37"/>
  <c r="L321" i="37"/>
  <c r="L302" i="37"/>
  <c r="L319" i="37"/>
  <c r="K367" i="37"/>
  <c r="M367" i="37" s="1"/>
  <c r="K379" i="37"/>
  <c r="M379" i="37" s="1"/>
  <c r="K391" i="37"/>
  <c r="M391" i="37" s="1"/>
  <c r="K373" i="37"/>
  <c r="M373" i="37" s="1"/>
  <c r="K394" i="37"/>
  <c r="M394" i="37" s="1"/>
  <c r="K355" i="37"/>
  <c r="M355" i="37" s="1"/>
  <c r="K356" i="37"/>
  <c r="M356" i="37" s="1"/>
  <c r="K348" i="37"/>
  <c r="M348" i="37" s="1"/>
  <c r="K340" i="37"/>
  <c r="M340" i="37" s="1"/>
  <c r="K349" i="37"/>
  <c r="M349" i="37" s="1"/>
  <c r="K358" i="37"/>
  <c r="M358" i="37" s="1"/>
  <c r="K342" i="37"/>
  <c r="M342" i="37" s="1"/>
  <c r="M334" i="37"/>
  <c r="K343" i="37"/>
  <c r="M343" i="37" s="1"/>
  <c r="K335" i="37"/>
  <c r="M335" i="37" s="1"/>
  <c r="K352" i="37"/>
  <c r="M352" i="37" s="1"/>
  <c r="K336" i="37"/>
  <c r="M336" i="37" s="1"/>
  <c r="K344" i="37"/>
  <c r="M344" i="37" s="1"/>
  <c r="K353" i="37"/>
  <c r="M353" i="37" s="1"/>
  <c r="L312" i="37"/>
  <c r="L311" i="37"/>
  <c r="L301" i="37"/>
  <c r="L300" i="37"/>
  <c r="L309" i="37"/>
  <c r="L299" i="37"/>
  <c r="L313" i="37"/>
  <c r="L310" i="37"/>
  <c r="L308" i="37"/>
  <c r="K264" i="37"/>
  <c r="M264" i="37" s="1"/>
  <c r="K258" i="37"/>
  <c r="M258" i="37" s="1"/>
  <c r="K252" i="37"/>
  <c r="M252" i="37" s="1"/>
  <c r="K246" i="37"/>
  <c r="M246" i="37" s="1"/>
  <c r="K240" i="37"/>
  <c r="M240" i="37" s="1"/>
  <c r="K263" i="37"/>
  <c r="M263" i="37" s="1"/>
  <c r="K257" i="37"/>
  <c r="M257" i="37" s="1"/>
  <c r="K251" i="37"/>
  <c r="M251" i="37" s="1"/>
  <c r="K245" i="37"/>
  <c r="M245" i="37" s="1"/>
  <c r="K239" i="37"/>
  <c r="M239" i="37" s="1"/>
  <c r="K262" i="37"/>
  <c r="M262" i="37" s="1"/>
  <c r="K256" i="37"/>
  <c r="M256" i="37" s="1"/>
  <c r="K250" i="37"/>
  <c r="M250" i="37" s="1"/>
  <c r="K244" i="37"/>
  <c r="M244" i="37" s="1"/>
  <c r="K212" i="37"/>
  <c r="M212" i="37" s="1"/>
  <c r="K223" i="37"/>
  <c r="M223" i="37" s="1"/>
  <c r="K204" i="37"/>
  <c r="M204" i="37" s="1"/>
  <c r="K215" i="37"/>
  <c r="M215" i="37" s="1"/>
  <c r="K224" i="37"/>
  <c r="M224" i="37" s="1"/>
  <c r="K203" i="37"/>
  <c r="M203" i="37" s="1"/>
  <c r="K207" i="37"/>
  <c r="M207" i="37" s="1"/>
  <c r="K216" i="37"/>
  <c r="M216" i="37" s="1"/>
  <c r="K217" i="37"/>
  <c r="M217" i="37" s="1"/>
  <c r="K218" i="37"/>
  <c r="M218" i="37" s="1"/>
  <c r="K227" i="37"/>
  <c r="M227" i="37" s="1"/>
  <c r="K219" i="37"/>
  <c r="M219" i="37" s="1"/>
  <c r="K228" i="37"/>
  <c r="M228" i="37" s="1"/>
  <c r="K229" i="37"/>
  <c r="M229" i="37" s="1"/>
  <c r="K205" i="37"/>
  <c r="M205" i="37" s="1"/>
  <c r="K206" i="37"/>
  <c r="M206" i="37" s="1"/>
  <c r="L174" i="37"/>
  <c r="L173" i="37"/>
  <c r="M265" i="37"/>
  <c r="L176" i="37"/>
  <c r="L193" i="37"/>
  <c r="G157" i="37" s="1"/>
  <c r="L191" i="37"/>
  <c r="M253" i="37"/>
  <c r="L192" i="37"/>
  <c r="L169" i="37"/>
  <c r="M210" i="37"/>
  <c r="L186" i="37"/>
  <c r="L178" i="37"/>
  <c r="L187" i="37"/>
  <c r="M211" i="37"/>
  <c r="M221" i="37"/>
  <c r="L180" i="37"/>
  <c r="L181" i="37"/>
  <c r="L177" i="37"/>
  <c r="L188" i="37"/>
  <c r="M255" i="37"/>
  <c r="M249" i="37"/>
  <c r="K368" i="37"/>
  <c r="M368" i="37" s="1"/>
  <c r="K378" i="37"/>
  <c r="M378" i="37" s="1"/>
  <c r="K389" i="37"/>
  <c r="M389" i="37" s="1"/>
  <c r="K369" i="37"/>
  <c r="M369" i="37" s="1"/>
  <c r="G281" i="37" s="1"/>
  <c r="K370" i="37"/>
  <c r="M370" i="37" s="1"/>
  <c r="K380" i="37"/>
  <c r="M380" i="37" s="1"/>
  <c r="K390" i="37"/>
  <c r="M390" i="37" s="1"/>
  <c r="K371" i="37"/>
  <c r="M371" i="37" s="1"/>
  <c r="K381" i="37"/>
  <c r="M381" i="37" s="1"/>
  <c r="K388" i="37"/>
  <c r="M388" i="37" s="1"/>
  <c r="K377" i="37"/>
  <c r="M377" i="37" s="1"/>
  <c r="K27" i="38"/>
  <c r="K54" i="38"/>
  <c r="K53" i="38"/>
  <c r="K52" i="38"/>
  <c r="K51" i="38"/>
  <c r="K50" i="38"/>
  <c r="K49" i="38"/>
  <c r="K48" i="38"/>
  <c r="K47" i="38"/>
  <c r="K46" i="38"/>
  <c r="K45" i="38"/>
  <c r="K44" i="38"/>
  <c r="K43" i="38"/>
  <c r="K42" i="38"/>
  <c r="K41" i="38"/>
  <c r="K40" i="38"/>
  <c r="K39" i="38"/>
  <c r="K38" i="38"/>
  <c r="K37" i="38"/>
  <c r="K36" i="38"/>
  <c r="K35" i="38"/>
  <c r="K34" i="38"/>
  <c r="K33" i="38"/>
  <c r="K32" i="38"/>
  <c r="K31" i="38"/>
  <c r="K30" i="38"/>
  <c r="K29" i="38"/>
  <c r="K28" i="38"/>
  <c r="K88" i="38"/>
  <c r="K115" i="38"/>
  <c r="K114" i="38"/>
  <c r="K113" i="38"/>
  <c r="K112" i="38"/>
  <c r="K111" i="38"/>
  <c r="K110" i="38"/>
  <c r="K109" i="38"/>
  <c r="K108" i="38"/>
  <c r="K107" i="38"/>
  <c r="K106" i="38"/>
  <c r="K105" i="38"/>
  <c r="K104" i="38"/>
  <c r="K103" i="38"/>
  <c r="K102" i="38"/>
  <c r="K101" i="38"/>
  <c r="K100" i="38"/>
  <c r="K99" i="38"/>
  <c r="K98" i="38"/>
  <c r="K97" i="38"/>
  <c r="K96" i="38"/>
  <c r="K95" i="38"/>
  <c r="K94" i="38"/>
  <c r="K93" i="38"/>
  <c r="K92" i="38"/>
  <c r="K91" i="38"/>
  <c r="K90" i="38"/>
  <c r="K89" i="38"/>
  <c r="F74" i="38" l="1"/>
  <c r="G282" i="37"/>
  <c r="G21" i="37"/>
  <c r="J130" i="32" s="1"/>
  <c r="F73" i="38"/>
  <c r="F75" i="38"/>
  <c r="G23" i="37"/>
  <c r="J132" i="35" s="1"/>
  <c r="F76" i="38"/>
  <c r="F13" i="38"/>
  <c r="F14" i="38"/>
  <c r="G280" i="37"/>
  <c r="F136" i="38"/>
  <c r="G136" i="38" s="1"/>
  <c r="F15" i="38"/>
  <c r="G285" i="37"/>
  <c r="G24" i="37"/>
  <c r="J133" i="32" s="1"/>
  <c r="F16" i="38"/>
  <c r="G27" i="37"/>
  <c r="J136" i="32" s="1"/>
  <c r="F17" i="38"/>
  <c r="G153" i="37"/>
  <c r="J215" i="35" s="1"/>
  <c r="F12" i="38"/>
  <c r="F77" i="38"/>
  <c r="G283" i="37"/>
  <c r="J205" i="32" s="1"/>
  <c r="G279" i="37"/>
  <c r="F133" i="38"/>
  <c r="G133" i="38" s="1"/>
  <c r="I204" i="32" s="1"/>
  <c r="F72" i="38"/>
  <c r="J204" i="32"/>
  <c r="J255" i="35"/>
  <c r="I207" i="32"/>
  <c r="I258" i="35"/>
  <c r="J171" i="32"/>
  <c r="J219" i="35"/>
  <c r="J130" i="35"/>
  <c r="J133" i="35"/>
  <c r="F135" i="38"/>
  <c r="G135" i="38" s="1"/>
  <c r="F130" i="38"/>
  <c r="F131" i="38"/>
  <c r="G131" i="38" s="1"/>
  <c r="F134" i="38"/>
  <c r="G134" i="38" s="1"/>
  <c r="F132" i="38"/>
  <c r="G132" i="38" s="1"/>
  <c r="F71" i="38"/>
  <c r="G159" i="37"/>
  <c r="G25" i="37"/>
  <c r="F11" i="38"/>
  <c r="G158" i="37"/>
  <c r="M99" i="37"/>
  <c r="G22" i="37"/>
  <c r="M134" i="37"/>
  <c r="G26" i="37"/>
  <c r="M231" i="37"/>
  <c r="L64" i="37"/>
  <c r="K173" i="38"/>
  <c r="G155" i="37"/>
  <c r="M360" i="37"/>
  <c r="L322" i="37"/>
  <c r="M395" i="37"/>
  <c r="G156" i="37"/>
  <c r="L196" i="37"/>
  <c r="M266" i="37"/>
  <c r="G154" i="37"/>
  <c r="K116" i="38"/>
  <c r="K55" i="38"/>
  <c r="G28" i="37" l="1"/>
  <c r="J132" i="32"/>
  <c r="J256" i="35"/>
  <c r="J136" i="35"/>
  <c r="J167" i="32"/>
  <c r="F78" i="38"/>
  <c r="I255" i="35"/>
  <c r="J202" i="32"/>
  <c r="J253" i="35"/>
  <c r="J203" i="32"/>
  <c r="J254" i="35"/>
  <c r="J201" i="32"/>
  <c r="J252" i="35"/>
  <c r="J207" i="32"/>
  <c r="J258" i="35"/>
  <c r="J206" i="32"/>
  <c r="J257" i="35"/>
  <c r="I203" i="32"/>
  <c r="I254" i="35"/>
  <c r="I205" i="32"/>
  <c r="I256" i="35"/>
  <c r="I202" i="32"/>
  <c r="I253" i="35"/>
  <c r="I206" i="32"/>
  <c r="I257" i="35"/>
  <c r="J168" i="32"/>
  <c r="J216" i="35"/>
  <c r="J170" i="32"/>
  <c r="J218" i="35"/>
  <c r="J169" i="32"/>
  <c r="J217" i="35"/>
  <c r="J135" i="32"/>
  <c r="J135" i="35"/>
  <c r="J131" i="32"/>
  <c r="J131" i="35"/>
  <c r="J172" i="32"/>
  <c r="J220" i="35"/>
  <c r="J134" i="32"/>
  <c r="J134" i="35"/>
  <c r="J173" i="32"/>
  <c r="J221" i="35"/>
  <c r="G11" i="38"/>
  <c r="I130" i="35" s="1"/>
  <c r="F18" i="38"/>
  <c r="G130" i="38"/>
  <c r="I252" i="35" s="1"/>
  <c r="F137" i="38"/>
  <c r="G72" i="38"/>
  <c r="G73" i="38"/>
  <c r="G74" i="38"/>
  <c r="G75" i="38"/>
  <c r="G76" i="38"/>
  <c r="G77" i="38"/>
  <c r="G71" i="38"/>
  <c r="I215" i="35" s="1"/>
  <c r="G12" i="38"/>
  <c r="G13" i="38"/>
  <c r="G14" i="38"/>
  <c r="G15" i="38"/>
  <c r="G16" i="38"/>
  <c r="G17" i="38"/>
  <c r="G160" i="37"/>
  <c r="G286" i="37"/>
  <c r="L199" i="35" a="1"/>
  <c r="L198" i="35" a="1"/>
  <c r="L197" i="35" a="1"/>
  <c r="L196" i="35" a="1"/>
  <c r="L195" i="35" a="1"/>
  <c r="L194" i="35" a="1"/>
  <c r="L193" i="35" a="1"/>
  <c r="L192" i="35" a="1"/>
  <c r="L191" i="35" a="1"/>
  <c r="L190" i="35" a="1"/>
  <c r="L189" i="35" a="1"/>
  <c r="L188" i="35" a="1"/>
  <c r="L187" i="35" a="1"/>
  <c r="L186" i="35" a="1"/>
  <c r="L185" i="35" a="1"/>
  <c r="L184" i="35" a="1"/>
  <c r="L183" i="35" a="1"/>
  <c r="L182" i="35" a="1"/>
  <c r="L181" i="35" a="1"/>
  <c r="L180" i="35" a="1"/>
  <c r="L179" i="35" a="1"/>
  <c r="L178" i="35" a="1"/>
  <c r="L177" i="35" a="1"/>
  <c r="L176" i="35" a="1"/>
  <c r="L175" i="35" a="1"/>
  <c r="L174" i="35" a="1"/>
  <c r="L173" i="35" a="1"/>
  <c r="L172" i="35" a="1"/>
  <c r="L171" i="35" a="1"/>
  <c r="L170" i="35" a="1"/>
  <c r="L169" i="35" a="1"/>
  <c r="L168" i="35" a="1"/>
  <c r="L167" i="35" a="1"/>
  <c r="L166" i="35" a="1"/>
  <c r="L165" i="35" a="1"/>
  <c r="L164" i="35" a="1"/>
  <c r="L163" i="35" a="1"/>
  <c r="L162" i="35" a="1"/>
  <c r="L161" i="35" a="1"/>
  <c r="L160" i="35" a="1"/>
  <c r="L159" i="35" a="1"/>
  <c r="L158" i="35" a="1"/>
  <c r="L157" i="35" a="1"/>
  <c r="L156" i="35" a="1"/>
  <c r="L155" i="35" a="1"/>
  <c r="L154" i="35" a="1"/>
  <c r="L153" i="35" a="1"/>
  <c r="L152" i="35" a="1"/>
  <c r="L151" i="35" a="1"/>
  <c r="L150" i="35" a="1"/>
  <c r="L149" i="35" a="1"/>
  <c r="L148" i="35" a="1"/>
  <c r="L147" i="35" a="1"/>
  <c r="L146" i="35" a="1"/>
  <c r="L145" i="35" a="1"/>
  <c r="L144" i="35" a="1"/>
  <c r="N40" i="35"/>
  <c r="N41" i="35"/>
  <c r="N42" i="35"/>
  <c r="N43" i="35"/>
  <c r="N44" i="35"/>
  <c r="N45" i="35"/>
  <c r="N46" i="35"/>
  <c r="N47" i="35"/>
  <c r="N48" i="35"/>
  <c r="N49" i="35"/>
  <c r="N50" i="35"/>
  <c r="N51" i="35"/>
  <c r="N52" i="35"/>
  <c r="N53" i="35"/>
  <c r="N54" i="35"/>
  <c r="N55" i="35"/>
  <c r="N56" i="35"/>
  <c r="N57" i="35"/>
  <c r="N58" i="35"/>
  <c r="N59" i="35"/>
  <c r="N60" i="35"/>
  <c r="N61" i="35"/>
  <c r="N62" i="35"/>
  <c r="N63" i="35"/>
  <c r="N64" i="35"/>
  <c r="N65" i="35"/>
  <c r="N66" i="35"/>
  <c r="N67" i="35"/>
  <c r="N68" i="35"/>
  <c r="N69" i="35"/>
  <c r="N70" i="35"/>
  <c r="N71" i="35"/>
  <c r="N72" i="35"/>
  <c r="N73" i="35"/>
  <c r="N74" i="35"/>
  <c r="N75" i="35"/>
  <c r="N76" i="35"/>
  <c r="N77" i="35"/>
  <c r="N78" i="35"/>
  <c r="N79" i="35"/>
  <c r="N80" i="35"/>
  <c r="N81" i="35"/>
  <c r="N82" i="35"/>
  <c r="N83" i="35"/>
  <c r="N84" i="35"/>
  <c r="N85" i="35"/>
  <c r="N86" i="35"/>
  <c r="N87" i="35"/>
  <c r="N88" i="35"/>
  <c r="N89" i="35"/>
  <c r="N90" i="35"/>
  <c r="N91" i="35"/>
  <c r="N92" i="35"/>
  <c r="N93" i="35"/>
  <c r="N94" i="35"/>
  <c r="N39" i="35"/>
  <c r="M94" i="35" a="1"/>
  <c r="M93" i="35" a="1"/>
  <c r="M92" i="35" a="1"/>
  <c r="M91" i="35" a="1"/>
  <c r="M90" i="35" a="1"/>
  <c r="M89" i="35" a="1"/>
  <c r="M88" i="35" a="1"/>
  <c r="M87" i="35" a="1"/>
  <c r="M86" i="35" a="1"/>
  <c r="M85" i="35" a="1"/>
  <c r="M84" i="35" a="1"/>
  <c r="M83" i="35" a="1"/>
  <c r="M82" i="35" a="1"/>
  <c r="M81" i="35" a="1"/>
  <c r="M80" i="35" a="1"/>
  <c r="M79" i="35" a="1"/>
  <c r="M78" i="35" a="1"/>
  <c r="M77" i="35" a="1"/>
  <c r="M76" i="35" a="1"/>
  <c r="M75" i="35" a="1"/>
  <c r="M74" i="35" a="1"/>
  <c r="M73" i="35" a="1"/>
  <c r="M72" i="35" a="1"/>
  <c r="M71" i="35" a="1"/>
  <c r="M70" i="35" a="1"/>
  <c r="M69" i="35" a="1"/>
  <c r="M68" i="35" a="1"/>
  <c r="M67" i="35" a="1"/>
  <c r="M66" i="35" a="1"/>
  <c r="M65" i="35" a="1"/>
  <c r="M64" i="35" a="1"/>
  <c r="M63" i="35" a="1"/>
  <c r="M62" i="35" a="1"/>
  <c r="M61" i="35" a="1"/>
  <c r="M60" i="35" a="1"/>
  <c r="M59" i="35" a="1"/>
  <c r="M58" i="35" a="1"/>
  <c r="M57" i="35" a="1"/>
  <c r="M56" i="35" a="1"/>
  <c r="M55" i="35" a="1"/>
  <c r="M54" i="35" a="1"/>
  <c r="M53" i="35" a="1"/>
  <c r="M52" i="35" a="1"/>
  <c r="M51" i="35" a="1"/>
  <c r="M50" i="35" a="1"/>
  <c r="M49" i="35" a="1"/>
  <c r="M48" i="35" a="1"/>
  <c r="M47" i="35" a="1"/>
  <c r="M46" i="35" a="1"/>
  <c r="M45" i="35" a="1"/>
  <c r="M44" i="35" a="1"/>
  <c r="M43" i="35" a="1"/>
  <c r="M42" i="35" a="1"/>
  <c r="M41" i="35" a="1"/>
  <c r="M40" i="35" a="1"/>
  <c r="M39" i="35" a="1"/>
  <c r="L40" i="35"/>
  <c r="L41" i="35"/>
  <c r="L42" i="35"/>
  <c r="L43" i="35"/>
  <c r="L44" i="35"/>
  <c r="L45" i="35"/>
  <c r="L46" i="35"/>
  <c r="L47" i="35"/>
  <c r="L48" i="35"/>
  <c r="L49" i="35"/>
  <c r="L50" i="35"/>
  <c r="L51" i="35"/>
  <c r="L52" i="35"/>
  <c r="L53" i="35"/>
  <c r="L54" i="35"/>
  <c r="L55" i="35"/>
  <c r="L56" i="35"/>
  <c r="L57" i="35"/>
  <c r="L58" i="35"/>
  <c r="L59" i="35"/>
  <c r="L60" i="35"/>
  <c r="L61" i="35"/>
  <c r="L62" i="35"/>
  <c r="L63" i="35"/>
  <c r="L64" i="35"/>
  <c r="L65" i="35"/>
  <c r="L66" i="35"/>
  <c r="L67" i="35"/>
  <c r="L68" i="35"/>
  <c r="L69" i="35"/>
  <c r="L70" i="35"/>
  <c r="L71" i="35"/>
  <c r="L72" i="35"/>
  <c r="L73" i="35"/>
  <c r="L74" i="35"/>
  <c r="L75" i="35"/>
  <c r="L76" i="35"/>
  <c r="L77" i="35"/>
  <c r="L78" i="35"/>
  <c r="L79" i="35"/>
  <c r="L80" i="35"/>
  <c r="L81" i="35"/>
  <c r="L82" i="35"/>
  <c r="L83" i="35"/>
  <c r="L84" i="35"/>
  <c r="L85" i="35"/>
  <c r="L86" i="35"/>
  <c r="L87" i="35"/>
  <c r="L88" i="35"/>
  <c r="L89" i="35"/>
  <c r="L90" i="35"/>
  <c r="L91" i="35"/>
  <c r="L92" i="35"/>
  <c r="L93" i="35"/>
  <c r="L94" i="35"/>
  <c r="L39" i="35"/>
  <c r="I10" i="35"/>
  <c r="I311" i="35" s="1"/>
  <c r="I11" i="35"/>
  <c r="I312" i="35" s="1"/>
  <c r="I12" i="35"/>
  <c r="I313" i="35" s="1"/>
  <c r="I13" i="35"/>
  <c r="I314" i="35" s="1"/>
  <c r="I14" i="35"/>
  <c r="I315" i="35" s="1"/>
  <c r="I15" i="35"/>
  <c r="I316" i="35" s="1"/>
  <c r="I9" i="35"/>
  <c r="I310" i="35" s="1"/>
  <c r="J259" i="32"/>
  <c r="J260" i="32"/>
  <c r="J261" i="32"/>
  <c r="J262" i="32"/>
  <c r="J263" i="32"/>
  <c r="J264" i="32"/>
  <c r="J258" i="32"/>
  <c r="I217" i="32"/>
  <c r="J182" i="32" s="1"/>
  <c r="I218" i="32"/>
  <c r="J183" i="32" s="1"/>
  <c r="I219" i="32"/>
  <c r="J184" i="32" s="1"/>
  <c r="I220" i="32"/>
  <c r="J185" i="32" s="1"/>
  <c r="I221" i="32"/>
  <c r="J186" i="32" s="1"/>
  <c r="I222" i="32"/>
  <c r="J187" i="32" s="1"/>
  <c r="I216" i="32"/>
  <c r="J181" i="32" s="1"/>
  <c r="I147" i="32"/>
  <c r="J111" i="32" s="1"/>
  <c r="I148" i="32"/>
  <c r="J112" i="32" s="1"/>
  <c r="I149" i="32"/>
  <c r="J113" i="32" s="1"/>
  <c r="I150" i="32"/>
  <c r="J114" i="32" s="1"/>
  <c r="I151" i="32"/>
  <c r="J115" i="32" s="1"/>
  <c r="I152" i="32"/>
  <c r="J116" i="32" s="1"/>
  <c r="I146" i="32"/>
  <c r="J110" i="32" s="1"/>
  <c r="L111" i="32"/>
  <c r="L112" i="32"/>
  <c r="L113" i="32"/>
  <c r="L114" i="32"/>
  <c r="L115" i="32"/>
  <c r="L116" i="32"/>
  <c r="L110" i="32"/>
  <c r="L116" i="35"/>
  <c r="L115" i="35"/>
  <c r="L114" i="35"/>
  <c r="L113" i="35"/>
  <c r="L112" i="35"/>
  <c r="L111" i="35"/>
  <c r="L110" i="35"/>
  <c r="N94" i="32"/>
  <c r="M94" i="32" a="1"/>
  <c r="L94" i="32"/>
  <c r="N93" i="32"/>
  <c r="M93" i="32" a="1"/>
  <c r="L93" i="32"/>
  <c r="N92" i="32"/>
  <c r="M92" i="32" a="1"/>
  <c r="L92" i="32"/>
  <c r="N91" i="32"/>
  <c r="M91" i="32" a="1"/>
  <c r="L91" i="32"/>
  <c r="N90" i="32"/>
  <c r="M90" i="32" a="1"/>
  <c r="L90" i="32"/>
  <c r="N89" i="32"/>
  <c r="M89" i="32" a="1"/>
  <c r="L89" i="32"/>
  <c r="N88" i="32"/>
  <c r="M88" i="32" a="1"/>
  <c r="L88" i="32"/>
  <c r="N87" i="32"/>
  <c r="M87" i="32" a="1"/>
  <c r="L87" i="32"/>
  <c r="N86" i="32"/>
  <c r="M86" i="32" a="1"/>
  <c r="L86" i="32"/>
  <c r="N85" i="32"/>
  <c r="M85" i="32" a="1"/>
  <c r="L85" i="32"/>
  <c r="N84" i="32"/>
  <c r="M84" i="32" a="1"/>
  <c r="L84" i="32"/>
  <c r="N83" i="32"/>
  <c r="M83" i="32" a="1"/>
  <c r="L83" i="32"/>
  <c r="N82" i="32"/>
  <c r="M82" i="32" a="1"/>
  <c r="L82" i="32"/>
  <c r="N81" i="32"/>
  <c r="M81" i="32" a="1"/>
  <c r="L81" i="32"/>
  <c r="N80" i="32"/>
  <c r="M80" i="32" a="1"/>
  <c r="L80" i="32"/>
  <c r="N79" i="32"/>
  <c r="M79" i="32" a="1"/>
  <c r="L79" i="32"/>
  <c r="N78" i="32"/>
  <c r="M78" i="32" a="1"/>
  <c r="L78" i="32"/>
  <c r="N77" i="32"/>
  <c r="M77" i="32" a="1"/>
  <c r="L77" i="32"/>
  <c r="N76" i="32"/>
  <c r="M76" i="32" a="1"/>
  <c r="L76" i="32"/>
  <c r="N75" i="32"/>
  <c r="M75" i="32" a="1"/>
  <c r="L75" i="32"/>
  <c r="N74" i="32"/>
  <c r="M74" i="32" a="1"/>
  <c r="L74" i="32"/>
  <c r="N73" i="32"/>
  <c r="M73" i="32" a="1"/>
  <c r="L73" i="32"/>
  <c r="N72" i="32"/>
  <c r="M72" i="32" a="1"/>
  <c r="L72" i="32"/>
  <c r="N71" i="32"/>
  <c r="M71" i="32" a="1"/>
  <c r="L71" i="32"/>
  <c r="N70" i="32"/>
  <c r="M70" i="32" a="1"/>
  <c r="L70" i="32"/>
  <c r="N69" i="32"/>
  <c r="M69" i="32" a="1"/>
  <c r="L69" i="32"/>
  <c r="N68" i="32"/>
  <c r="M68" i="32" a="1"/>
  <c r="L68" i="32"/>
  <c r="N67" i="32"/>
  <c r="M67" i="32" a="1"/>
  <c r="L67" i="32"/>
  <c r="N66" i="32"/>
  <c r="M66" i="32" a="1"/>
  <c r="L66" i="32"/>
  <c r="N65" i="32"/>
  <c r="M65" i="32" a="1"/>
  <c r="L65" i="32"/>
  <c r="N64" i="32"/>
  <c r="M64" i="32" a="1"/>
  <c r="L64" i="32"/>
  <c r="N63" i="32"/>
  <c r="M63" i="32" a="1"/>
  <c r="L63" i="32"/>
  <c r="N62" i="32"/>
  <c r="M62" i="32" a="1"/>
  <c r="L62" i="32"/>
  <c r="N61" i="32"/>
  <c r="M61" i="32" a="1"/>
  <c r="L61" i="32"/>
  <c r="N60" i="32"/>
  <c r="M60" i="32" a="1"/>
  <c r="L60" i="32"/>
  <c r="N59" i="32"/>
  <c r="M59" i="32" a="1"/>
  <c r="L59" i="32"/>
  <c r="N58" i="32"/>
  <c r="M58" i="32" a="1"/>
  <c r="L58" i="32"/>
  <c r="N57" i="32"/>
  <c r="M57" i="32" a="1"/>
  <c r="L57" i="32"/>
  <c r="N56" i="32"/>
  <c r="M56" i="32" a="1"/>
  <c r="L56" i="32"/>
  <c r="N55" i="32"/>
  <c r="M55" i="32" a="1"/>
  <c r="L55" i="32"/>
  <c r="N54" i="32"/>
  <c r="M54" i="32" a="1"/>
  <c r="L54" i="32"/>
  <c r="N53" i="32"/>
  <c r="M53" i="32" a="1"/>
  <c r="L53" i="32"/>
  <c r="N52" i="32"/>
  <c r="M52" i="32" a="1"/>
  <c r="L52" i="32"/>
  <c r="N51" i="32"/>
  <c r="M51" i="32" a="1"/>
  <c r="L51" i="32"/>
  <c r="N50" i="32"/>
  <c r="M50" i="32" a="1"/>
  <c r="L50" i="32"/>
  <c r="N49" i="32"/>
  <c r="M49" i="32" a="1"/>
  <c r="L49" i="32"/>
  <c r="N48" i="32"/>
  <c r="M48" i="32" a="1"/>
  <c r="L48" i="32"/>
  <c r="N47" i="32"/>
  <c r="M47" i="32" a="1"/>
  <c r="L47" i="32"/>
  <c r="N46" i="32"/>
  <c r="M46" i="32" a="1"/>
  <c r="L46" i="32"/>
  <c r="N45" i="32"/>
  <c r="M45" i="32" a="1"/>
  <c r="L45" i="32"/>
  <c r="N44" i="32"/>
  <c r="M44" i="32" a="1"/>
  <c r="L44" i="32"/>
  <c r="N43" i="32"/>
  <c r="M43" i="32" a="1"/>
  <c r="L43" i="32"/>
  <c r="N42" i="32"/>
  <c r="M42" i="32" a="1"/>
  <c r="L42" i="32"/>
  <c r="N41" i="32"/>
  <c r="M41" i="32" a="1"/>
  <c r="L41" i="32"/>
  <c r="N40" i="32"/>
  <c r="M40" i="32" a="1"/>
  <c r="L40" i="32"/>
  <c r="N39" i="32"/>
  <c r="M39" i="32" a="1"/>
  <c r="L39" i="32"/>
  <c r="I16" i="32"/>
  <c r="I264" i="32" s="1"/>
  <c r="I15" i="32"/>
  <c r="I263" i="32" s="1"/>
  <c r="I14" i="32"/>
  <c r="I262" i="32" s="1"/>
  <c r="I13" i="32"/>
  <c r="I261" i="32" s="1"/>
  <c r="I12" i="32"/>
  <c r="I260" i="32" s="1"/>
  <c r="I11" i="32"/>
  <c r="I259" i="32" s="1"/>
  <c r="I10" i="32"/>
  <c r="I258" i="32" s="1"/>
  <c r="M325" i="34"/>
  <c r="K371" i="34"/>
  <c r="K372" i="34"/>
  <c r="K373" i="34"/>
  <c r="K374" i="34"/>
  <c r="K375" i="34"/>
  <c r="K376" i="34"/>
  <c r="K377" i="34"/>
  <c r="K378" i="34"/>
  <c r="K379" i="34"/>
  <c r="K380" i="34"/>
  <c r="K381" i="34"/>
  <c r="K382" i="34"/>
  <c r="K383" i="34"/>
  <c r="K384" i="34"/>
  <c r="N145" i="35"/>
  <c r="N146" i="35"/>
  <c r="N147" i="35"/>
  <c r="N148" i="35"/>
  <c r="N149" i="35"/>
  <c r="N150" i="35"/>
  <c r="N151" i="35"/>
  <c r="N152" i="35"/>
  <c r="N153" i="35"/>
  <c r="N154" i="35"/>
  <c r="N155" i="35"/>
  <c r="N156" i="35"/>
  <c r="N157" i="35"/>
  <c r="N158" i="35"/>
  <c r="N159" i="35"/>
  <c r="N160" i="35"/>
  <c r="N161" i="35"/>
  <c r="N162" i="35"/>
  <c r="N163" i="35"/>
  <c r="N164" i="35"/>
  <c r="N165" i="35"/>
  <c r="N166" i="35"/>
  <c r="N167" i="35"/>
  <c r="N168" i="35"/>
  <c r="N169" i="35"/>
  <c r="N170" i="35"/>
  <c r="N171" i="35"/>
  <c r="N172" i="35"/>
  <c r="N173" i="35"/>
  <c r="N174" i="35"/>
  <c r="N175" i="35"/>
  <c r="N176" i="35"/>
  <c r="N177" i="35"/>
  <c r="N178" i="35"/>
  <c r="N179" i="35"/>
  <c r="N180" i="35"/>
  <c r="N181" i="35"/>
  <c r="N182" i="35"/>
  <c r="N183" i="35"/>
  <c r="N184" i="35"/>
  <c r="N185" i="35"/>
  <c r="N186" i="35"/>
  <c r="N187" i="35"/>
  <c r="N188" i="35"/>
  <c r="N189" i="35"/>
  <c r="N190" i="35"/>
  <c r="N191" i="35"/>
  <c r="N192" i="35"/>
  <c r="N193" i="35"/>
  <c r="N194" i="35"/>
  <c r="N195" i="35"/>
  <c r="N196" i="35"/>
  <c r="N197" i="35"/>
  <c r="N198" i="35"/>
  <c r="N199" i="35"/>
  <c r="N144" i="35"/>
  <c r="M172" i="35"/>
  <c r="M173" i="35"/>
  <c r="M174" i="35"/>
  <c r="M175" i="35"/>
  <c r="M176" i="35"/>
  <c r="M177" i="35"/>
  <c r="M178" i="35"/>
  <c r="M179" i="35"/>
  <c r="M180" i="35"/>
  <c r="M181" i="35"/>
  <c r="M182" i="35"/>
  <c r="M183" i="35"/>
  <c r="M184" i="35"/>
  <c r="M185" i="35"/>
  <c r="M186" i="35"/>
  <c r="M187" i="35"/>
  <c r="M188" i="35"/>
  <c r="M189" i="35"/>
  <c r="M190" i="35"/>
  <c r="M191" i="35"/>
  <c r="M192" i="35"/>
  <c r="M193" i="35"/>
  <c r="M194" i="35"/>
  <c r="M195" i="35"/>
  <c r="M196" i="35"/>
  <c r="M197" i="35"/>
  <c r="M198" i="35"/>
  <c r="M199" i="35"/>
  <c r="M145" i="35"/>
  <c r="M146" i="35"/>
  <c r="M147" i="35"/>
  <c r="M148" i="35"/>
  <c r="M149" i="35"/>
  <c r="M150" i="35"/>
  <c r="M151" i="35"/>
  <c r="M152" i="35"/>
  <c r="M153" i="35"/>
  <c r="M154" i="35"/>
  <c r="M155" i="35"/>
  <c r="M156" i="35"/>
  <c r="M157" i="35"/>
  <c r="M158" i="35"/>
  <c r="M159" i="35"/>
  <c r="M160" i="35"/>
  <c r="M161" i="35"/>
  <c r="M162" i="35"/>
  <c r="M163" i="35"/>
  <c r="M164" i="35"/>
  <c r="M165" i="35"/>
  <c r="M166" i="35"/>
  <c r="M167" i="35"/>
  <c r="M168" i="35"/>
  <c r="M169" i="35"/>
  <c r="M170" i="35"/>
  <c r="M171" i="35"/>
  <c r="M144" i="35"/>
  <c r="J316" i="35"/>
  <c r="K316" i="35" s="1"/>
  <c r="I331" i="35" s="1"/>
  <c r="J315" i="35"/>
  <c r="J314" i="35"/>
  <c r="J313" i="35"/>
  <c r="J312" i="35"/>
  <c r="J311" i="35"/>
  <c r="J310" i="35"/>
  <c r="K310" i="35" s="1"/>
  <c r="I325" i="35" s="1"/>
  <c r="I273" i="35"/>
  <c r="J235" i="35" s="1"/>
  <c r="I272" i="35"/>
  <c r="J234" i="35" s="1"/>
  <c r="I271" i="35"/>
  <c r="J233" i="35" s="1"/>
  <c r="I270" i="35"/>
  <c r="J232" i="35" s="1"/>
  <c r="I269" i="35"/>
  <c r="J231" i="35" s="1"/>
  <c r="I268" i="35"/>
  <c r="J230" i="35" s="1"/>
  <c r="I267" i="35"/>
  <c r="J229" i="35" s="1"/>
  <c r="K215" i="35"/>
  <c r="K110" i="35" s="1"/>
  <c r="K138" i="34"/>
  <c r="K137" i="34"/>
  <c r="K136" i="34"/>
  <c r="K135" i="34"/>
  <c r="K134" i="34"/>
  <c r="K133" i="34"/>
  <c r="K132" i="34"/>
  <c r="K131" i="34"/>
  <c r="K130" i="34"/>
  <c r="K129" i="34"/>
  <c r="M114" i="32" s="1"/>
  <c r="K128" i="34"/>
  <c r="K127" i="34"/>
  <c r="K126" i="34"/>
  <c r="K125" i="34"/>
  <c r="M79" i="34"/>
  <c r="AS78" i="15"/>
  <c r="AJ48" i="15"/>
  <c r="AP40" i="15"/>
  <c r="AG48" i="15"/>
  <c r="AP12" i="17"/>
  <c r="AI12" i="17"/>
  <c r="AC12" i="17"/>
  <c r="AS52" i="17"/>
  <c r="AP34" i="17"/>
  <c r="AJ43" i="17"/>
  <c r="AK43" i="17"/>
  <c r="AL43" i="17"/>
  <c r="AM43" i="17"/>
  <c r="AJ39" i="17"/>
  <c r="AK39" i="17"/>
  <c r="AL39" i="17"/>
  <c r="AM39" i="17"/>
  <c r="AK35" i="17"/>
  <c r="AJ35" i="17"/>
  <c r="AL35" i="17"/>
  <c r="AM35" i="17"/>
  <c r="AJ27" i="17"/>
  <c r="AK27" i="17"/>
  <c r="AL27" i="17"/>
  <c r="AM27" i="17"/>
  <c r="AE39" i="17"/>
  <c r="AF39" i="17"/>
  <c r="AE43" i="17"/>
  <c r="AF43" i="17"/>
  <c r="AE35" i="17"/>
  <c r="AF35" i="17"/>
  <c r="AE31" i="17"/>
  <c r="AF31" i="17"/>
  <c r="AE23" i="17"/>
  <c r="AF23" i="17"/>
  <c r="AE27" i="17"/>
  <c r="AF27" i="17"/>
  <c r="AI21" i="17"/>
  <c r="AI20" i="17"/>
  <c r="AK19" i="17"/>
  <c r="AG12" i="17"/>
  <c r="AO43" i="17"/>
  <c r="AO35" i="17"/>
  <c r="AO27" i="17"/>
  <c r="AO19" i="17"/>
  <c r="AN19" i="17"/>
  <c r="AD43" i="17"/>
  <c r="AD35" i="17"/>
  <c r="AD27" i="17"/>
  <c r="X19" i="17"/>
  <c r="AA43" i="17"/>
  <c r="Z43" i="17"/>
  <c r="AA35" i="17"/>
  <c r="Z35" i="17"/>
  <c r="AA27" i="17"/>
  <c r="Z27" i="17"/>
  <c r="AA19" i="17"/>
  <c r="Z19" i="17"/>
  <c r="W43" i="17"/>
  <c r="V43" i="17"/>
  <c r="W35" i="17"/>
  <c r="V35" i="17"/>
  <c r="W27" i="17"/>
  <c r="V27" i="17"/>
  <c r="W19" i="17"/>
  <c r="V19" i="17"/>
  <c r="AM19" i="17"/>
  <c r="AL19" i="17"/>
  <c r="AJ19" i="17"/>
  <c r="AF19" i="17"/>
  <c r="AE19" i="17"/>
  <c r="AF15" i="17"/>
  <c r="AE15" i="17"/>
  <c r="AG35" i="17"/>
  <c r="AG31" i="17"/>
  <c r="AG15" i="17"/>
  <c r="AQ79" i="17"/>
  <c r="AJ79" i="17"/>
  <c r="AL79" i="17" s="1"/>
  <c r="AA79" i="17"/>
  <c r="Z79" i="17"/>
  <c r="X79" i="17"/>
  <c r="Q79" i="17"/>
  <c r="AR79" i="17" s="1"/>
  <c r="AQ78" i="17"/>
  <c r="AJ78" i="17"/>
  <c r="AL78" i="17" s="1"/>
  <c r="AA78" i="17"/>
  <c r="AE78" i="17" s="1"/>
  <c r="Z78" i="17"/>
  <c r="Y78" i="17"/>
  <c r="X78" i="17"/>
  <c r="Q78" i="17"/>
  <c r="AR78" i="17" s="1"/>
  <c r="AQ77" i="17"/>
  <c r="AJ77" i="17"/>
  <c r="AL77" i="17" s="1"/>
  <c r="AA77" i="17"/>
  <c r="AE77" i="17" s="1"/>
  <c r="Z77" i="17"/>
  <c r="X77" i="17"/>
  <c r="Q77" i="17"/>
  <c r="AR77" i="17" s="1"/>
  <c r="AQ76" i="17"/>
  <c r="AJ76" i="17"/>
  <c r="AL76" i="17" s="1"/>
  <c r="AA76" i="17"/>
  <c r="Z76" i="17"/>
  <c r="X76" i="17"/>
  <c r="Q76" i="17"/>
  <c r="AR76" i="17" s="1"/>
  <c r="AQ75" i="17"/>
  <c r="AJ75" i="17"/>
  <c r="AL75" i="17" s="1"/>
  <c r="AA75" i="17"/>
  <c r="Y75" i="17" s="1"/>
  <c r="Z75" i="17"/>
  <c r="X75" i="17"/>
  <c r="Q75" i="17"/>
  <c r="AR75" i="17" s="1"/>
  <c r="AQ74" i="17"/>
  <c r="AJ74" i="17"/>
  <c r="AL74" i="17" s="1"/>
  <c r="AA74" i="17"/>
  <c r="AB74" i="17" s="1"/>
  <c r="Z74" i="17"/>
  <c r="X74" i="17"/>
  <c r="Q74" i="17"/>
  <c r="AR74" i="17" s="1"/>
  <c r="AQ72" i="17"/>
  <c r="AJ72" i="17"/>
  <c r="AL72" i="17" s="1"/>
  <c r="AA72" i="17"/>
  <c r="AE72" i="17" s="1"/>
  <c r="Z72" i="17"/>
  <c r="X72" i="17"/>
  <c r="Q72" i="17"/>
  <c r="AR72" i="17" s="1"/>
  <c r="AQ71" i="17"/>
  <c r="AJ71" i="17"/>
  <c r="AL71" i="17" s="1"/>
  <c r="AA71" i="17"/>
  <c r="AE71" i="17" s="1"/>
  <c r="Z71" i="17"/>
  <c r="X71" i="17"/>
  <c r="Q71" i="17"/>
  <c r="AR71" i="17" s="1"/>
  <c r="AQ70" i="17"/>
  <c r="AJ70" i="17"/>
  <c r="AL70" i="17" s="1"/>
  <c r="AA70" i="17"/>
  <c r="Y70" i="17" s="1"/>
  <c r="Z70" i="17"/>
  <c r="X70" i="17"/>
  <c r="Q70" i="17"/>
  <c r="AR70" i="17" s="1"/>
  <c r="AQ69" i="17"/>
  <c r="AJ69" i="17"/>
  <c r="AL69" i="17" s="1"/>
  <c r="AA69" i="17"/>
  <c r="AB69" i="17" s="1"/>
  <c r="Z69" i="17"/>
  <c r="X69" i="17"/>
  <c r="Q69" i="17"/>
  <c r="AR69" i="17" s="1"/>
  <c r="AQ68" i="17"/>
  <c r="AJ68" i="17"/>
  <c r="AL68" i="17" s="1"/>
  <c r="AA68" i="17"/>
  <c r="Z68" i="17"/>
  <c r="X68" i="17"/>
  <c r="Q68" i="17"/>
  <c r="AR68" i="17" s="1"/>
  <c r="AQ67" i="17"/>
  <c r="AJ67" i="17"/>
  <c r="AL67" i="17" s="1"/>
  <c r="AA67" i="17"/>
  <c r="AB67" i="17" s="1"/>
  <c r="Z67" i="17"/>
  <c r="X67" i="17"/>
  <c r="Q67" i="17"/>
  <c r="AR67" i="17" s="1"/>
  <c r="AR64" i="17"/>
  <c r="AQ64" i="17"/>
  <c r="AJ64" i="17"/>
  <c r="AL64" i="17" s="1"/>
  <c r="AB64" i="17"/>
  <c r="AA64" i="17"/>
  <c r="Y64" i="17" s="1"/>
  <c r="Z64" i="17"/>
  <c r="X64" i="17"/>
  <c r="Q64" i="17"/>
  <c r="AQ63" i="17"/>
  <c r="AJ63" i="17"/>
  <c r="AL63" i="17" s="1"/>
  <c r="AA63" i="17"/>
  <c r="AB63" i="17" s="1"/>
  <c r="Z63" i="17"/>
  <c r="Y63" i="17"/>
  <c r="X63" i="17"/>
  <c r="Q63" i="17"/>
  <c r="AR63" i="17" s="1"/>
  <c r="AQ62" i="17"/>
  <c r="AJ62" i="17"/>
  <c r="AL62" i="17" s="1"/>
  <c r="AA62" i="17"/>
  <c r="Z62" i="17"/>
  <c r="X62" i="17"/>
  <c r="Q62" i="17"/>
  <c r="AR62" i="17" s="1"/>
  <c r="AQ61" i="17"/>
  <c r="AJ61" i="17"/>
  <c r="AL61" i="17" s="1"/>
  <c r="AA61" i="17"/>
  <c r="AB61" i="17" s="1"/>
  <c r="Z61" i="17"/>
  <c r="X61" i="17"/>
  <c r="Q61" i="17"/>
  <c r="AR61" i="17" s="1"/>
  <c r="AQ60" i="17"/>
  <c r="AJ60" i="17"/>
  <c r="AL60" i="17" s="1"/>
  <c r="AA60" i="17"/>
  <c r="AE60" i="17" s="1"/>
  <c r="Z60" i="17"/>
  <c r="X60" i="17"/>
  <c r="Q60" i="17"/>
  <c r="AR60" i="17" s="1"/>
  <c r="AQ59" i="17"/>
  <c r="AJ59" i="17"/>
  <c r="AL59" i="17" s="1"/>
  <c r="AA59" i="17"/>
  <c r="AB59" i="17" s="1"/>
  <c r="Z59" i="17"/>
  <c r="X59" i="17"/>
  <c r="Q59" i="17"/>
  <c r="AR59" i="17" s="1"/>
  <c r="AQ57" i="17"/>
  <c r="AJ57" i="17"/>
  <c r="AL57" i="17" s="1"/>
  <c r="AA57" i="17"/>
  <c r="AE57" i="17" s="1"/>
  <c r="Z57" i="17"/>
  <c r="X57" i="17"/>
  <c r="Q57" i="17"/>
  <c r="AR57" i="17" s="1"/>
  <c r="AQ56" i="17"/>
  <c r="AJ56" i="17"/>
  <c r="AL56" i="17" s="1"/>
  <c r="AA56" i="17"/>
  <c r="Z56" i="17"/>
  <c r="X56" i="17"/>
  <c r="Q56" i="17"/>
  <c r="AR56" i="17" s="1"/>
  <c r="AQ55" i="17"/>
  <c r="AJ55" i="17"/>
  <c r="AL55" i="17" s="1"/>
  <c r="AA55" i="17"/>
  <c r="Y55" i="17" s="1"/>
  <c r="Z55" i="17"/>
  <c r="X55" i="17"/>
  <c r="Q55" i="17"/>
  <c r="AR55" i="17" s="1"/>
  <c r="AQ54" i="17"/>
  <c r="AJ54" i="17"/>
  <c r="AL54" i="17" s="1"/>
  <c r="AA54" i="17"/>
  <c r="Z54" i="17"/>
  <c r="X54" i="17"/>
  <c r="Q54" i="17"/>
  <c r="AR54" i="17" s="1"/>
  <c r="AQ53" i="17"/>
  <c r="AJ53" i="17"/>
  <c r="AL53" i="17" s="1"/>
  <c r="AA53" i="17"/>
  <c r="AE53" i="17" s="1"/>
  <c r="Z53" i="17"/>
  <c r="Y53" i="17"/>
  <c r="X53" i="17"/>
  <c r="Q53" i="17"/>
  <c r="AR53" i="17" s="1"/>
  <c r="AQ52" i="17"/>
  <c r="AJ52" i="17"/>
  <c r="AL52" i="17" s="1"/>
  <c r="AA52" i="17"/>
  <c r="AE52" i="17" s="1"/>
  <c r="Z52" i="17"/>
  <c r="X52" i="17"/>
  <c r="Q52" i="17"/>
  <c r="AR52" i="17" s="1"/>
  <c r="AV49" i="17"/>
  <c r="Y43" i="17"/>
  <c r="AN42" i="17"/>
  <c r="AG42" i="17"/>
  <c r="AI42" i="17" s="1"/>
  <c r="AB42" i="17"/>
  <c r="X42" i="17"/>
  <c r="Q42" i="17"/>
  <c r="P42" i="17"/>
  <c r="AN41" i="17"/>
  <c r="AG41" i="17"/>
  <c r="AI41" i="17" s="1"/>
  <c r="AB41" i="17"/>
  <c r="X41" i="17"/>
  <c r="Q41" i="17"/>
  <c r="U41" i="17" s="1"/>
  <c r="P41" i="17"/>
  <c r="AO42" i="17" s="1"/>
  <c r="AN40" i="17"/>
  <c r="AG40" i="17"/>
  <c r="AI40" i="17" s="1"/>
  <c r="AB40" i="17"/>
  <c r="X40" i="17"/>
  <c r="Q40" i="17"/>
  <c r="U40" i="17" s="1"/>
  <c r="P40" i="17"/>
  <c r="AO41" i="17" s="1"/>
  <c r="AN38" i="17"/>
  <c r="AG38" i="17"/>
  <c r="AI38" i="17" s="1"/>
  <c r="AB38" i="17"/>
  <c r="X38" i="17"/>
  <c r="Q38" i="17"/>
  <c r="R38" i="17" s="1"/>
  <c r="P38" i="17"/>
  <c r="AN37" i="17"/>
  <c r="AG37" i="17"/>
  <c r="AI37" i="17" s="1"/>
  <c r="AB37" i="17"/>
  <c r="X37" i="17"/>
  <c r="Q37" i="17"/>
  <c r="U37" i="17" s="1"/>
  <c r="P37" i="17"/>
  <c r="AO38" i="17" s="1"/>
  <c r="AN36" i="17"/>
  <c r="AN43" i="17" s="1"/>
  <c r="AG36" i="17"/>
  <c r="AI36" i="17" s="1"/>
  <c r="AB36" i="17"/>
  <c r="X36" i="17"/>
  <c r="Q36" i="17"/>
  <c r="R36" i="17" s="1"/>
  <c r="P36" i="17"/>
  <c r="AO37" i="17" s="1"/>
  <c r="Y35" i="17"/>
  <c r="AN34" i="17"/>
  <c r="AG34" i="17"/>
  <c r="AI34" i="17" s="1"/>
  <c r="AB34" i="17"/>
  <c r="X34" i="17"/>
  <c r="Q34" i="17"/>
  <c r="P34" i="17"/>
  <c r="AN33" i="17"/>
  <c r="AG33" i="17"/>
  <c r="AI33" i="17" s="1"/>
  <c r="AB33" i="17"/>
  <c r="X33" i="17"/>
  <c r="Q33" i="17"/>
  <c r="U33" i="17" s="1"/>
  <c r="P33" i="17"/>
  <c r="AO34" i="17" s="1"/>
  <c r="AN32" i="17"/>
  <c r="AG32" i="17"/>
  <c r="AI32" i="17" s="1"/>
  <c r="AB32" i="17"/>
  <c r="X32" i="17"/>
  <c r="Q32" i="17"/>
  <c r="U32" i="17" s="1"/>
  <c r="P32" i="17"/>
  <c r="AO33" i="17" s="1"/>
  <c r="AN30" i="17"/>
  <c r="AG30" i="17"/>
  <c r="AI30" i="17" s="1"/>
  <c r="AB30" i="17"/>
  <c r="X30" i="17"/>
  <c r="Q30" i="17"/>
  <c r="U30" i="17" s="1"/>
  <c r="P30" i="17"/>
  <c r="AN29" i="17"/>
  <c r="AG29" i="17"/>
  <c r="AI29" i="17" s="1"/>
  <c r="AB29" i="17"/>
  <c r="X29" i="17"/>
  <c r="Q29" i="17"/>
  <c r="R29" i="17" s="1"/>
  <c r="P29" i="17"/>
  <c r="AO30" i="17" s="1"/>
  <c r="AN28" i="17"/>
  <c r="AG28" i="17"/>
  <c r="AI28" i="17" s="1"/>
  <c r="AB28" i="17"/>
  <c r="X28" i="17"/>
  <c r="Q28" i="17"/>
  <c r="U28" i="17" s="1"/>
  <c r="P28" i="17"/>
  <c r="AO29" i="17" s="1"/>
  <c r="Y27" i="17"/>
  <c r="AN26" i="17"/>
  <c r="AG26" i="17"/>
  <c r="AI26" i="17" s="1"/>
  <c r="AB26" i="17"/>
  <c r="X26" i="17"/>
  <c r="Q26" i="17"/>
  <c r="R26" i="17" s="1"/>
  <c r="P26" i="17"/>
  <c r="AN25" i="17"/>
  <c r="AG25" i="17"/>
  <c r="AI25" i="17" s="1"/>
  <c r="AB25" i="17"/>
  <c r="X25" i="17"/>
  <c r="Q25" i="17"/>
  <c r="P25" i="17"/>
  <c r="AO26" i="17" s="1"/>
  <c r="AN24" i="17"/>
  <c r="AG24" i="17"/>
  <c r="AG27" i="17" s="1"/>
  <c r="AB24" i="17"/>
  <c r="X24" i="17"/>
  <c r="Q24" i="17"/>
  <c r="U24" i="17" s="1"/>
  <c r="P24" i="17"/>
  <c r="AO40" i="17" s="1"/>
  <c r="AN22" i="17"/>
  <c r="AG22" i="17"/>
  <c r="AI22" i="17" s="1"/>
  <c r="AB22" i="17"/>
  <c r="X22" i="17"/>
  <c r="Q22" i="17"/>
  <c r="U22" i="17" s="1"/>
  <c r="P22" i="17"/>
  <c r="AO24" i="17" s="1"/>
  <c r="AN21" i="17"/>
  <c r="AG21" i="17"/>
  <c r="AB21" i="17"/>
  <c r="X21" i="17"/>
  <c r="Q21" i="17"/>
  <c r="R21" i="17" s="1"/>
  <c r="P21" i="17"/>
  <c r="AO22" i="17" s="1"/>
  <c r="AN20" i="17"/>
  <c r="AN27" i="17" s="1"/>
  <c r="AG20" i="17"/>
  <c r="AG23" i="17" s="1"/>
  <c r="AB20" i="17"/>
  <c r="X20" i="17"/>
  <c r="Q20" i="17"/>
  <c r="U20" i="17" s="1"/>
  <c r="P20" i="17"/>
  <c r="AO36" i="17" s="1"/>
  <c r="Y19" i="17"/>
  <c r="AN18" i="17"/>
  <c r="AG18" i="17"/>
  <c r="AI18" i="17" s="1"/>
  <c r="AB18" i="17"/>
  <c r="X18" i="17"/>
  <c r="Q18" i="17"/>
  <c r="U18" i="17" s="1"/>
  <c r="P18" i="17"/>
  <c r="AO20" i="17" s="1"/>
  <c r="AN17" i="17"/>
  <c r="AG17" i="17"/>
  <c r="AI17" i="17" s="1"/>
  <c r="AB17" i="17"/>
  <c r="X17" i="17"/>
  <c r="Q17" i="17"/>
  <c r="R17" i="17" s="1"/>
  <c r="P17" i="17"/>
  <c r="AO18" i="17" s="1"/>
  <c r="AN16" i="17"/>
  <c r="AG16" i="17"/>
  <c r="AI16" i="17" s="1"/>
  <c r="AB16" i="17"/>
  <c r="X16" i="17"/>
  <c r="Q16" i="17"/>
  <c r="P16" i="17"/>
  <c r="AO17" i="17" s="1"/>
  <c r="AN14" i="17"/>
  <c r="AG14" i="17"/>
  <c r="AI14" i="17" s="1"/>
  <c r="AB14" i="17"/>
  <c r="X14" i="17"/>
  <c r="Q14" i="17"/>
  <c r="U14" i="17" s="1"/>
  <c r="P14" i="17"/>
  <c r="AO16" i="17" s="1"/>
  <c r="AN13" i="17"/>
  <c r="AG13" i="17"/>
  <c r="AI13" i="17" s="1"/>
  <c r="AB13" i="17"/>
  <c r="X13" i="17"/>
  <c r="Q13" i="17"/>
  <c r="U13" i="17" s="1"/>
  <c r="P13" i="17"/>
  <c r="AO14" i="17" s="1"/>
  <c r="AO12" i="17"/>
  <c r="AN12" i="17"/>
  <c r="AB12" i="17"/>
  <c r="X12" i="17"/>
  <c r="Q12" i="17"/>
  <c r="R12" i="17" s="1"/>
  <c r="P12" i="17"/>
  <c r="AO28" i="17" s="1"/>
  <c r="AF70" i="15"/>
  <c r="AF63" i="15"/>
  <c r="AF55" i="15"/>
  <c r="AF48" i="15"/>
  <c r="AA75" i="15"/>
  <c r="AA74" i="15"/>
  <c r="AA73" i="15"/>
  <c r="AA72" i="15"/>
  <c r="AA71" i="15"/>
  <c r="AA70" i="15"/>
  <c r="AA68" i="15"/>
  <c r="AA67" i="15"/>
  <c r="AA66" i="15"/>
  <c r="AA65" i="15"/>
  <c r="AA64" i="15"/>
  <c r="AA63" i="15"/>
  <c r="AA60" i="15"/>
  <c r="AA59" i="15"/>
  <c r="AA58" i="15"/>
  <c r="AA57" i="15"/>
  <c r="AA56" i="15"/>
  <c r="AA55" i="15"/>
  <c r="X12" i="15"/>
  <c r="R18" i="15"/>
  <c r="Q38" i="15"/>
  <c r="R38" i="15" s="1"/>
  <c r="Q37" i="15"/>
  <c r="R37" i="15" s="1"/>
  <c r="Q36" i="15"/>
  <c r="R36" i="15" s="1"/>
  <c r="Q35" i="15"/>
  <c r="R35" i="15" s="1"/>
  <c r="Q34" i="15"/>
  <c r="R34" i="15" s="1"/>
  <c r="Q33" i="15"/>
  <c r="R33" i="15" s="1"/>
  <c r="Q31" i="15"/>
  <c r="R31" i="15" s="1"/>
  <c r="Q30" i="15"/>
  <c r="R30" i="15" s="1"/>
  <c r="Q29" i="15"/>
  <c r="R29" i="15" s="1"/>
  <c r="Q28" i="15"/>
  <c r="R28" i="15" s="1"/>
  <c r="Q27" i="15"/>
  <c r="R27" i="15" s="1"/>
  <c r="Q26" i="15"/>
  <c r="Q24" i="15"/>
  <c r="R24" i="15" s="1"/>
  <c r="Q23" i="15"/>
  <c r="R23" i="15" s="1"/>
  <c r="Q22" i="15"/>
  <c r="R22" i="15" s="1"/>
  <c r="Q21" i="15"/>
  <c r="R21" i="15" s="1"/>
  <c r="Q20" i="15"/>
  <c r="R20" i="15" s="1"/>
  <c r="Q19" i="15"/>
  <c r="R19" i="15" s="1"/>
  <c r="R26" i="15"/>
  <c r="Y39" i="15"/>
  <c r="Y32" i="15"/>
  <c r="Y25" i="15"/>
  <c r="Y18" i="15"/>
  <c r="AF63" i="14"/>
  <c r="AC12" i="14"/>
  <c r="J137" i="35" l="1"/>
  <c r="M110" i="35"/>
  <c r="J137" i="32"/>
  <c r="J174" i="32"/>
  <c r="M112" i="32"/>
  <c r="M113" i="32"/>
  <c r="I173" i="32"/>
  <c r="I221" i="35"/>
  <c r="K221" i="35" s="1"/>
  <c r="K116" i="35" s="1"/>
  <c r="I172" i="32"/>
  <c r="K172" i="32" s="1"/>
  <c r="K115" i="32" s="1"/>
  <c r="I220" i="35"/>
  <c r="K220" i="35" s="1"/>
  <c r="K115" i="35" s="1"/>
  <c r="I171" i="32"/>
  <c r="K171" i="32" s="1"/>
  <c r="K114" i="32" s="1"/>
  <c r="I219" i="35"/>
  <c r="K219" i="35" s="1"/>
  <c r="K114" i="35" s="1"/>
  <c r="I170" i="32"/>
  <c r="K170" i="32" s="1"/>
  <c r="K113" i="32" s="1"/>
  <c r="I218" i="35"/>
  <c r="K218" i="35" s="1"/>
  <c r="K113" i="35" s="1"/>
  <c r="I169" i="32"/>
  <c r="I217" i="35"/>
  <c r="K217" i="35" s="1"/>
  <c r="K112" i="35" s="1"/>
  <c r="I168" i="32"/>
  <c r="I216" i="35"/>
  <c r="I136" i="32"/>
  <c r="I136" i="35"/>
  <c r="I135" i="32"/>
  <c r="K135" i="32" s="1"/>
  <c r="I115" i="32" s="1"/>
  <c r="I135" i="35"/>
  <c r="K135" i="35" s="1"/>
  <c r="I115" i="35" s="1"/>
  <c r="I134" i="32"/>
  <c r="K134" i="32" s="1"/>
  <c r="I114" i="32" s="1"/>
  <c r="I134" i="35"/>
  <c r="K134" i="35" s="1"/>
  <c r="I114" i="35" s="1"/>
  <c r="I133" i="32"/>
  <c r="K133" i="32" s="1"/>
  <c r="I113" i="32" s="1"/>
  <c r="I133" i="35"/>
  <c r="K133" i="35" s="1"/>
  <c r="I113" i="35" s="1"/>
  <c r="I132" i="32"/>
  <c r="I132" i="35"/>
  <c r="K132" i="35" s="1"/>
  <c r="I112" i="35" s="1"/>
  <c r="I131" i="32"/>
  <c r="K131" i="32" s="1"/>
  <c r="I111" i="32" s="1"/>
  <c r="I131" i="35"/>
  <c r="G137" i="38"/>
  <c r="I201" i="32"/>
  <c r="I130" i="32"/>
  <c r="K130" i="32" s="1"/>
  <c r="I110" i="32" s="1"/>
  <c r="G18" i="38"/>
  <c r="I167" i="32"/>
  <c r="G78" i="38"/>
  <c r="K313" i="35"/>
  <c r="I328" i="35" s="1"/>
  <c r="K314" i="35"/>
  <c r="I329" i="35" s="1"/>
  <c r="O149" i="35"/>
  <c r="K136" i="32"/>
  <c r="I116" i="32" s="1"/>
  <c r="K258" i="32"/>
  <c r="I273" i="32" s="1"/>
  <c r="K262" i="32"/>
  <c r="I277" i="32" s="1"/>
  <c r="K261" i="32"/>
  <c r="I276" i="32" s="1"/>
  <c r="K259" i="32"/>
  <c r="I274" i="32" s="1"/>
  <c r="K264" i="32"/>
  <c r="I279" i="32" s="1"/>
  <c r="K263" i="32"/>
  <c r="I278" i="32" s="1"/>
  <c r="K260" i="32"/>
  <c r="I275" i="32" s="1"/>
  <c r="K311" i="35"/>
  <c r="I326" i="35" s="1"/>
  <c r="K312" i="35"/>
  <c r="I327" i="35" s="1"/>
  <c r="I317" i="35"/>
  <c r="K315" i="35"/>
  <c r="I330" i="35" s="1"/>
  <c r="O76" i="35"/>
  <c r="O159" i="35"/>
  <c r="O160" i="35"/>
  <c r="M110" i="32"/>
  <c r="K255" i="35"/>
  <c r="I232" i="35" s="1"/>
  <c r="K232" i="35" s="1"/>
  <c r="K328" i="35" s="1"/>
  <c r="O165" i="35"/>
  <c r="O184" i="35"/>
  <c r="O164" i="35"/>
  <c r="O48" i="35"/>
  <c r="O60" i="35"/>
  <c r="O154" i="35"/>
  <c r="O180" i="35"/>
  <c r="O189" i="35"/>
  <c r="I16" i="35"/>
  <c r="O88" i="35"/>
  <c r="O151" i="35"/>
  <c r="O161" i="35"/>
  <c r="O182" i="35"/>
  <c r="O152" i="35"/>
  <c r="O162" i="35"/>
  <c r="O172" i="35"/>
  <c r="O40" i="35"/>
  <c r="M111" i="32"/>
  <c r="O72" i="35"/>
  <c r="O52" i="35"/>
  <c r="O166" i="35"/>
  <c r="O80" i="35"/>
  <c r="O84" i="35"/>
  <c r="O167" i="35"/>
  <c r="O188" i="35"/>
  <c r="O163" i="35"/>
  <c r="M115" i="32"/>
  <c r="M116" i="32"/>
  <c r="O168" i="35"/>
  <c r="O56" i="35"/>
  <c r="O150" i="35"/>
  <c r="O186" i="35"/>
  <c r="O44" i="35"/>
  <c r="O179" i="35"/>
  <c r="O68" i="35"/>
  <c r="O181" i="35"/>
  <c r="K256" i="35"/>
  <c r="I233" i="35" s="1"/>
  <c r="K233" i="35" s="1"/>
  <c r="K329" i="35" s="1"/>
  <c r="O64" i="35"/>
  <c r="O178" i="35"/>
  <c r="O195" i="35"/>
  <c r="O183" i="35"/>
  <c r="L95" i="35"/>
  <c r="K252" i="35"/>
  <c r="I229" i="35" s="1"/>
  <c r="K229" i="35" s="1"/>
  <c r="K325" i="35" s="1"/>
  <c r="K258" i="35"/>
  <c r="I235" i="35" s="1"/>
  <c r="K235" i="35" s="1"/>
  <c r="M116" i="35"/>
  <c r="M115" i="35"/>
  <c r="M114" i="35"/>
  <c r="M113" i="35"/>
  <c r="M112" i="35"/>
  <c r="M111" i="35"/>
  <c r="O144" i="35"/>
  <c r="O199" i="35"/>
  <c r="O197" i="35"/>
  <c r="O176" i="35"/>
  <c r="K385" i="34"/>
  <c r="O194" i="35"/>
  <c r="O170" i="35"/>
  <c r="O187" i="35"/>
  <c r="O175" i="35"/>
  <c r="O157" i="35"/>
  <c r="O171" i="35"/>
  <c r="O192" i="35"/>
  <c r="O177" i="35"/>
  <c r="O185" i="35"/>
  <c r="O173" i="35"/>
  <c r="O155" i="35"/>
  <c r="O169" i="35"/>
  <c r="O147" i="35"/>
  <c r="O158" i="35"/>
  <c r="O146" i="35"/>
  <c r="O193" i="35"/>
  <c r="N200" i="35"/>
  <c r="O156" i="35"/>
  <c r="O198" i="35"/>
  <c r="O196" i="35"/>
  <c r="O148" i="35"/>
  <c r="O190" i="35"/>
  <c r="K254" i="35"/>
  <c r="I231" i="35" s="1"/>
  <c r="K231" i="35" s="1"/>
  <c r="K327" i="35" s="1"/>
  <c r="O153" i="35"/>
  <c r="O174" i="35"/>
  <c r="K139" i="34"/>
  <c r="O191" i="35"/>
  <c r="O42" i="35"/>
  <c r="O46" i="35"/>
  <c r="O50" i="35"/>
  <c r="O54" i="35"/>
  <c r="O58" i="35"/>
  <c r="O62" i="35"/>
  <c r="O66" i="35"/>
  <c r="O70" i="35"/>
  <c r="O74" i="35"/>
  <c r="O78" i="35"/>
  <c r="O82" i="35"/>
  <c r="O86" i="35"/>
  <c r="O90" i="35"/>
  <c r="O94" i="35"/>
  <c r="K130" i="35"/>
  <c r="K136" i="35"/>
  <c r="I116" i="35" s="1"/>
  <c r="M295" i="35"/>
  <c r="L327" i="35" s="1"/>
  <c r="M298" i="35"/>
  <c r="L330" i="35" s="1"/>
  <c r="O145" i="35"/>
  <c r="O43" i="35"/>
  <c r="O47" i="35"/>
  <c r="O51" i="35"/>
  <c r="O55" i="35"/>
  <c r="O59" i="35"/>
  <c r="O63" i="35"/>
  <c r="O67" i="35"/>
  <c r="O71" i="35"/>
  <c r="O75" i="35"/>
  <c r="O79" i="35"/>
  <c r="O83" i="35"/>
  <c r="O87" i="35"/>
  <c r="O91" i="35"/>
  <c r="M293" i="35"/>
  <c r="M296" i="35"/>
  <c r="L328" i="35" s="1"/>
  <c r="M299" i="35"/>
  <c r="L331" i="35" s="1"/>
  <c r="K216" i="35"/>
  <c r="K111" i="35" s="1"/>
  <c r="K257" i="35"/>
  <c r="I234" i="35" s="1"/>
  <c r="K234" i="35" s="1"/>
  <c r="K330" i="35" s="1"/>
  <c r="L117" i="35"/>
  <c r="O92" i="35"/>
  <c r="M294" i="35"/>
  <c r="L326" i="35" s="1"/>
  <c r="M297" i="35"/>
  <c r="L329" i="35" s="1"/>
  <c r="K253" i="35"/>
  <c r="I230" i="35" s="1"/>
  <c r="K230" i="35" s="1"/>
  <c r="K326" i="35" s="1"/>
  <c r="O41" i="35"/>
  <c r="O45" i="35"/>
  <c r="O49" i="35"/>
  <c r="O53" i="35"/>
  <c r="O57" i="35"/>
  <c r="O61" i="35"/>
  <c r="O65" i="35"/>
  <c r="O69" i="35"/>
  <c r="O73" i="35"/>
  <c r="O77" i="35"/>
  <c r="O81" i="35"/>
  <c r="O85" i="35"/>
  <c r="O89" i="35"/>
  <c r="O93" i="35"/>
  <c r="O39" i="35"/>
  <c r="M240" i="32"/>
  <c r="L274" i="32" s="1"/>
  <c r="K201" i="32"/>
  <c r="I181" i="32" s="1"/>
  <c r="K181" i="32" s="1"/>
  <c r="K203" i="32"/>
  <c r="I183" i="32" s="1"/>
  <c r="K183" i="32" s="1"/>
  <c r="K275" i="32" s="1"/>
  <c r="K202" i="32"/>
  <c r="I182" i="32" s="1"/>
  <c r="K182" i="32" s="1"/>
  <c r="K274" i="32" s="1"/>
  <c r="M241" i="32"/>
  <c r="L275" i="32" s="1"/>
  <c r="K169" i="32"/>
  <c r="K112" i="32" s="1"/>
  <c r="M239" i="32"/>
  <c r="M245" i="32"/>
  <c r="L279" i="32" s="1"/>
  <c r="O84" i="32"/>
  <c r="K204" i="32"/>
  <c r="I184" i="32" s="1"/>
  <c r="K184" i="32" s="1"/>
  <c r="K276" i="32" s="1"/>
  <c r="M242" i="32"/>
  <c r="L276" i="32" s="1"/>
  <c r="L117" i="32"/>
  <c r="M244" i="32"/>
  <c r="L278" i="32" s="1"/>
  <c r="M243" i="32"/>
  <c r="L277" i="32" s="1"/>
  <c r="O81" i="32"/>
  <c r="K206" i="32"/>
  <c r="I186" i="32" s="1"/>
  <c r="K186" i="32" s="1"/>
  <c r="K278" i="32" s="1"/>
  <c r="K205" i="32"/>
  <c r="I185" i="32" s="1"/>
  <c r="K185" i="32" s="1"/>
  <c r="K167" i="32"/>
  <c r="K110" i="32" s="1"/>
  <c r="O60" i="32"/>
  <c r="O71" i="32"/>
  <c r="O94" i="32"/>
  <c r="O70" i="32"/>
  <c r="O59" i="32"/>
  <c r="K168" i="32"/>
  <c r="K111" i="32" s="1"/>
  <c r="O57" i="32"/>
  <c r="K207" i="32"/>
  <c r="I187" i="32" s="1"/>
  <c r="K187" i="32" s="1"/>
  <c r="K279" i="32" s="1"/>
  <c r="O65" i="32"/>
  <c r="O41" i="32"/>
  <c r="O83" i="32"/>
  <c r="O47" i="32"/>
  <c r="O89" i="32"/>
  <c r="O64" i="32"/>
  <c r="O52" i="32"/>
  <c r="O46" i="32"/>
  <c r="O48" i="32"/>
  <c r="L95" i="32"/>
  <c r="O91" i="32"/>
  <c r="O44" i="32"/>
  <c r="O90" i="32"/>
  <c r="O45" i="32"/>
  <c r="O40" i="32"/>
  <c r="O87" i="32"/>
  <c r="O63" i="32"/>
  <c r="O82" i="32"/>
  <c r="O79" i="32"/>
  <c r="O55" i="32"/>
  <c r="O68" i="32"/>
  <c r="O92" i="32"/>
  <c r="O78" i="32"/>
  <c r="O54" i="32"/>
  <c r="O69" i="32"/>
  <c r="O93" i="32"/>
  <c r="O88" i="32"/>
  <c r="O86" i="32"/>
  <c r="O62" i="32"/>
  <c r="O72" i="32"/>
  <c r="O58" i="32"/>
  <c r="O67" i="32"/>
  <c r="O43" i="32"/>
  <c r="O66" i="32"/>
  <c r="O42" i="32"/>
  <c r="O53" i="32"/>
  <c r="O77" i="32"/>
  <c r="O76" i="32"/>
  <c r="O85" i="32"/>
  <c r="O73" i="32"/>
  <c r="O61" i="32"/>
  <c r="O49" i="32"/>
  <c r="O56" i="32"/>
  <c r="O80" i="32"/>
  <c r="O75" i="32"/>
  <c r="O51" i="32"/>
  <c r="O74" i="32"/>
  <c r="O50" i="32"/>
  <c r="K173" i="32"/>
  <c r="K116" i="32" s="1"/>
  <c r="O39" i="32"/>
  <c r="AN35" i="17"/>
  <c r="AG39" i="17"/>
  <c r="AG43" i="17"/>
  <c r="AI24" i="17"/>
  <c r="AG19" i="17"/>
  <c r="X58" i="17"/>
  <c r="AE70" i="17"/>
  <c r="Y61" i="17"/>
  <c r="U29" i="17"/>
  <c r="R40" i="17"/>
  <c r="AB55" i="17"/>
  <c r="AE55" i="17"/>
  <c r="Z80" i="17"/>
  <c r="AB58" i="17"/>
  <c r="Y67" i="17"/>
  <c r="AE67" i="17"/>
  <c r="Y69" i="17"/>
  <c r="AE61" i="17"/>
  <c r="AE64" i="17"/>
  <c r="U17" i="17"/>
  <c r="U36" i="17"/>
  <c r="Z58" i="17"/>
  <c r="AE74" i="17"/>
  <c r="AB77" i="17"/>
  <c r="AB19" i="17"/>
  <c r="Y57" i="17"/>
  <c r="R30" i="17"/>
  <c r="AO13" i="17"/>
  <c r="AB73" i="17"/>
  <c r="AB70" i="17"/>
  <c r="AE69" i="17"/>
  <c r="U26" i="17"/>
  <c r="R18" i="17"/>
  <c r="AO21" i="17"/>
  <c r="AB53" i="17"/>
  <c r="AE63" i="17"/>
  <c r="X80" i="17"/>
  <c r="AB75" i="17"/>
  <c r="AB78" i="17"/>
  <c r="Y52" i="17"/>
  <c r="Y59" i="17"/>
  <c r="X73" i="17"/>
  <c r="Y74" i="17"/>
  <c r="AE75" i="17"/>
  <c r="Y77" i="17"/>
  <c r="AB35" i="17"/>
  <c r="AB43" i="17"/>
  <c r="AB27" i="17"/>
  <c r="R28" i="17"/>
  <c r="AB65" i="17"/>
  <c r="AB60" i="17"/>
  <c r="AB56" i="17"/>
  <c r="Y56" i="17"/>
  <c r="R13" i="17"/>
  <c r="U16" i="17"/>
  <c r="R16" i="17"/>
  <c r="R24" i="17"/>
  <c r="AE56" i="17"/>
  <c r="R20" i="17"/>
  <c r="U34" i="17"/>
  <c r="R34" i="17"/>
  <c r="Z73" i="17"/>
  <c r="AO25" i="17"/>
  <c r="R32" i="17"/>
  <c r="R37" i="17"/>
  <c r="U25" i="17"/>
  <c r="R25" i="17"/>
  <c r="Z65" i="17"/>
  <c r="R41" i="17"/>
  <c r="AB57" i="17"/>
  <c r="AE59" i="17"/>
  <c r="U12" i="17"/>
  <c r="AO32" i="17"/>
  <c r="U21" i="17"/>
  <c r="X27" i="17"/>
  <c r="R33" i="17"/>
  <c r="X43" i="17"/>
  <c r="X65" i="17"/>
  <c r="Y72" i="17"/>
  <c r="AB72" i="17"/>
  <c r="Y79" i="17"/>
  <c r="AE79" i="17"/>
  <c r="AB79" i="17"/>
  <c r="X35" i="17"/>
  <c r="R14" i="17"/>
  <c r="R22" i="17"/>
  <c r="U38" i="17"/>
  <c r="AE54" i="17"/>
  <c r="Y54" i="17"/>
  <c r="AB54" i="17"/>
  <c r="Y68" i="17"/>
  <c r="AE68" i="17"/>
  <c r="AB68" i="17"/>
  <c r="AE76" i="17"/>
  <c r="AB76" i="17"/>
  <c r="Y76" i="17"/>
  <c r="AB80" i="17"/>
  <c r="Y60" i="17"/>
  <c r="Y62" i="17"/>
  <c r="AE62" i="17"/>
  <c r="AB62" i="17"/>
  <c r="U42" i="17"/>
  <c r="R42" i="17"/>
  <c r="AB71" i="17"/>
  <c r="Y71" i="17"/>
  <c r="AB52" i="17"/>
  <c r="Y75" i="15"/>
  <c r="Y71" i="15"/>
  <c r="Y66" i="15"/>
  <c r="Y67" i="15"/>
  <c r="Y68" i="15"/>
  <c r="Y64" i="15"/>
  <c r="Y65" i="15"/>
  <c r="Y59" i="15"/>
  <c r="Y60" i="15"/>
  <c r="AA51" i="15"/>
  <c r="Y51" i="15" s="1"/>
  <c r="AA52" i="15"/>
  <c r="AA53" i="15"/>
  <c r="Y53" i="15" s="1"/>
  <c r="AA48" i="15"/>
  <c r="Y48" i="15" s="1"/>
  <c r="AA49" i="15"/>
  <c r="Y49" i="15" s="1"/>
  <c r="AA50" i="15"/>
  <c r="Y50" i="15" s="1"/>
  <c r="AF35" i="14"/>
  <c r="AV45" i="15"/>
  <c r="AQ75" i="15"/>
  <c r="AJ75" i="15"/>
  <c r="AL75" i="15" s="1"/>
  <c r="Z75" i="15"/>
  <c r="X75" i="15"/>
  <c r="Q75" i="15"/>
  <c r="AR75" i="15" s="1"/>
  <c r="AQ74" i="15"/>
  <c r="AJ74" i="15"/>
  <c r="AL74" i="15" s="1"/>
  <c r="Y74" i="15"/>
  <c r="Z74" i="15"/>
  <c r="X74" i="15"/>
  <c r="Q74" i="15"/>
  <c r="AR74" i="15" s="1"/>
  <c r="AQ73" i="15"/>
  <c r="AJ73" i="15"/>
  <c r="AL73" i="15" s="1"/>
  <c r="Y73" i="15"/>
  <c r="Z73" i="15"/>
  <c r="X73" i="15"/>
  <c r="Q73" i="15"/>
  <c r="AR73" i="15" s="1"/>
  <c r="AQ72" i="15"/>
  <c r="AJ72" i="15"/>
  <c r="AL72" i="15" s="1"/>
  <c r="Y72" i="15"/>
  <c r="Z72" i="15"/>
  <c r="X72" i="15"/>
  <c r="Q72" i="15"/>
  <c r="AR72" i="15" s="1"/>
  <c r="AQ71" i="15"/>
  <c r="AJ71" i="15"/>
  <c r="AL71" i="15" s="1"/>
  <c r="Z71" i="15"/>
  <c r="X71" i="15"/>
  <c r="Q71" i="15"/>
  <c r="AR71" i="15" s="1"/>
  <c r="AQ70" i="15"/>
  <c r="AJ70" i="15"/>
  <c r="AL70" i="15" s="1"/>
  <c r="Y70" i="15"/>
  <c r="Z70" i="15"/>
  <c r="X70" i="15"/>
  <c r="Q70" i="15"/>
  <c r="AR70" i="15" s="1"/>
  <c r="AQ68" i="15"/>
  <c r="AJ68" i="15"/>
  <c r="AL68" i="15" s="1"/>
  <c r="Z68" i="15"/>
  <c r="X68" i="15"/>
  <c r="Q68" i="15"/>
  <c r="AR68" i="15" s="1"/>
  <c r="AQ67" i="15"/>
  <c r="AJ67" i="15"/>
  <c r="AL67" i="15" s="1"/>
  <c r="Z67" i="15"/>
  <c r="X67" i="15"/>
  <c r="Q67" i="15"/>
  <c r="AR67" i="15" s="1"/>
  <c r="AQ66" i="15"/>
  <c r="AJ66" i="15"/>
  <c r="AL66" i="15" s="1"/>
  <c r="Z66" i="15"/>
  <c r="X66" i="15"/>
  <c r="Q66" i="15"/>
  <c r="AR66" i="15" s="1"/>
  <c r="AQ60" i="15"/>
  <c r="AJ60" i="15"/>
  <c r="AL60" i="15" s="1"/>
  <c r="Z60" i="15"/>
  <c r="X60" i="15"/>
  <c r="Q60" i="15"/>
  <c r="AR60" i="15" s="1"/>
  <c r="AQ59" i="15"/>
  <c r="AJ59" i="15"/>
  <c r="AL59" i="15" s="1"/>
  <c r="Z59" i="15"/>
  <c r="X59" i="15"/>
  <c r="Q59" i="15"/>
  <c r="AR59" i="15" s="1"/>
  <c r="AQ58" i="15"/>
  <c r="AJ58" i="15"/>
  <c r="AL58" i="15" s="1"/>
  <c r="Y58" i="15"/>
  <c r="Z58" i="15"/>
  <c r="X58" i="15"/>
  <c r="Q58" i="15"/>
  <c r="AR58" i="15" s="1"/>
  <c r="AQ57" i="15"/>
  <c r="AJ57" i="15"/>
  <c r="AL57" i="15" s="1"/>
  <c r="Y57" i="15"/>
  <c r="Z57" i="15"/>
  <c r="X57" i="15"/>
  <c r="Q57" i="15"/>
  <c r="AR57" i="15" s="1"/>
  <c r="AQ56" i="15"/>
  <c r="AJ56" i="15"/>
  <c r="AL56" i="15" s="1"/>
  <c r="Y56" i="15"/>
  <c r="Z56" i="15"/>
  <c r="X56" i="15"/>
  <c r="Q56" i="15"/>
  <c r="AR56" i="15" s="1"/>
  <c r="AQ55" i="15"/>
  <c r="AJ55" i="15"/>
  <c r="AL55" i="15" s="1"/>
  <c r="Z55" i="15"/>
  <c r="X55" i="15"/>
  <c r="Q55" i="15"/>
  <c r="AR55" i="15" s="1"/>
  <c r="AQ53" i="15"/>
  <c r="AJ53" i="15"/>
  <c r="AL53" i="15" s="1"/>
  <c r="Z53" i="15"/>
  <c r="X53" i="15"/>
  <c r="Q53" i="15"/>
  <c r="AR53" i="15" s="1"/>
  <c r="AQ52" i="15"/>
  <c r="AJ52" i="15"/>
  <c r="AL52" i="15" s="1"/>
  <c r="Y52" i="15"/>
  <c r="Z52" i="15"/>
  <c r="X52" i="15"/>
  <c r="Q52" i="15"/>
  <c r="AR52" i="15" s="1"/>
  <c r="AQ51" i="15"/>
  <c r="AJ51" i="15"/>
  <c r="AL51" i="15" s="1"/>
  <c r="Z51" i="15"/>
  <c r="X51" i="15"/>
  <c r="Q51" i="15"/>
  <c r="AR51" i="15" s="1"/>
  <c r="AN38" i="15"/>
  <c r="AG38" i="15"/>
  <c r="AI38" i="15" s="1"/>
  <c r="AB38" i="15"/>
  <c r="X38" i="15"/>
  <c r="P38" i="15"/>
  <c r="AN37" i="15"/>
  <c r="AG37" i="15"/>
  <c r="AI37" i="15" s="1"/>
  <c r="AB37" i="15"/>
  <c r="X37" i="15"/>
  <c r="P37" i="15"/>
  <c r="AO38" i="15" s="1"/>
  <c r="AN36" i="15"/>
  <c r="AG36" i="15"/>
  <c r="AI36" i="15" s="1"/>
  <c r="AB36" i="15"/>
  <c r="X36" i="15"/>
  <c r="P36" i="15"/>
  <c r="AO37" i="15" s="1"/>
  <c r="AN35" i="15"/>
  <c r="AG35" i="15"/>
  <c r="AI35" i="15" s="1"/>
  <c r="AB35" i="15"/>
  <c r="X35" i="15"/>
  <c r="P35" i="15"/>
  <c r="AN34" i="15"/>
  <c r="AG34" i="15"/>
  <c r="AI34" i="15" s="1"/>
  <c r="AB34" i="15"/>
  <c r="X34" i="15"/>
  <c r="P34" i="15"/>
  <c r="AO35" i="15" s="1"/>
  <c r="AN33" i="15"/>
  <c r="AG33" i="15"/>
  <c r="AI33" i="15" s="1"/>
  <c r="AB33" i="15"/>
  <c r="X33" i="15"/>
  <c r="P33" i="15"/>
  <c r="AO34" i="15" s="1"/>
  <c r="AN31" i="15"/>
  <c r="AG31" i="15"/>
  <c r="AI31" i="15" s="1"/>
  <c r="AB31" i="15"/>
  <c r="X31" i="15"/>
  <c r="P31" i="15"/>
  <c r="AN30" i="15"/>
  <c r="AG30" i="15"/>
  <c r="AI30" i="15" s="1"/>
  <c r="AB30" i="15"/>
  <c r="X30" i="15"/>
  <c r="P30" i="15"/>
  <c r="AO31" i="15" s="1"/>
  <c r="AN29" i="15"/>
  <c r="AG29" i="15"/>
  <c r="AI29" i="15" s="1"/>
  <c r="AB29" i="15"/>
  <c r="X29" i="15"/>
  <c r="P29" i="15"/>
  <c r="AO30" i="15" s="1"/>
  <c r="AN24" i="15"/>
  <c r="AG24" i="15"/>
  <c r="AI24" i="15" s="1"/>
  <c r="AB24" i="15"/>
  <c r="X24" i="15"/>
  <c r="P24" i="15"/>
  <c r="AN23" i="15"/>
  <c r="AG23" i="15"/>
  <c r="AI23" i="15" s="1"/>
  <c r="AB23" i="15"/>
  <c r="X23" i="15"/>
  <c r="P23" i="15"/>
  <c r="AO24" i="15" s="1"/>
  <c r="AN22" i="15"/>
  <c r="AG22" i="15"/>
  <c r="AI22" i="15" s="1"/>
  <c r="AB22" i="15"/>
  <c r="X22" i="15"/>
  <c r="P22" i="15"/>
  <c r="AN21" i="15"/>
  <c r="AG21" i="15"/>
  <c r="AI21" i="15" s="1"/>
  <c r="AB21" i="15"/>
  <c r="X21" i="15"/>
  <c r="P21" i="15"/>
  <c r="AO22" i="15" s="1"/>
  <c r="AN20" i="15"/>
  <c r="AG20" i="15"/>
  <c r="AI20" i="15" s="1"/>
  <c r="AB20" i="15"/>
  <c r="X20" i="15"/>
  <c r="P20" i="15"/>
  <c r="AO21" i="15" s="1"/>
  <c r="AN19" i="15"/>
  <c r="AG19" i="15"/>
  <c r="AI19" i="15" s="1"/>
  <c r="AB19" i="15"/>
  <c r="X19" i="15"/>
  <c r="P19" i="15"/>
  <c r="AN17" i="15"/>
  <c r="AG17" i="15"/>
  <c r="AI17" i="15" s="1"/>
  <c r="AB17" i="15"/>
  <c r="X17" i="15"/>
  <c r="Q17" i="15"/>
  <c r="P17" i="15"/>
  <c r="AO19" i="15" s="1"/>
  <c r="AN16" i="15"/>
  <c r="AG16" i="15"/>
  <c r="AI16" i="15" s="1"/>
  <c r="AB16" i="15"/>
  <c r="X16" i="15"/>
  <c r="Q16" i="15"/>
  <c r="P16" i="15"/>
  <c r="AO17" i="15" s="1"/>
  <c r="AN15" i="15"/>
  <c r="AG15" i="15"/>
  <c r="AI15" i="15" s="1"/>
  <c r="AB15" i="15"/>
  <c r="X15" i="15"/>
  <c r="Q15" i="15"/>
  <c r="P15" i="15"/>
  <c r="AQ65" i="15"/>
  <c r="AJ65" i="15"/>
  <c r="AL65" i="15" s="1"/>
  <c r="Z65" i="15"/>
  <c r="X65" i="15"/>
  <c r="Q65" i="15"/>
  <c r="AR65" i="15" s="1"/>
  <c r="AQ64" i="15"/>
  <c r="AJ64" i="15"/>
  <c r="AL64" i="15" s="1"/>
  <c r="Z64" i="15"/>
  <c r="X64" i="15"/>
  <c r="Q64" i="15"/>
  <c r="AR64" i="15" s="1"/>
  <c r="AQ63" i="15"/>
  <c r="AJ63" i="15"/>
  <c r="AL63" i="15" s="1"/>
  <c r="Y63" i="15"/>
  <c r="Z63" i="15"/>
  <c r="X63" i="15"/>
  <c r="Q63" i="15"/>
  <c r="AR63" i="15" s="1"/>
  <c r="AQ50" i="15"/>
  <c r="AJ50" i="15"/>
  <c r="AL50" i="15" s="1"/>
  <c r="Z50" i="15"/>
  <c r="X50" i="15"/>
  <c r="Q50" i="15"/>
  <c r="AR50" i="15" s="1"/>
  <c r="AQ49" i="15"/>
  <c r="AJ49" i="15"/>
  <c r="AL49" i="15" s="1"/>
  <c r="Z49" i="15"/>
  <c r="X49" i="15"/>
  <c r="Q49" i="15"/>
  <c r="AR49" i="15" s="1"/>
  <c r="AQ48" i="15"/>
  <c r="AL48" i="15"/>
  <c r="Z48" i="15"/>
  <c r="X48" i="15"/>
  <c r="Q48" i="15"/>
  <c r="AR48" i="15" s="1"/>
  <c r="AN28" i="15"/>
  <c r="AG28" i="15"/>
  <c r="AI28" i="15" s="1"/>
  <c r="AB28" i="15"/>
  <c r="X28" i="15"/>
  <c r="P28" i="15"/>
  <c r="AN27" i="15"/>
  <c r="AG27" i="15"/>
  <c r="AI27" i="15" s="1"/>
  <c r="AB27" i="15"/>
  <c r="X27" i="15"/>
  <c r="P27" i="15"/>
  <c r="AO28" i="15" s="1"/>
  <c r="AN26" i="15"/>
  <c r="AG26" i="15"/>
  <c r="AI26" i="15" s="1"/>
  <c r="AB26" i="15"/>
  <c r="X26" i="15"/>
  <c r="P26" i="15"/>
  <c r="AO27" i="15" s="1"/>
  <c r="AN14" i="15"/>
  <c r="AG14" i="15"/>
  <c r="AI14" i="15" s="1"/>
  <c r="AB14" i="15"/>
  <c r="X14" i="15"/>
  <c r="Q14" i="15"/>
  <c r="P14" i="15"/>
  <c r="AO15" i="15" s="1"/>
  <c r="AN13" i="15"/>
  <c r="AG13" i="15"/>
  <c r="AI13" i="15" s="1"/>
  <c r="AB13" i="15"/>
  <c r="X13" i="15"/>
  <c r="Q13" i="15"/>
  <c r="P13" i="15"/>
  <c r="AO14" i="15" s="1"/>
  <c r="AO12" i="15"/>
  <c r="AN12" i="15"/>
  <c r="AG12" i="15"/>
  <c r="AI12" i="15" s="1"/>
  <c r="AB12" i="15"/>
  <c r="Q12" i="15"/>
  <c r="U12" i="15" s="1"/>
  <c r="P12" i="15"/>
  <c r="AQ68" i="14"/>
  <c r="AJ68" i="14"/>
  <c r="AL68" i="14" s="1"/>
  <c r="AA68" i="14"/>
  <c r="Z68" i="14"/>
  <c r="Y68" i="14"/>
  <c r="X68" i="14"/>
  <c r="Q68" i="14"/>
  <c r="AR68" i="14" s="1"/>
  <c r="AQ67" i="14"/>
  <c r="AJ67" i="14"/>
  <c r="AL67" i="14" s="1"/>
  <c r="AA67" i="14"/>
  <c r="Z67" i="14"/>
  <c r="Y67" i="14"/>
  <c r="X67" i="14"/>
  <c r="Q67" i="14"/>
  <c r="AR67" i="14" s="1"/>
  <c r="AQ66" i="14"/>
  <c r="AJ66" i="14"/>
  <c r="AL66" i="14" s="1"/>
  <c r="AA66" i="14"/>
  <c r="Y66" i="14" s="1"/>
  <c r="Z66" i="14"/>
  <c r="X66" i="14"/>
  <c r="Q66" i="14"/>
  <c r="AR66" i="14" s="1"/>
  <c r="AQ65" i="14"/>
  <c r="AJ65" i="14"/>
  <c r="AL65" i="14" s="1"/>
  <c r="AA65" i="14"/>
  <c r="Y65" i="14" s="1"/>
  <c r="Z65" i="14"/>
  <c r="X65" i="14"/>
  <c r="Q65" i="14"/>
  <c r="AR65" i="14" s="1"/>
  <c r="AQ64" i="14"/>
  <c r="AJ64" i="14"/>
  <c r="AL64" i="14" s="1"/>
  <c r="AA64" i="14"/>
  <c r="Y64" i="14" s="1"/>
  <c r="Z64" i="14"/>
  <c r="X64" i="14"/>
  <c r="Q64" i="14"/>
  <c r="AR64" i="14" s="1"/>
  <c r="AQ63" i="14"/>
  <c r="AJ63" i="14"/>
  <c r="AL63" i="14" s="1"/>
  <c r="AA63" i="14"/>
  <c r="Z63" i="14"/>
  <c r="Y63" i="14"/>
  <c r="X63" i="14"/>
  <c r="Q63" i="14"/>
  <c r="AR63" i="14" s="1"/>
  <c r="AN14" i="14"/>
  <c r="AG14" i="14"/>
  <c r="AI14" i="14" s="1"/>
  <c r="AB14" i="14"/>
  <c r="X14" i="14"/>
  <c r="Q14" i="14"/>
  <c r="U14" i="14" s="1"/>
  <c r="P14" i="14"/>
  <c r="AN13" i="14"/>
  <c r="AG13" i="14"/>
  <c r="AI13" i="14" s="1"/>
  <c r="AB13" i="14"/>
  <c r="X13" i="14"/>
  <c r="Q13" i="14"/>
  <c r="U13" i="14" s="1"/>
  <c r="P13" i="14"/>
  <c r="AO14" i="14" s="1"/>
  <c r="I137" i="32" l="1"/>
  <c r="I174" i="32"/>
  <c r="I25" i="32"/>
  <c r="N116" i="35"/>
  <c r="K131" i="35"/>
  <c r="I111" i="35" s="1"/>
  <c r="I137" i="35"/>
  <c r="I110" i="35"/>
  <c r="J111" i="35"/>
  <c r="K317" i="35"/>
  <c r="J114" i="35"/>
  <c r="N114" i="35" s="1"/>
  <c r="J29" i="35" s="1"/>
  <c r="J112" i="35"/>
  <c r="N112" i="35" s="1"/>
  <c r="J27" i="35" s="1"/>
  <c r="J113" i="35"/>
  <c r="N113" i="35" s="1"/>
  <c r="J28" i="35" s="1"/>
  <c r="J110" i="35"/>
  <c r="J116" i="35"/>
  <c r="J115" i="35"/>
  <c r="N115" i="35" s="1"/>
  <c r="I280" i="32"/>
  <c r="K174" i="32"/>
  <c r="K273" i="32"/>
  <c r="K188" i="32"/>
  <c r="K132" i="32"/>
  <c r="I112" i="32" s="1"/>
  <c r="I332" i="35"/>
  <c r="M117" i="32"/>
  <c r="M117" i="35"/>
  <c r="K331" i="35"/>
  <c r="K332" i="35" s="1"/>
  <c r="O95" i="35"/>
  <c r="K222" i="35"/>
  <c r="O200" i="35"/>
  <c r="L325" i="35"/>
  <c r="L332" i="35" s="1"/>
  <c r="M300" i="35"/>
  <c r="L273" i="32"/>
  <c r="L280" i="32" s="1"/>
  <c r="M246" i="32"/>
  <c r="N111" i="32"/>
  <c r="J26" i="32" s="1"/>
  <c r="N113" i="32"/>
  <c r="J28" i="32" s="1"/>
  <c r="I26" i="35"/>
  <c r="I29" i="35"/>
  <c r="I30" i="35"/>
  <c r="I25" i="35"/>
  <c r="I28" i="35"/>
  <c r="I31" i="35"/>
  <c r="I27" i="35"/>
  <c r="I28" i="32"/>
  <c r="I29" i="32"/>
  <c r="I26" i="32"/>
  <c r="I31" i="32"/>
  <c r="I30" i="32"/>
  <c r="I27" i="32"/>
  <c r="K277" i="32"/>
  <c r="Y73" i="17"/>
  <c r="AF68" i="17" s="1"/>
  <c r="AG68" i="17" s="1"/>
  <c r="AS68" i="17" s="1"/>
  <c r="Y58" i="17"/>
  <c r="AF55" i="17" s="1"/>
  <c r="AG55" i="17" s="1"/>
  <c r="AS55" i="17" s="1"/>
  <c r="R19" i="17"/>
  <c r="AC18" i="17" s="1"/>
  <c r="AD18" i="17" s="1"/>
  <c r="AP18" i="17" s="1"/>
  <c r="R27" i="17"/>
  <c r="AC24" i="17" s="1"/>
  <c r="AD24" i="17" s="1"/>
  <c r="AP24" i="17" s="1"/>
  <c r="Y65" i="17"/>
  <c r="AF63" i="17" s="1"/>
  <c r="AG63" i="17" s="1"/>
  <c r="AS63" i="17" s="1"/>
  <c r="Y80" i="17"/>
  <c r="AF77" i="17" s="1"/>
  <c r="AG77" i="17" s="1"/>
  <c r="AS77" i="17" s="1"/>
  <c r="R43" i="17"/>
  <c r="AC41" i="17" s="1"/>
  <c r="AD41" i="17" s="1"/>
  <c r="AP41" i="17" s="1"/>
  <c r="R35" i="17"/>
  <c r="AC30" i="17" s="1"/>
  <c r="AD30" i="17" s="1"/>
  <c r="AP30" i="17" s="1"/>
  <c r="AC40" i="17"/>
  <c r="AD40" i="17" s="1"/>
  <c r="AP40" i="17" s="1"/>
  <c r="AC38" i="17"/>
  <c r="AD38" i="17" s="1"/>
  <c r="AP38" i="17" s="1"/>
  <c r="AC37" i="17"/>
  <c r="AD37" i="17" s="1"/>
  <c r="AP37" i="17" s="1"/>
  <c r="AC36" i="17"/>
  <c r="X39" i="15"/>
  <c r="AB39" i="15"/>
  <c r="AB25" i="15"/>
  <c r="AB32" i="15"/>
  <c r="AE48" i="15"/>
  <c r="AB18" i="15"/>
  <c r="X32" i="15"/>
  <c r="AC28" i="15" s="1"/>
  <c r="X25" i="15"/>
  <c r="AC21" i="15" s="1"/>
  <c r="X18" i="15"/>
  <c r="Y54" i="15"/>
  <c r="Z61" i="15"/>
  <c r="AB61" i="15"/>
  <c r="Y76" i="15"/>
  <c r="Z69" i="15"/>
  <c r="Y69" i="15"/>
  <c r="Y55" i="15"/>
  <c r="Y61" i="15" s="1"/>
  <c r="Z76" i="15"/>
  <c r="X69" i="15"/>
  <c r="X76" i="15"/>
  <c r="AB69" i="15"/>
  <c r="X61" i="15"/>
  <c r="X54" i="15"/>
  <c r="Z54" i="15"/>
  <c r="AB76" i="15"/>
  <c r="AB54" i="15"/>
  <c r="AF50" i="15" s="1"/>
  <c r="AE73" i="15"/>
  <c r="AB73" i="15"/>
  <c r="AE74" i="15"/>
  <c r="AB74" i="15"/>
  <c r="AE75" i="15"/>
  <c r="AB75" i="15"/>
  <c r="AE70" i="15"/>
  <c r="AB70" i="15"/>
  <c r="AE71" i="15"/>
  <c r="AB71" i="15"/>
  <c r="AE72" i="15"/>
  <c r="AB72" i="15"/>
  <c r="AE66" i="15"/>
  <c r="AB66" i="15"/>
  <c r="AE67" i="15"/>
  <c r="AB67" i="15"/>
  <c r="AE68" i="15"/>
  <c r="AB68" i="15"/>
  <c r="AE58" i="15"/>
  <c r="AB58" i="15"/>
  <c r="AE59" i="15"/>
  <c r="AB59" i="15"/>
  <c r="AE60" i="15"/>
  <c r="AB60" i="15"/>
  <c r="AE55" i="15"/>
  <c r="AB55" i="15"/>
  <c r="AE56" i="15"/>
  <c r="AB56" i="15"/>
  <c r="AE57" i="15"/>
  <c r="AB57" i="15"/>
  <c r="AE51" i="15"/>
  <c r="AB51" i="15"/>
  <c r="AE52" i="15"/>
  <c r="AB52" i="15"/>
  <c r="AE53" i="15"/>
  <c r="AB53" i="15"/>
  <c r="AO16" i="15"/>
  <c r="AO29" i="15"/>
  <c r="AO20" i="15"/>
  <c r="AO33" i="15"/>
  <c r="AO23" i="15"/>
  <c r="AO36" i="15"/>
  <c r="U36" i="15"/>
  <c r="U37" i="15"/>
  <c r="U38" i="15"/>
  <c r="U33" i="15"/>
  <c r="U34" i="15"/>
  <c r="U35" i="15"/>
  <c r="U29" i="15"/>
  <c r="U30" i="15"/>
  <c r="U31" i="15"/>
  <c r="U22" i="15"/>
  <c r="U23" i="15"/>
  <c r="U24" i="15"/>
  <c r="U19" i="15"/>
  <c r="U20" i="15"/>
  <c r="U21" i="15"/>
  <c r="U15" i="15"/>
  <c r="R15" i="15"/>
  <c r="U16" i="15"/>
  <c r="R16" i="15"/>
  <c r="U17" i="15"/>
  <c r="R17" i="15"/>
  <c r="AO26" i="15"/>
  <c r="AO13" i="15"/>
  <c r="R12" i="15"/>
  <c r="U13" i="15"/>
  <c r="R13" i="15"/>
  <c r="U14" i="15"/>
  <c r="R14" i="15"/>
  <c r="U26" i="15"/>
  <c r="U27" i="15"/>
  <c r="U28" i="15"/>
  <c r="AB48" i="15"/>
  <c r="AE49" i="15"/>
  <c r="AB49" i="15"/>
  <c r="AE50" i="15"/>
  <c r="AB50" i="15"/>
  <c r="AE63" i="15"/>
  <c r="AB63" i="15"/>
  <c r="AE64" i="15"/>
  <c r="AB64" i="15"/>
  <c r="AE65" i="15"/>
  <c r="AB65" i="15"/>
  <c r="AE63" i="14"/>
  <c r="AB63" i="14"/>
  <c r="AG63" i="14"/>
  <c r="AS63" i="14" s="1"/>
  <c r="AB64" i="14"/>
  <c r="AF64" i="14" s="1"/>
  <c r="AB66" i="14"/>
  <c r="AE64" i="14"/>
  <c r="AE66" i="14"/>
  <c r="AB65" i="14"/>
  <c r="AF65" i="14" s="1"/>
  <c r="AB67" i="14"/>
  <c r="AF67" i="14" s="1"/>
  <c r="AE65" i="14"/>
  <c r="AE67" i="14"/>
  <c r="AB68" i="14"/>
  <c r="AF68" i="14" s="1"/>
  <c r="AE68" i="14"/>
  <c r="AG68" i="14" s="1"/>
  <c r="AS68" i="14" s="1"/>
  <c r="R14" i="14"/>
  <c r="AC14" i="14" s="1"/>
  <c r="AD14" i="14" s="1"/>
  <c r="AP14" i="14" s="1"/>
  <c r="R13" i="14"/>
  <c r="AC13" i="14" s="1"/>
  <c r="AD13" i="14" s="1"/>
  <c r="N110" i="35" l="1"/>
  <c r="J25" i="35" s="1"/>
  <c r="K25" i="35" s="1"/>
  <c r="J325" i="35" s="1"/>
  <c r="N111" i="35"/>
  <c r="J26" i="35" s="1"/>
  <c r="K26" i="35" s="1"/>
  <c r="J326" i="35" s="1"/>
  <c r="M326" i="35" s="1"/>
  <c r="K137" i="35"/>
  <c r="N112" i="32"/>
  <c r="J27" i="32" s="1"/>
  <c r="K27" i="32" s="1"/>
  <c r="J275" i="32" s="1"/>
  <c r="M275" i="32" s="1"/>
  <c r="N110" i="32"/>
  <c r="K280" i="32"/>
  <c r="K137" i="32"/>
  <c r="J31" i="35"/>
  <c r="K31" i="35" s="1"/>
  <c r="J331" i="35" s="1"/>
  <c r="M331" i="35" s="1"/>
  <c r="J30" i="35"/>
  <c r="K30" i="35" s="1"/>
  <c r="J330" i="35" s="1"/>
  <c r="M330" i="35" s="1"/>
  <c r="K29" i="35"/>
  <c r="J329" i="35" s="1"/>
  <c r="M329" i="35" s="1"/>
  <c r="K27" i="35"/>
  <c r="J327" i="35" s="1"/>
  <c r="M327" i="35" s="1"/>
  <c r="K28" i="35"/>
  <c r="J328" i="35" s="1"/>
  <c r="M328" i="35" s="1"/>
  <c r="N116" i="32"/>
  <c r="J31" i="32" s="1"/>
  <c r="K31" i="32" s="1"/>
  <c r="J279" i="32" s="1"/>
  <c r="M279" i="32" s="1"/>
  <c r="N115" i="32"/>
  <c r="J30" i="32" s="1"/>
  <c r="K30" i="32" s="1"/>
  <c r="J278" i="32" s="1"/>
  <c r="M278" i="32" s="1"/>
  <c r="N114" i="32"/>
  <c r="J29" i="32" s="1"/>
  <c r="K29" i="32" s="1"/>
  <c r="J277" i="32" s="1"/>
  <c r="M277" i="32" s="1"/>
  <c r="K26" i="32"/>
  <c r="J274" i="32" s="1"/>
  <c r="M274" i="32" s="1"/>
  <c r="K28" i="32"/>
  <c r="J276" i="32" s="1"/>
  <c r="M276" i="32" s="1"/>
  <c r="AC34" i="15"/>
  <c r="AD12" i="17"/>
  <c r="AF59" i="17"/>
  <c r="AG59" i="17" s="1"/>
  <c r="AS59" i="17" s="1"/>
  <c r="AF67" i="17"/>
  <c r="AG67" i="17" s="1"/>
  <c r="AS67" i="17" s="1"/>
  <c r="AC42" i="17"/>
  <c r="AD42" i="17" s="1"/>
  <c r="AP42" i="17" s="1"/>
  <c r="AF72" i="17"/>
  <c r="AG72" i="17" s="1"/>
  <c r="AS72" i="17" s="1"/>
  <c r="AC20" i="17"/>
  <c r="AD20" i="17" s="1"/>
  <c r="AP20" i="17" s="1"/>
  <c r="AC26" i="17"/>
  <c r="AD26" i="17" s="1"/>
  <c r="AP26" i="17" s="1"/>
  <c r="AF53" i="17"/>
  <c r="AG53" i="17" s="1"/>
  <c r="AS53" i="17" s="1"/>
  <c r="AC22" i="17"/>
  <c r="AD22" i="17" s="1"/>
  <c r="AP22" i="17" s="1"/>
  <c r="AC21" i="17"/>
  <c r="AD21" i="17" s="1"/>
  <c r="AP21" i="17" s="1"/>
  <c r="AF54" i="17"/>
  <c r="AG54" i="17" s="1"/>
  <c r="AS54" i="17" s="1"/>
  <c r="AF70" i="17"/>
  <c r="AG70" i="17" s="1"/>
  <c r="AS70" i="17" s="1"/>
  <c r="AC13" i="17"/>
  <c r="AD13" i="17" s="1"/>
  <c r="AP13" i="17" s="1"/>
  <c r="AC14" i="17"/>
  <c r="AD14" i="17" s="1"/>
  <c r="AP14" i="17" s="1"/>
  <c r="AF57" i="17"/>
  <c r="AG57" i="17" s="1"/>
  <c r="AS57" i="17" s="1"/>
  <c r="AF71" i="17"/>
  <c r="AG71" i="17" s="1"/>
  <c r="AS71" i="17" s="1"/>
  <c r="AF69" i="17"/>
  <c r="AG69" i="17" s="1"/>
  <c r="AS69" i="17" s="1"/>
  <c r="AF56" i="17"/>
  <c r="AG56" i="17" s="1"/>
  <c r="AS56" i="17" s="1"/>
  <c r="AC17" i="17"/>
  <c r="AD17" i="17" s="1"/>
  <c r="AP17" i="17" s="1"/>
  <c r="AC25" i="17"/>
  <c r="AD25" i="17" s="1"/>
  <c r="AP25" i="17" s="1"/>
  <c r="AF52" i="17"/>
  <c r="AG52" i="17" s="1"/>
  <c r="AC16" i="17"/>
  <c r="AD16" i="17" s="1"/>
  <c r="AP16" i="17" s="1"/>
  <c r="AF61" i="17"/>
  <c r="AG61" i="17" s="1"/>
  <c r="AS61" i="17" s="1"/>
  <c r="AF62" i="17"/>
  <c r="AG62" i="17" s="1"/>
  <c r="AS62" i="17" s="1"/>
  <c r="AF79" i="17"/>
  <c r="AG79" i="17" s="1"/>
  <c r="AS79" i="17" s="1"/>
  <c r="AF64" i="17"/>
  <c r="AG64" i="17" s="1"/>
  <c r="AS64" i="17" s="1"/>
  <c r="AF75" i="17"/>
  <c r="AG75" i="17" s="1"/>
  <c r="AS75" i="17" s="1"/>
  <c r="AF60" i="17"/>
  <c r="AG60" i="17" s="1"/>
  <c r="AS60" i="17" s="1"/>
  <c r="AF76" i="17"/>
  <c r="AG76" i="17" s="1"/>
  <c r="AS76" i="17" s="1"/>
  <c r="AF74" i="17"/>
  <c r="AG74" i="17" s="1"/>
  <c r="AS74" i="17" s="1"/>
  <c r="AF78" i="17"/>
  <c r="AG78" i="17" s="1"/>
  <c r="AS78" i="17" s="1"/>
  <c r="AC34" i="17"/>
  <c r="AD34" i="17" s="1"/>
  <c r="AC28" i="17"/>
  <c r="AC43" i="17"/>
  <c r="AD36" i="17"/>
  <c r="AP36" i="17" s="1"/>
  <c r="AC29" i="17"/>
  <c r="AD29" i="17" s="1"/>
  <c r="AP29" i="17" s="1"/>
  <c r="AC32" i="17"/>
  <c r="AD32" i="17" s="1"/>
  <c r="AP32" i="17" s="1"/>
  <c r="AC33" i="17"/>
  <c r="AD33" i="17" s="1"/>
  <c r="AP33" i="17" s="1"/>
  <c r="AC12" i="15"/>
  <c r="AC13" i="15"/>
  <c r="AC15" i="15"/>
  <c r="AC20" i="15"/>
  <c r="R39" i="15"/>
  <c r="AC36" i="15" s="1"/>
  <c r="R32" i="15"/>
  <c r="AC26" i="15" s="1"/>
  <c r="AF49" i="15"/>
  <c r="AG70" i="15"/>
  <c r="AS70" i="15" s="1"/>
  <c r="R25" i="15"/>
  <c r="AC24" i="15" s="1"/>
  <c r="AF71" i="15"/>
  <c r="AG71" i="15" s="1"/>
  <c r="AS71" i="15" s="1"/>
  <c r="AF64" i="15"/>
  <c r="AF67" i="15"/>
  <c r="AG67" i="15" s="1"/>
  <c r="AS67" i="15" s="1"/>
  <c r="AF66" i="15"/>
  <c r="AG66" i="15" s="1"/>
  <c r="AS66" i="15" s="1"/>
  <c r="AF65" i="15"/>
  <c r="AF68" i="15"/>
  <c r="AG68" i="15" s="1"/>
  <c r="AS68" i="15" s="1"/>
  <c r="AF51" i="15"/>
  <c r="AG51" i="15" s="1"/>
  <c r="AS51" i="15" s="1"/>
  <c r="AF59" i="15"/>
  <c r="AG59" i="15" s="1"/>
  <c r="AS59" i="15" s="1"/>
  <c r="AF58" i="15"/>
  <c r="AG58" i="15" s="1"/>
  <c r="AS58" i="15" s="1"/>
  <c r="AF60" i="15"/>
  <c r="AG60" i="15" s="1"/>
  <c r="AS60" i="15" s="1"/>
  <c r="AF57" i="15"/>
  <c r="AG57" i="15" s="1"/>
  <c r="AS57" i="15" s="1"/>
  <c r="AF73" i="15"/>
  <c r="AG73" i="15" s="1"/>
  <c r="AS73" i="15" s="1"/>
  <c r="AF72" i="15"/>
  <c r="AG72" i="15" s="1"/>
  <c r="AS72" i="15" s="1"/>
  <c r="AF75" i="15"/>
  <c r="AG75" i="15" s="1"/>
  <c r="AS75" i="15" s="1"/>
  <c r="AF74" i="15"/>
  <c r="AG74" i="15" s="1"/>
  <c r="AS74" i="15" s="1"/>
  <c r="AF53" i="15"/>
  <c r="AG53" i="15" s="1"/>
  <c r="AS53" i="15" s="1"/>
  <c r="AF56" i="15"/>
  <c r="AG56" i="15" s="1"/>
  <c r="AS56" i="15" s="1"/>
  <c r="AF52" i="15"/>
  <c r="AG52" i="15" s="1"/>
  <c r="AS52" i="15" s="1"/>
  <c r="AG55" i="15"/>
  <c r="AS55" i="15" s="1"/>
  <c r="AG64" i="14"/>
  <c r="AS64" i="14" s="1"/>
  <c r="AF66" i="14"/>
  <c r="AG67" i="14"/>
  <c r="AS67" i="14" s="1"/>
  <c r="AG65" i="14"/>
  <c r="AS65" i="14" s="1"/>
  <c r="J25" i="32" l="1"/>
  <c r="K25" i="32" s="1"/>
  <c r="J273" i="32" s="1"/>
  <c r="N117" i="35"/>
  <c r="M325" i="35"/>
  <c r="M332" i="35" s="1"/>
  <c r="J332" i="35"/>
  <c r="AD26" i="15"/>
  <c r="AP44" i="17"/>
  <c r="AD19" i="17"/>
  <c r="AC27" i="17"/>
  <c r="AF58" i="17"/>
  <c r="AC19" i="17"/>
  <c r="AS82" i="17"/>
  <c r="AC35" i="17"/>
  <c r="AD28" i="17"/>
  <c r="AP28" i="17" s="1"/>
  <c r="AV48" i="17" s="1"/>
  <c r="AV51" i="17" s="1"/>
  <c r="AD12" i="15"/>
  <c r="AC23" i="15"/>
  <c r="AD23" i="15" s="1"/>
  <c r="AP23" i="15" s="1"/>
  <c r="AC22" i="15"/>
  <c r="AD22" i="15" s="1"/>
  <c r="AP22" i="15" s="1"/>
  <c r="AC37" i="15"/>
  <c r="AD37" i="15" s="1"/>
  <c r="AP37" i="15" s="1"/>
  <c r="AD34" i="15"/>
  <c r="AP34" i="15" s="1"/>
  <c r="AC35" i="15"/>
  <c r="AD35" i="15" s="1"/>
  <c r="AP35" i="15" s="1"/>
  <c r="AC38" i="15"/>
  <c r="AD38" i="15" s="1"/>
  <c r="AP38" i="15" s="1"/>
  <c r="AC33" i="15"/>
  <c r="AC27" i="15"/>
  <c r="AC31" i="15"/>
  <c r="AD31" i="15" s="1"/>
  <c r="AP31" i="15" s="1"/>
  <c r="AC30" i="15"/>
  <c r="AD30" i="15" s="1"/>
  <c r="AP30" i="15" s="1"/>
  <c r="AC29" i="15"/>
  <c r="AD29" i="15" s="1"/>
  <c r="AP29" i="15" s="1"/>
  <c r="AD28" i="15"/>
  <c r="AP28" i="15" s="1"/>
  <c r="AC19" i="15"/>
  <c r="AD36" i="15"/>
  <c r="AP36" i="15" s="1"/>
  <c r="AP26" i="15"/>
  <c r="AD20" i="15"/>
  <c r="AP20" i="15" s="1"/>
  <c r="AD21" i="15"/>
  <c r="AP21" i="15" s="1"/>
  <c r="AD24" i="15"/>
  <c r="AP24" i="15" s="1"/>
  <c r="AC17" i="15"/>
  <c r="AD17" i="15" s="1"/>
  <c r="AP17" i="15" s="1"/>
  <c r="AD13" i="15"/>
  <c r="AP13" i="15" s="1"/>
  <c r="AC14" i="15"/>
  <c r="AD15" i="15"/>
  <c r="AP15" i="15" s="1"/>
  <c r="AC16" i="15"/>
  <c r="AD16" i="15" s="1"/>
  <c r="AP16" i="15" s="1"/>
  <c r="AP12" i="15"/>
  <c r="AF54" i="15"/>
  <c r="AG50" i="15"/>
  <c r="AS50" i="15" s="1"/>
  <c r="AG49" i="15"/>
  <c r="AS49" i="15" s="1"/>
  <c r="AG65" i="15"/>
  <c r="AS65" i="15" s="1"/>
  <c r="AG64" i="15"/>
  <c r="AS64" i="15" s="1"/>
  <c r="AG66" i="14"/>
  <c r="AS66" i="14" s="1"/>
  <c r="AS69" i="14" s="1"/>
  <c r="J280" i="32" l="1"/>
  <c r="M273" i="32"/>
  <c r="M280" i="32" s="1"/>
  <c r="AD19" i="15"/>
  <c r="AP19" i="15" s="1"/>
  <c r="AC25" i="15"/>
  <c r="AD27" i="15"/>
  <c r="AP27" i="15" s="1"/>
  <c r="AC32" i="15"/>
  <c r="AD33" i="15"/>
  <c r="AP33" i="15" s="1"/>
  <c r="AC39" i="15"/>
  <c r="AD14" i="15"/>
  <c r="AP14" i="15" s="1"/>
  <c r="AC18" i="15"/>
  <c r="AG63" i="15"/>
  <c r="AS63" i="15" s="1"/>
  <c r="AS48" i="15"/>
  <c r="X35" i="14"/>
  <c r="AJ35" i="14"/>
  <c r="AL35" i="14" s="1"/>
  <c r="AQ35" i="14"/>
  <c r="AJ36" i="14"/>
  <c r="AL36" i="14" s="1"/>
  <c r="AQ36" i="14"/>
  <c r="AJ37" i="14"/>
  <c r="AL37" i="14" s="1"/>
  <c r="AQ37" i="14"/>
  <c r="AJ39" i="14"/>
  <c r="AL39" i="14" s="1"/>
  <c r="AQ39" i="14"/>
  <c r="AJ40" i="14"/>
  <c r="AL40" i="14" s="1"/>
  <c r="AQ40" i="14"/>
  <c r="AJ41" i="14"/>
  <c r="AL41" i="14" s="1"/>
  <c r="AQ41" i="14"/>
  <c r="Q18" i="14"/>
  <c r="R18" i="14" s="1"/>
  <c r="Q17" i="14"/>
  <c r="R17" i="14" s="1"/>
  <c r="Q16" i="14"/>
  <c r="Q12" i="14"/>
  <c r="U12" i="14" s="1"/>
  <c r="AA39" i="14"/>
  <c r="AE39" i="14" s="1"/>
  <c r="AA40" i="14"/>
  <c r="AB40" i="14" s="1"/>
  <c r="AA41" i="14"/>
  <c r="Y41" i="14" s="1"/>
  <c r="AA37" i="14"/>
  <c r="Y37" i="14" s="1"/>
  <c r="AA36" i="14"/>
  <c r="Y36" i="14" s="1"/>
  <c r="AA35" i="14"/>
  <c r="AE35" i="14" s="1"/>
  <c r="AN12" i="14"/>
  <c r="AN16" i="14"/>
  <c r="AN17" i="14"/>
  <c r="AN18" i="14"/>
  <c r="AG12" i="14"/>
  <c r="AI12" i="14" s="1"/>
  <c r="AG16" i="14"/>
  <c r="AI16" i="14" s="1"/>
  <c r="AG17" i="14"/>
  <c r="AI17" i="14" s="1"/>
  <c r="AG18" i="14"/>
  <c r="AI18" i="14" s="1"/>
  <c r="AB12" i="14"/>
  <c r="AB16" i="14"/>
  <c r="AB17" i="14"/>
  <c r="AB18" i="14"/>
  <c r="X12" i="14"/>
  <c r="X16" i="14"/>
  <c r="X17" i="14"/>
  <c r="X18" i="14"/>
  <c r="Z41" i="14"/>
  <c r="X41" i="14"/>
  <c r="Q41" i="14"/>
  <c r="AR41" i="14" s="1"/>
  <c r="Q39" i="14"/>
  <c r="AR39" i="14" s="1"/>
  <c r="X39" i="14"/>
  <c r="Z39" i="14"/>
  <c r="Q40" i="14"/>
  <c r="AR40" i="14" s="1"/>
  <c r="X40" i="14"/>
  <c r="Z40" i="14"/>
  <c r="AV44" i="15" l="1"/>
  <c r="AV47" i="15" s="1"/>
  <c r="Y35" i="14"/>
  <c r="Y38" i="14" s="1"/>
  <c r="X42" i="14"/>
  <c r="Z42" i="14"/>
  <c r="R15" i="14"/>
  <c r="R16" i="14"/>
  <c r="AC16" i="14" s="1"/>
  <c r="R19" i="14"/>
  <c r="Y40" i="14"/>
  <c r="AE40" i="14"/>
  <c r="AE36" i="14"/>
  <c r="AE41" i="14"/>
  <c r="AE37" i="14"/>
  <c r="AA42" i="14"/>
  <c r="AB35" i="14"/>
  <c r="U17" i="14"/>
  <c r="AB37" i="14"/>
  <c r="AB41" i="14"/>
  <c r="U18" i="14"/>
  <c r="AB36" i="14"/>
  <c r="AB39" i="14"/>
  <c r="U16" i="14"/>
  <c r="R12" i="14"/>
  <c r="Y39" i="14"/>
  <c r="AA38" i="14"/>
  <c r="AC18" i="14"/>
  <c r="AC17" i="14"/>
  <c r="AE42" i="14" l="1"/>
  <c r="Y42" i="14"/>
  <c r="AD12" i="14"/>
  <c r="AB42" i="14"/>
  <c r="AD18" i="14"/>
  <c r="AB38" i="14"/>
  <c r="AE38" i="14"/>
  <c r="AD17" i="14"/>
  <c r="AD16" i="14"/>
  <c r="P18" i="14"/>
  <c r="P17" i="14"/>
  <c r="AO18" i="14" s="1"/>
  <c r="P16" i="14"/>
  <c r="AO17" i="14" s="1"/>
  <c r="P12" i="14"/>
  <c r="AO12" i="14"/>
  <c r="Q35" i="14"/>
  <c r="AR35" i="14" s="1"/>
  <c r="Z37" i="14"/>
  <c r="X37" i="14"/>
  <c r="Q37" i="14"/>
  <c r="AR37" i="14" s="1"/>
  <c r="Z35" i="14"/>
  <c r="C4" i="13"/>
  <c r="AF40" i="14" l="1"/>
  <c r="AG40" i="14" s="1"/>
  <c r="AS40" i="14" s="1"/>
  <c r="AP12" i="14"/>
  <c r="AP18" i="14"/>
  <c r="AF41" i="14"/>
  <c r="AG41" i="14" s="1"/>
  <c r="AS41" i="14" s="1"/>
  <c r="AF39" i="14"/>
  <c r="AG39" i="14" s="1"/>
  <c r="AS39" i="14" s="1"/>
  <c r="AS42" i="14" s="1"/>
  <c r="AP17" i="14"/>
  <c r="AO16" i="14"/>
  <c r="AP16" i="14" s="1"/>
  <c r="AO13" i="14"/>
  <c r="AP13" i="14" s="1"/>
  <c r="Q36" i="14"/>
  <c r="AR36" i="14" s="1"/>
  <c r="X36" i="14"/>
  <c r="X38" i="14" s="1"/>
  <c r="Z36" i="14"/>
  <c r="Z38" i="14" s="1"/>
  <c r="AP20" i="14" l="1"/>
  <c r="AF37" i="14"/>
  <c r="AG37" i="14" s="1"/>
  <c r="AS37" i="14" s="1"/>
  <c r="AF36" i="14"/>
  <c r="AG36" i="14" s="1"/>
  <c r="AS36" i="14" s="1"/>
  <c r="AG35" i="14"/>
  <c r="AS35" i="14" s="1"/>
  <c r="AF42" i="14"/>
  <c r="AS38" i="14" l="1"/>
  <c r="AS43" i="14" s="1"/>
  <c r="AS47" i="14" s="1"/>
  <c r="AF38"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tc={6AE4CAB0-A418-469C-AF41-A5703EE058F5}</author>
  </authors>
  <commentList>
    <comment ref="D9" authorId="0" shapeId="0" xr:uid="{6AE4CAB0-A418-469C-AF41-A5703EE058F5}">
      <text>
        <t>[Threaded comment]
Your version of Excel allows you to read this threaded comment; however, any edits to it will get removed if the file is opened in a newer version of Excel. Learn more: https://go.microsoft.com/fwlink/?linkid=870924
Comment:
    parameter description under equation 2 in VM0044 shows unit as percent, however, this is aded as proportion in calculation engine for accurate calculations. Calculation engine needs update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tc={0627482E-C602-40B6-B6FC-A55A6DEF21A4}</author>
    <author>tc={605BD489-4EB2-4EF5-9F05-80902E05D6DD}</author>
    <author>tc={C9CE89D8-72A1-4D10-A2BA-9648428022E4}</author>
    <author>tc={8527E4AA-F083-4D3D-A81E-00C16789268D}</author>
    <author>tc={E6ADAF33-2861-4620-9D1F-9D73A1268CEB}</author>
    <author>tc={7F5EE69A-F91A-45DC-B246-49FD84AAFC0D}</author>
    <author>tc={A10D2BD7-ED16-4051-9FA4-0573DE04713F}</author>
    <author>tc={21722E7E-5B84-46B4-9474-C9A0FF7DE2DD}</author>
  </authors>
  <commentList>
    <comment ref="AB34" authorId="0" shapeId="0" xr:uid="{0627482E-C602-40B6-B6FC-A55A6DEF21A4}">
      <text>
        <t xml:space="preserve">[Threaded comment]
Your version of Excel allows you to read this threaded comment; however, any edits to it will get removed if the file is opened in a newer version of Excel. Learn more: https://go.microsoft.com/fwlink/?linkid=870924
Comment:
    @Karina Bautista what would be difference between Mpy and Mt,k,p,y in terms calculation. How do we treat these parameters in this data set. This is same data set as you shared and i am running test for multiple years, multiple biochar types, order change, and case sensitivity as we discussed last time. 
Mpy is total mass per facility, and Mtkpy is mass per facility per biochar type. However, when calculating in this table, how do we fix the formulas for this? 
Reply:
    I am not sure Waqar, but the way I see it there is no Mpy value per feedstock as it is reflected here on this table. Mpy is the sum of all mass on dry weight basis (all feedstocks and all applications) per facility. Thus, there should be just 1 number per facility, not per feedstock type.  Mpy is the sum of all production in a facility (all types of feedstocks and all types of application). It is only used in Eq 3 (high tech)  and Eq7 (low tech),  to determine project emissions. The sum of all feedstock types and applications is divided per Mpy (the sum of all per facility). 
Reply:
    @Karina Bautista i updated the formula, please check it now
</t>
      </text>
    </comment>
    <comment ref="AF35" authorId="1" shapeId="0" xr:uid="{605BD489-4EB2-4EF5-9F05-80902E05D6D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@Waqar Ashiq This is correct but Y25 should be the sum of all feedstocks (t) in all applications (k) Mtpky. All then is divided by the facility we are calculating (this equation is done per facility)
Reply:
    If we modify it and sum for feedstocks, then it will be same value as Mp,y. Right? 
Reply:
    In this case yes as we only have one facility and one application type</t>
      </text>
    </comment>
    <comment ref="AF36" authorId="2" shapeId="0" xr:uid="{C9CE89D8-72A1-4D10-A2BA-9648428022E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@Waqar Ashiq This is correct but Y25 should be the sum of all feedstocks (t) in all applications (k) Mtpky. All then is divided by the facility we are calculating (this equation is done per facility)
Reply:
    If we modify it and sum for feedstocks, then it will be same value as Mp,y. Right? 
Reply:
    In this case yes as we only have one facility and one application type</t>
      </text>
    </comment>
    <comment ref="AF37" authorId="3" shapeId="0" xr:uid="{8527E4AA-F083-4D3D-A81E-00C16789268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@Waqar Ashiq This is correct but Y25 should be the sum of all feedstocks (t) in all applications (k) Mtpky. All then is divided by the facility we are calculating (this equation is done per facility)
Reply:
    If we modify it and sum for feedstocks, then it will be same value as Mp,y. Right? 
Reply:
    In this case yes as we only have one facility and one application type</t>
      </text>
    </comment>
    <comment ref="AF39" authorId="4" shapeId="0" xr:uid="{E6ADAF33-2861-4620-9D1F-9D73A1268CE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@Waqar Ashiq This is correct but Y25 should be the sum of all feedstocks (t) in all applications (k) Mtpky. All then is divided by the facility we are calculating (this equation is done per facility)
Reply:
    If we modify it and sum for feedstocks, then it will be same value as Mp,y. Right? 
Reply:
    In this case yes as we only have one facility and one application type</t>
      </text>
    </comment>
    <comment ref="AF40" authorId="5" shapeId="0" xr:uid="{7F5EE69A-F91A-45DC-B246-49FD84AAFC0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@Waqar Ashiq This is correct but Y25 should be the sum of all feedstocks (t) in all applications (k) Mtpky. All then is divided by the facility we are calculating (this equation is done per facility)
Reply:
    If we modify it and sum for feedstocks, then it will be same value as Mp,y. Right? 
Reply:
    In this case yes as we only have one facility and one application type</t>
      </text>
    </comment>
    <comment ref="AF41" authorId="6" shapeId="0" xr:uid="{A10D2BD7-ED16-4051-9FA4-0573DE04713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@Waqar Ashiq This is correct but Y25 should be the sum of all feedstocks (t) in all applications (k) Mtpky. All then is divided by the facility we are calculating (this equation is done per facility)
Reply:
    If we modify it and sum for feedstocks, then it will be same value as Mp,y. Right? 
Reply:
    In this case yes as we only have one facility and one application type</t>
      </text>
    </comment>
    <comment ref="AB62" authorId="7" shapeId="0" xr:uid="{21722E7E-5B84-46B4-9474-C9A0FF7DE2DD}">
      <text>
        <t xml:space="preserve">[Threaded comment]
Your version of Excel allows you to read this threaded comment; however, any edits to it will get removed if the file is opened in a newer version of Excel. Learn more: https://go.microsoft.com/fwlink/?linkid=870924
Comment:
    @Karina Bautista what would be difference between Mpy and Mt,k,p,y in terms calculation. How do we treat these parameters in this data set. This is same data set as you shared and i am running test for multiple years, multiple biochar types, order change, and case sensitivity as we discussed last time. 
Mpy is total mass per facility, and Mtkpy is mass per facility per biochar type. However, when calculating in this table, how do we fix the formulas for this? 
Reply:
    I am not sure Waqar, but the way I see it there is no Mpy value per feedstock as it is reflected here on this table. Mpy is the sum of all mass on dry weight basis (all feedstocks and all applications) per facility. Thus, there should be just 1 number per facility, not per feedstock type.  Mpy is the sum of all production in a facility (all types of feedstocks and all types of application). It is only used in Eq 3 (high tech)  and Eq7 (low tech),  to determine project emissions. The sum of all feedstock types and applications is divided per Mpy (the sum of all per facility). 
Reply:
    @Karina Bautista i updated the formula, please check it now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<sst xmlns="http://schemas.openxmlformats.org/spreadsheetml/2006/main" count="5021" uniqueCount="459">
  <si>
    <t>SR</t>
  </si>
  <si>
    <t>Description</t>
  </si>
  <si>
    <t>Parameter</t>
  </si>
  <si>
    <t>Unit</t>
  </si>
  <si>
    <t>Reference</t>
  </si>
  <si>
    <t>Digitalization Status</t>
  </si>
  <si>
    <t>Option (High Tech/Low Tech)</t>
  </si>
  <si>
    <t>Required at Validation</t>
  </si>
  <si>
    <t>Required at Monitoring</t>
  </si>
  <si>
    <t>GHG emissions removals at production stage in year y (tCO2e)</t>
  </si>
  <si>
    <r>
      <t>ER</t>
    </r>
    <r>
      <rPr>
        <b/>
        <vertAlign val="subscript"/>
        <sz val="11"/>
        <color rgb="FF000000"/>
        <rFont val="Calibri"/>
        <family val="2"/>
      </rPr>
      <t>PS,y</t>
    </r>
  </si>
  <si>
    <r>
      <t>tCO</t>
    </r>
    <r>
      <rPr>
        <vertAlign val="subscript"/>
        <sz val="11"/>
        <color rgb="FF000000"/>
        <rFont val="Calibri"/>
        <family val="2"/>
      </rPr>
      <t>2e</t>
    </r>
  </si>
  <si>
    <t>Equation 1</t>
  </si>
  <si>
    <t>Output - See appendix</t>
  </si>
  <si>
    <t>Option 1 and Option 2</t>
  </si>
  <si>
    <t>Organic carbon content on a dry weight basis for biochar type t used for
application type k in year y (tonnes)</t>
  </si>
  <si>
    <r>
      <t>CC</t>
    </r>
    <r>
      <rPr>
        <vertAlign val="subscript"/>
        <sz val="11"/>
        <color rgb="FF000000"/>
        <rFont val="Calibri"/>
        <family val="2"/>
      </rPr>
      <t>t,k,y</t>
    </r>
  </si>
  <si>
    <t>tonnes</t>
  </si>
  <si>
    <t>Coefficient to convert organic carbon to tCO2e</t>
  </si>
  <si>
    <t>value</t>
  </si>
  <si>
    <t>Baseline emissions at application stage</t>
  </si>
  <si>
    <r>
      <t>BE</t>
    </r>
    <r>
      <rPr>
        <vertAlign val="subscript"/>
        <sz val="11"/>
        <color rgb="FF000000"/>
        <rFont val="Aptos Narrow"/>
        <family val="2"/>
      </rPr>
      <t>AS,y</t>
    </r>
  </si>
  <si>
    <t>Not in VM0044</t>
  </si>
  <si>
    <t>Can be added in Baseline Emissions</t>
  </si>
  <si>
    <t>Baseline emissions due to the combustion of waste biomass in year y</t>
  </si>
  <si>
    <r>
      <t>BE</t>
    </r>
    <r>
      <rPr>
        <vertAlign val="subscript"/>
        <sz val="11"/>
        <color rgb="FF000000"/>
        <rFont val="Aptos Narrow"/>
        <family val="2"/>
      </rPr>
      <t>C,y</t>
    </r>
  </si>
  <si>
    <t>Baseline emissions at sourcing stage in year y</t>
  </si>
  <si>
    <t>BESS,y</t>
  </si>
  <si>
    <t>Baseline emissions due to the decomposition of waste biomass in year y</t>
  </si>
  <si>
    <r>
      <t>BE</t>
    </r>
    <r>
      <rPr>
        <vertAlign val="subscript"/>
        <sz val="11"/>
        <color rgb="FF000000"/>
        <rFont val="Aptos Narrow"/>
        <family val="2"/>
      </rPr>
      <t>D,y</t>
    </r>
  </si>
  <si>
    <t>Organic carbon content of biochar type t produced in production facility p per tonne of biochar, taken on a dry weight basis (percent)</t>
  </si>
  <si>
    <r>
      <rPr>
        <sz val="11"/>
        <color rgb="FF000000"/>
        <rFont val="aptos narrow"/>
        <family val="2"/>
        <scheme val="minor"/>
      </rPr>
      <t>F</t>
    </r>
    <r>
      <rPr>
        <vertAlign val="subscript"/>
        <sz val="11"/>
        <color rgb="FF000000"/>
        <rFont val="aptos narrow"/>
        <family val="2"/>
        <scheme val="minor"/>
      </rPr>
      <t>Cp,t,p</t>
    </r>
  </si>
  <si>
    <t>Percent</t>
  </si>
  <si>
    <t>Equation 2</t>
  </si>
  <si>
    <t>Unit correction needed: parameter description under equation 2 in VM0044 shows unit as percent, however, this is aded as proportion in calculation engine for accurate calculations. Calculation engine needs update</t>
  </si>
  <si>
    <t>Yes</t>
  </si>
  <si>
    <t>Emissions associated with the pre-treatment of waste biomass at production facility p in year y (tCO2e)</t>
  </si>
  <si>
    <r>
      <t>P</t>
    </r>
    <r>
      <rPr>
        <vertAlign val="subscript"/>
        <sz val="11"/>
        <color theme="1"/>
        <rFont val="aptos narrow"/>
        <family val="2"/>
        <scheme val="minor"/>
      </rPr>
      <t>ED,p,y</t>
    </r>
  </si>
  <si>
    <t>Equation 3</t>
  </si>
  <si>
    <t>Average methane emissions from producing one tonne of biochar in year y
(tCH4/tonne).</t>
  </si>
  <si>
    <r>
      <t>F</t>
    </r>
    <r>
      <rPr>
        <vertAlign val="subscript"/>
        <sz val="11"/>
        <color theme="1"/>
        <rFont val="aptos narrow"/>
        <family val="2"/>
        <scheme val="minor"/>
      </rPr>
      <t>e</t>
    </r>
  </si>
  <si>
    <t>Equation 9</t>
  </si>
  <si>
    <t>Done</t>
  </si>
  <si>
    <t>Low Tech Facilities</t>
  </si>
  <si>
    <t>Emissions due to the utilization of auxiliary energy for the purpose of pyrolysis at production facility p in year y (tCO2e)</t>
  </si>
  <si>
    <r>
      <t>P</t>
    </r>
    <r>
      <rPr>
        <vertAlign val="subscript"/>
        <sz val="11"/>
        <color theme="1"/>
        <rFont val="aptos narrow"/>
        <family val="2"/>
        <scheme val="minor"/>
      </rPr>
      <t>EC,p,y</t>
    </r>
  </si>
  <si>
    <t>Global warming potential of methane.</t>
  </si>
  <si>
    <r>
      <t>GWP</t>
    </r>
    <r>
      <rPr>
        <vertAlign val="subscript"/>
        <sz val="11"/>
        <color theme="1"/>
        <rFont val="aptos narrow"/>
        <family val="2"/>
        <scheme val="minor"/>
      </rPr>
      <t>CH4</t>
    </r>
  </si>
  <si>
    <t>Missing: It might already be incorporated in calculation/formulas</t>
  </si>
  <si>
    <t>Ratio of hydrogen to organic carbon</t>
  </si>
  <si>
    <t>H:Corg</t>
  </si>
  <si>
    <t>Leakage due to activity shift in year y (tCO2e). Leakage due to activity shift is zero
as use of purposely grown biomass for production of biochar is currently not
allowed.</t>
  </si>
  <si>
    <r>
      <t>LE</t>
    </r>
    <r>
      <rPr>
        <vertAlign val="subscript"/>
        <sz val="11"/>
        <color theme="1"/>
        <rFont val="aptos narrow"/>
        <family val="2"/>
        <scheme val="minor"/>
      </rPr>
      <t>as,y</t>
    </r>
  </si>
  <si>
    <t>Equation 13</t>
  </si>
  <si>
    <t>Leakage due to biomass diversion in year y (tCO2e). Leakage due to biomass
(waste/residue) diversion is considered negligible since only biomass which would
have been combusted or left to decay is utilized for biochar production.</t>
  </si>
  <si>
    <r>
      <t>LE</t>
    </r>
    <r>
      <rPr>
        <vertAlign val="subscript"/>
        <sz val="11"/>
        <color theme="1"/>
        <rFont val="aptos narrow"/>
        <family val="2"/>
        <scheme val="minor"/>
      </rPr>
      <t>bd,y</t>
    </r>
  </si>
  <si>
    <t>Leakage emissions from transportation of biochar from the production facility to the site of end application in year y (tCO2e).</t>
  </si>
  <si>
    <r>
      <t>LE</t>
    </r>
    <r>
      <rPr>
        <vertAlign val="subscript"/>
        <sz val="11"/>
        <color theme="1"/>
        <rFont val="aptos narrow"/>
        <family val="2"/>
        <scheme val="minor"/>
      </rPr>
      <t>tap,y</t>
    </r>
  </si>
  <si>
    <t>TOOL12</t>
  </si>
  <si>
    <t>Leakage emissions from transportation of waste biomass from sourcing to biochar
production facility in year y (tCO2e). As per CDM Tool 16: Project and leakage emissions from biomass, GHG emissions must be accounted for only if transportation distance is more than 200 km. Project proponent must use CDM Tool 12: Project and leakage emissions from transportation of freight to calculate LEts,y</t>
  </si>
  <si>
    <r>
      <t>LE</t>
    </r>
    <r>
      <rPr>
        <vertAlign val="subscript"/>
        <sz val="11"/>
        <color theme="1"/>
        <rFont val="aptos narrow"/>
        <family val="2"/>
        <scheme val="minor"/>
      </rPr>
      <t>ts,y</t>
    </r>
  </si>
  <si>
    <t>Total mass of biochar on a dry weight basis produced in production facility p in year y (tonnes)</t>
  </si>
  <si>
    <r>
      <t>M</t>
    </r>
    <r>
      <rPr>
        <vertAlign val="subscript"/>
        <sz val="11"/>
        <color theme="1"/>
        <rFont val="aptos narrow"/>
        <family val="2"/>
        <scheme val="minor"/>
      </rPr>
      <t>p,y</t>
    </r>
  </si>
  <si>
    <t>Mass on a dry weight basis of biochar type t for application type k produced at the production facility p in year y (tonnes)</t>
  </si>
  <si>
    <r>
      <t>M</t>
    </r>
    <r>
      <rPr>
        <vertAlign val="subscript"/>
        <sz val="11"/>
        <color theme="1"/>
        <rFont val="aptos narrow"/>
        <family val="2"/>
        <scheme val="minor"/>
      </rPr>
      <t>t,k,p,y</t>
    </r>
  </si>
  <si>
    <t>Emissions from processing of biochar type t for application type k in year y (tCO2e)</t>
  </si>
  <si>
    <r>
      <t>E</t>
    </r>
    <r>
      <rPr>
        <vertAlign val="subscript"/>
        <sz val="11"/>
        <color theme="1"/>
        <rFont val="aptos narrow"/>
        <family val="2"/>
        <scheme val="minor"/>
      </rPr>
      <t>P,t,k,y</t>
    </r>
  </si>
  <si>
    <t>Equation 11</t>
  </si>
  <si>
    <t>Emissions from utilization of biochar type t for application type k in year y (tCO2e)</t>
  </si>
  <si>
    <r>
      <t>E</t>
    </r>
    <r>
      <rPr>
        <vertAlign val="subscript"/>
        <sz val="11"/>
        <color theme="1"/>
        <rFont val="aptos narrow"/>
        <family val="2"/>
        <scheme val="minor"/>
      </rPr>
      <t>ap,t,k,y</t>
    </r>
  </si>
  <si>
    <t>Emissions from processing of biochar for application type k in year y (tCO2e)</t>
  </si>
  <si>
    <r>
      <t>E</t>
    </r>
    <r>
      <rPr>
        <vertAlign val="subscript"/>
        <sz val="11"/>
        <color theme="1"/>
        <rFont val="aptos narrow"/>
        <family val="2"/>
        <scheme val="minor"/>
      </rPr>
      <t>P,k,y</t>
    </r>
  </si>
  <si>
    <t>Equation 12</t>
  </si>
  <si>
    <t>GHG emissions at application stage in year y (tCO2e)</t>
  </si>
  <si>
    <r>
      <t>PE</t>
    </r>
    <r>
      <rPr>
        <b/>
        <vertAlign val="subscript"/>
        <sz val="11"/>
        <color theme="1"/>
        <rFont val="aptos narrow"/>
        <family val="2"/>
        <scheme val="minor"/>
      </rPr>
      <t>AS,y</t>
    </r>
  </si>
  <si>
    <t>Equations 11, 15</t>
  </si>
  <si>
    <t>ERAS,y in appendix should actually be PEAS,y</t>
  </si>
  <si>
    <t>Emissions associated with use of grid-connected electricity utilized for starting the reactor at production facility p in year y (tCO2e).</t>
  </si>
  <si>
    <t>PECE,p,y</t>
  </si>
  <si>
    <t>TOOL05</t>
  </si>
  <si>
    <t>Total leakage emissions in year y (tCO2e)</t>
  </si>
  <si>
    <r>
      <t>LE</t>
    </r>
    <r>
      <rPr>
        <vertAlign val="subscript"/>
        <sz val="11"/>
        <color theme="1"/>
        <rFont val="aptos narrow"/>
        <family val="2"/>
        <scheme val="minor"/>
      </rPr>
      <t>y</t>
    </r>
  </si>
  <si>
    <t>Emissions associated with combustion of fossil fuels utilized for starting the reactor at production facility p in year y (tCO2e)</t>
  </si>
  <si>
    <r>
      <t>P</t>
    </r>
    <r>
      <rPr>
        <vertAlign val="subscript"/>
        <sz val="11"/>
        <color theme="1"/>
        <rFont val="aptos narrow"/>
        <family val="2"/>
        <scheme val="minor"/>
      </rPr>
      <t>ECF,p,y</t>
    </r>
  </si>
  <si>
    <t>TOOL03</t>
  </si>
  <si>
    <t>Emissions associated with use of grid-connected electricity utilized for pre_x0002_treatment of waste biomass at production facility p in year y (tCO2e)</t>
  </si>
  <si>
    <t>PEDE,p,y</t>
  </si>
  <si>
    <t>Emissions associated with combustion of fossil fuels utilized for pre-treatment of waste biomass at production facility p in year y (tCO2e).</t>
  </si>
  <si>
    <t>PEDF,p,y</t>
  </si>
  <si>
    <t>Emissions associated with the conversion of waste biomass into biochar at
production facility p in year y (tCO2e)</t>
  </si>
  <si>
    <r>
      <t>P</t>
    </r>
    <r>
      <rPr>
        <vertAlign val="subscript"/>
        <sz val="11"/>
        <color theme="1"/>
        <rFont val="aptos narrow"/>
        <family val="2"/>
        <scheme val="minor"/>
      </rPr>
      <t>EP,p,y</t>
    </r>
  </si>
  <si>
    <t>Equation 3, 7, and 9</t>
  </si>
  <si>
    <t>Missing</t>
  </si>
  <si>
    <t>GHG emission reductions at sourcing stage in year y (tCO2e)</t>
  </si>
  <si>
    <r>
      <t>ER</t>
    </r>
    <r>
      <rPr>
        <vertAlign val="subscript"/>
        <sz val="11"/>
        <color theme="1"/>
        <rFont val="aptos narrow"/>
        <family val="2"/>
        <scheme val="minor"/>
      </rPr>
      <t>SS,y</t>
    </r>
  </si>
  <si>
    <t>Equation 14</t>
  </si>
  <si>
    <t>Baseline emissions at sourcing stage in year y; conservatively assumed default value of zero (tCO2e)</t>
  </si>
  <si>
    <r>
      <t>BE</t>
    </r>
    <r>
      <rPr>
        <vertAlign val="subscript"/>
        <sz val="11"/>
        <color theme="1"/>
        <rFont val="aptos narrow"/>
        <family val="2"/>
        <scheme val="minor"/>
      </rPr>
      <t>SS,y</t>
    </r>
  </si>
  <si>
    <t>Emissions associated with grid-connected electricity utilized for processing biochar for application type k in year y (tCO2e).</t>
  </si>
  <si>
    <r>
      <t>P</t>
    </r>
    <r>
      <rPr>
        <vertAlign val="subscript"/>
        <sz val="11"/>
        <color theme="1"/>
        <rFont val="aptos narrow"/>
        <family val="2"/>
        <scheme val="minor"/>
      </rPr>
      <t>EPE,k,y</t>
    </r>
  </si>
  <si>
    <t>Net GHG emissions reductions and removals in year y (tCO2e)</t>
  </si>
  <si>
    <r>
      <t>ER</t>
    </r>
    <r>
      <rPr>
        <vertAlign val="subscript"/>
        <sz val="11"/>
        <color theme="1"/>
        <rFont val="aptos narrow"/>
        <family val="2"/>
        <scheme val="minor"/>
      </rPr>
      <t>y</t>
    </r>
  </si>
  <si>
    <t>Equation 15</t>
  </si>
  <si>
    <t>Emissions associated with combustion of fossil fuels utilized for processing of
biochar for application type k in year y (tCO2e).</t>
  </si>
  <si>
    <r>
      <t>P</t>
    </r>
    <r>
      <rPr>
        <vertAlign val="subscript"/>
        <sz val="11"/>
        <color theme="1"/>
        <rFont val="aptos narrow"/>
        <family val="2"/>
        <scheme val="minor"/>
      </rPr>
      <t>EPF,k,y</t>
    </r>
  </si>
  <si>
    <t>Project emissions at the production stage for production of biochar at production facility p in year y (tCO2e)</t>
  </si>
  <si>
    <r>
      <t>PE</t>
    </r>
    <r>
      <rPr>
        <vertAlign val="subscript"/>
        <sz val="11"/>
        <color theme="1"/>
        <rFont val="aptos narrow"/>
        <family val="2"/>
        <scheme val="minor"/>
      </rPr>
      <t>PS,p,y</t>
    </r>
  </si>
  <si>
    <t>Project emissions at the production stage for production of biochar type t at production facility p in year y (tCO2e)</t>
  </si>
  <si>
    <r>
      <t>PE</t>
    </r>
    <r>
      <rPr>
        <vertAlign val="subscript"/>
        <sz val="11"/>
        <color theme="1"/>
        <rFont val="aptos narrow"/>
        <family val="2"/>
        <scheme val="minor"/>
      </rPr>
      <t>PS,t,p,y</t>
    </r>
  </si>
  <si>
    <t>Project emissions at sourcing stage in year y, conservatively assumed to be zero (waste biogenic source material is considered as renewable biomass) (tCO2e)</t>
  </si>
  <si>
    <r>
      <t>PE</t>
    </r>
    <r>
      <rPr>
        <vertAlign val="subscript"/>
        <sz val="11"/>
        <color theme="1"/>
        <rFont val="aptos narrow"/>
        <family val="2"/>
        <scheme val="minor"/>
      </rPr>
      <t>SS,y</t>
    </r>
  </si>
  <si>
    <t>Permanence adjustment factor due to decay of biochar per application type k (dimensionless)</t>
  </si>
  <si>
    <r>
      <t>PR</t>
    </r>
    <r>
      <rPr>
        <vertAlign val="subscript"/>
        <sz val="11"/>
        <color theme="1"/>
        <rFont val="aptos narrow"/>
        <family val="2"/>
        <scheme val="minor"/>
      </rPr>
      <t>de,k</t>
    </r>
  </si>
  <si>
    <t>Average annual production temperature during pyrolysis</t>
  </si>
  <si>
    <t>Tprod</t>
  </si>
  <si>
    <t>C</t>
  </si>
  <si>
    <t>Fraction of total waste heat utilized at biochar production facility p</t>
  </si>
  <si>
    <t>WSp</t>
  </si>
  <si>
    <t>High Tech Facilities</t>
  </si>
  <si>
    <t>the quantity of fuel type i combusted in process j during the year y
(mass or volume unit/yr)</t>
  </si>
  <si>
    <r>
      <t>FC</t>
    </r>
    <r>
      <rPr>
        <vertAlign val="subscript"/>
        <sz val="11"/>
        <color theme="1"/>
        <rFont val="aptos narrow"/>
        <family val="2"/>
        <scheme val="minor"/>
      </rPr>
      <t>i,j,y</t>
    </r>
  </si>
  <si>
    <t>mass or volume unit/year</t>
  </si>
  <si>
    <t>the CO2 emission coefficient of fuel type i in year y (tCO2/mass or volume unit)</t>
  </si>
  <si>
    <r>
      <t>COEF</t>
    </r>
    <r>
      <rPr>
        <vertAlign val="subscript"/>
        <sz val="11"/>
        <color theme="1"/>
        <rFont val="aptos narrow"/>
        <family val="2"/>
        <scheme val="minor"/>
      </rPr>
      <t>i,y</t>
    </r>
  </si>
  <si>
    <t>tCO2/mass or volume unit</t>
  </si>
  <si>
    <t>Fuel types</t>
  </si>
  <si>
    <t>i</t>
  </si>
  <si>
    <t>Option P. 1: High Technology Production Facility (Production Stage Emissions)</t>
  </si>
  <si>
    <t>Biochar Type</t>
  </si>
  <si>
    <t>Year</t>
  </si>
  <si>
    <t>Application Type</t>
  </si>
  <si>
    <t>Production Facility</t>
  </si>
  <si>
    <t>Molar mass of CO2</t>
  </si>
  <si>
    <t>Molar mass of C</t>
  </si>
  <si>
    <t>Equation 4</t>
  </si>
  <si>
    <r>
      <t>P</t>
    </r>
    <r>
      <rPr>
        <vertAlign val="subscript"/>
        <sz val="11"/>
        <rFont val="aptos narrow"/>
        <family val="2"/>
        <scheme val="minor"/>
      </rPr>
      <t>EP,p,y</t>
    </r>
    <r>
      <rPr>
        <sz val="11"/>
        <rFont val="aptos narrow"/>
        <family val="2"/>
        <scheme val="minor"/>
      </rPr>
      <t xml:space="preserve"> = 0</t>
    </r>
  </si>
  <si>
    <t>Equation 5</t>
  </si>
  <si>
    <t>t</t>
  </si>
  <si>
    <t>y</t>
  </si>
  <si>
    <t>k</t>
  </si>
  <si>
    <t>p</t>
  </si>
  <si>
    <r>
      <t>BE</t>
    </r>
    <r>
      <rPr>
        <vertAlign val="subscript"/>
        <sz val="11"/>
        <rFont val="aptos narrow"/>
        <family val="2"/>
        <scheme val="minor"/>
      </rPr>
      <t>AS,y</t>
    </r>
  </si>
  <si>
    <r>
      <t>PE</t>
    </r>
    <r>
      <rPr>
        <vertAlign val="subscript"/>
        <sz val="11"/>
        <rFont val="aptos narrow"/>
        <family val="2"/>
        <scheme val="minor"/>
      </rPr>
      <t>SS,y</t>
    </r>
  </si>
  <si>
    <r>
      <t>BE</t>
    </r>
    <r>
      <rPr>
        <vertAlign val="subscript"/>
        <sz val="11"/>
        <rFont val="aptos narrow"/>
        <family val="2"/>
        <scheme val="minor"/>
      </rPr>
      <t>C,y</t>
    </r>
  </si>
  <si>
    <r>
      <t>BE</t>
    </r>
    <r>
      <rPr>
        <vertAlign val="subscript"/>
        <sz val="11"/>
        <rFont val="aptos narrow"/>
        <family val="2"/>
        <scheme val="minor"/>
      </rPr>
      <t>D,y</t>
    </r>
  </si>
  <si>
    <r>
      <t>BE</t>
    </r>
    <r>
      <rPr>
        <vertAlign val="subscript"/>
        <sz val="11"/>
        <rFont val="aptos narrow"/>
        <family val="2"/>
        <scheme val="minor"/>
      </rPr>
      <t>SS,y</t>
    </r>
  </si>
  <si>
    <r>
      <t>M</t>
    </r>
    <r>
      <rPr>
        <vertAlign val="subscript"/>
        <sz val="11"/>
        <rFont val="aptos narrow"/>
        <family val="2"/>
        <scheme val="minor"/>
      </rPr>
      <t>t,k,p,y</t>
    </r>
  </si>
  <si>
    <r>
      <t>M</t>
    </r>
    <r>
      <rPr>
        <vertAlign val="subscript"/>
        <sz val="11"/>
        <rFont val="aptos narrow"/>
        <family val="2"/>
        <scheme val="minor"/>
      </rPr>
      <t>p,y</t>
    </r>
  </si>
  <si>
    <r>
      <t>F</t>
    </r>
    <r>
      <rPr>
        <vertAlign val="subscript"/>
        <sz val="11"/>
        <rFont val="aptos narrow"/>
        <family val="2"/>
        <scheme val="minor"/>
      </rPr>
      <t>Cp,t,p</t>
    </r>
  </si>
  <si>
    <r>
      <t>PR</t>
    </r>
    <r>
      <rPr>
        <vertAlign val="subscript"/>
        <sz val="11"/>
        <rFont val="aptos narrow"/>
        <family val="2"/>
        <scheme val="minor"/>
      </rPr>
      <t>de,k</t>
    </r>
  </si>
  <si>
    <r>
      <t>CC</t>
    </r>
    <r>
      <rPr>
        <vertAlign val="subscript"/>
        <sz val="11"/>
        <rFont val="aptos narrow"/>
        <family val="2"/>
        <scheme val="minor"/>
      </rPr>
      <t>t,k,y</t>
    </r>
  </si>
  <si>
    <r>
      <t>P</t>
    </r>
    <r>
      <rPr>
        <vertAlign val="subscript"/>
        <sz val="11"/>
        <rFont val="aptos narrow"/>
        <family val="2"/>
        <scheme val="minor"/>
      </rPr>
      <t xml:space="preserve">EDE,p,y </t>
    </r>
  </si>
  <si>
    <r>
      <t>P</t>
    </r>
    <r>
      <rPr>
        <vertAlign val="subscript"/>
        <sz val="11"/>
        <rFont val="aptos narrow"/>
        <family val="2"/>
        <scheme val="minor"/>
      </rPr>
      <t xml:space="preserve">EDF,p,y </t>
    </r>
  </si>
  <si>
    <r>
      <t>P</t>
    </r>
    <r>
      <rPr>
        <vertAlign val="subscript"/>
        <sz val="11"/>
        <rFont val="aptos narrow"/>
        <family val="2"/>
        <scheme val="minor"/>
      </rPr>
      <t>ED,p,y</t>
    </r>
  </si>
  <si>
    <r>
      <t>P</t>
    </r>
    <r>
      <rPr>
        <vertAlign val="subscript"/>
        <sz val="11"/>
        <rFont val="aptos narrow"/>
        <family val="2"/>
        <scheme val="minor"/>
      </rPr>
      <t>EP,p,y</t>
    </r>
  </si>
  <si>
    <r>
      <t>P</t>
    </r>
    <r>
      <rPr>
        <vertAlign val="subscript"/>
        <sz val="11"/>
        <rFont val="aptos narrow"/>
        <family val="2"/>
        <scheme val="minor"/>
      </rPr>
      <t xml:space="preserve">ECE,p,y </t>
    </r>
  </si>
  <si>
    <r>
      <t>P</t>
    </r>
    <r>
      <rPr>
        <vertAlign val="subscript"/>
        <sz val="11"/>
        <rFont val="aptos narrow"/>
        <family val="2"/>
        <scheme val="minor"/>
      </rPr>
      <t>ECF,p,y</t>
    </r>
  </si>
  <si>
    <r>
      <t>P</t>
    </r>
    <r>
      <rPr>
        <vertAlign val="subscript"/>
        <sz val="11"/>
        <rFont val="aptos narrow"/>
        <family val="2"/>
        <scheme val="minor"/>
      </rPr>
      <t>EC,p,y</t>
    </r>
  </si>
  <si>
    <r>
      <t>PE</t>
    </r>
    <r>
      <rPr>
        <vertAlign val="subscript"/>
        <sz val="11"/>
        <rFont val="aptos narrow"/>
        <family val="2"/>
        <scheme val="minor"/>
      </rPr>
      <t>PS,t,p,y</t>
    </r>
  </si>
  <si>
    <r>
      <t>ER</t>
    </r>
    <r>
      <rPr>
        <b/>
        <vertAlign val="subscript"/>
        <sz val="11"/>
        <rFont val="aptos narrow"/>
        <family val="2"/>
        <scheme val="minor"/>
      </rPr>
      <t>PS,y</t>
    </r>
  </si>
  <si>
    <r>
      <t>P</t>
    </r>
    <r>
      <rPr>
        <vertAlign val="subscript"/>
        <sz val="11"/>
        <rFont val="aptos narrow"/>
        <family val="2"/>
        <scheme val="minor"/>
      </rPr>
      <t>EPF,k,y</t>
    </r>
  </si>
  <si>
    <r>
      <t>P</t>
    </r>
    <r>
      <rPr>
        <vertAlign val="subscript"/>
        <sz val="11"/>
        <rFont val="aptos narrow"/>
        <family val="2"/>
        <scheme val="minor"/>
      </rPr>
      <t>EPE,k,y</t>
    </r>
  </si>
  <si>
    <r>
      <t>E</t>
    </r>
    <r>
      <rPr>
        <vertAlign val="subscript"/>
        <sz val="11"/>
        <rFont val="aptos narrow"/>
        <family val="2"/>
        <scheme val="minor"/>
      </rPr>
      <t>P,t,k,y</t>
    </r>
  </si>
  <si>
    <r>
      <t>E</t>
    </r>
    <r>
      <rPr>
        <vertAlign val="subscript"/>
        <sz val="11"/>
        <rFont val="aptos narrow"/>
        <family val="2"/>
        <scheme val="minor"/>
      </rPr>
      <t>ap,t,k,y</t>
    </r>
  </si>
  <si>
    <r>
      <t>PE</t>
    </r>
    <r>
      <rPr>
        <b/>
        <vertAlign val="subscript"/>
        <sz val="11"/>
        <rFont val="aptos narrow"/>
        <family val="2"/>
        <scheme val="minor"/>
      </rPr>
      <t>AS,y</t>
    </r>
  </si>
  <si>
    <r>
      <t>LE</t>
    </r>
    <r>
      <rPr>
        <vertAlign val="subscript"/>
        <sz val="11"/>
        <rFont val="aptos narrow"/>
        <family val="2"/>
        <scheme val="minor"/>
      </rPr>
      <t>as,y</t>
    </r>
  </si>
  <si>
    <r>
      <t>LE</t>
    </r>
    <r>
      <rPr>
        <vertAlign val="subscript"/>
        <sz val="11"/>
        <rFont val="aptos narrow"/>
        <family val="2"/>
        <scheme val="minor"/>
      </rPr>
      <t>bd,y</t>
    </r>
  </si>
  <si>
    <r>
      <t>LE</t>
    </r>
    <r>
      <rPr>
        <vertAlign val="subscript"/>
        <sz val="11"/>
        <rFont val="aptos narrow"/>
        <family val="2"/>
        <scheme val="minor"/>
      </rPr>
      <t>ts,y</t>
    </r>
  </si>
  <si>
    <r>
      <t>LE</t>
    </r>
    <r>
      <rPr>
        <vertAlign val="subscript"/>
        <sz val="11"/>
        <rFont val="aptos narrow"/>
        <family val="2"/>
        <scheme val="minor"/>
      </rPr>
      <t>tap,y</t>
    </r>
  </si>
  <si>
    <r>
      <t>LE</t>
    </r>
    <r>
      <rPr>
        <vertAlign val="subscript"/>
        <sz val="11"/>
        <rFont val="aptos narrow"/>
        <family val="2"/>
        <scheme val="minor"/>
      </rPr>
      <t>y</t>
    </r>
  </si>
  <si>
    <r>
      <t>ER</t>
    </r>
    <r>
      <rPr>
        <vertAlign val="subscript"/>
        <sz val="11"/>
        <rFont val="aptos narrow"/>
        <family val="2"/>
        <scheme val="minor"/>
      </rPr>
      <t>SS,y</t>
    </r>
  </si>
  <si>
    <r>
      <t>ER</t>
    </r>
    <r>
      <rPr>
        <vertAlign val="subscript"/>
        <sz val="11"/>
        <rFont val="aptos narrow"/>
        <family val="2"/>
        <scheme val="minor"/>
      </rPr>
      <t>y</t>
    </r>
  </si>
  <si>
    <t>Bamboo Pruning</t>
  </si>
  <si>
    <t>Soil</t>
  </si>
  <si>
    <t>a</t>
  </si>
  <si>
    <t>Paddy Straw</t>
  </si>
  <si>
    <t>Tree Pruning</t>
  </si>
  <si>
    <t>Project hub: https://projecthub-uat.verra.org/project-description/1507</t>
  </si>
  <si>
    <t>Project ID</t>
  </si>
  <si>
    <t>NA</t>
  </si>
  <si>
    <t>Source</t>
  </si>
  <si>
    <t>ER calcs by Karina</t>
  </si>
  <si>
    <t>Tech tea, contact</t>
  </si>
  <si>
    <t>Waqar Ashiq</t>
  </si>
  <si>
    <t>Option P. 2: Low Technology Production Facility</t>
  </si>
  <si>
    <t xml:space="preserve">Test Date </t>
  </si>
  <si>
    <t>Project Hub</t>
  </si>
  <si>
    <t>https://projecthub-uat.verra.org/project-description/1435</t>
  </si>
  <si>
    <t>Feedback</t>
  </si>
  <si>
    <t>Internal Testing and Feedback _ VM0044.xlsx</t>
  </si>
  <si>
    <t>Kiln Type</t>
  </si>
  <si>
    <t>Equation 8</t>
  </si>
  <si>
    <t>Equation 10</t>
  </si>
  <si>
    <t>Equation 6</t>
  </si>
  <si>
    <t>Equation 7</t>
  </si>
  <si>
    <r>
      <t>BE</t>
    </r>
    <r>
      <rPr>
        <vertAlign val="subscript"/>
        <sz val="11"/>
        <color rgb="FF000000"/>
        <rFont val="aptos narrow"/>
        <family val="2"/>
        <scheme val="minor"/>
      </rPr>
      <t>AS,y</t>
    </r>
  </si>
  <si>
    <r>
      <t>BE</t>
    </r>
    <r>
      <rPr>
        <vertAlign val="subscript"/>
        <sz val="11"/>
        <color rgb="FF000000"/>
        <rFont val="aptos narrow"/>
        <family val="2"/>
        <scheme val="minor"/>
      </rPr>
      <t>C,y</t>
    </r>
  </si>
  <si>
    <r>
      <t>BE</t>
    </r>
    <r>
      <rPr>
        <vertAlign val="subscript"/>
        <sz val="11"/>
        <color rgb="FF000000"/>
        <rFont val="aptos narrow"/>
        <family val="2"/>
        <scheme val="minor"/>
      </rPr>
      <t>D,y</t>
    </r>
  </si>
  <si>
    <r>
      <t>P</t>
    </r>
    <r>
      <rPr>
        <vertAlign val="subscript"/>
        <sz val="11"/>
        <color theme="1"/>
        <rFont val="aptos narrow"/>
        <family val="2"/>
        <scheme val="minor"/>
      </rPr>
      <t xml:space="preserve">ECE,p,y </t>
    </r>
  </si>
  <si>
    <r>
      <t>P</t>
    </r>
    <r>
      <rPr>
        <vertAlign val="subscript"/>
        <sz val="11"/>
        <color theme="1"/>
        <rFont val="aptos narrow"/>
        <family val="2"/>
        <scheme val="minor"/>
      </rPr>
      <t xml:space="preserve">EDF,p,y </t>
    </r>
  </si>
  <si>
    <r>
      <t>P</t>
    </r>
    <r>
      <rPr>
        <vertAlign val="subscript"/>
        <sz val="11"/>
        <color theme="1"/>
        <rFont val="aptos narrow"/>
        <family val="2"/>
        <scheme val="minor"/>
      </rPr>
      <t xml:space="preserve">EDE,p,y </t>
    </r>
  </si>
  <si>
    <r>
      <t>F</t>
    </r>
    <r>
      <rPr>
        <vertAlign val="subscript"/>
        <sz val="11"/>
        <color rgb="FF000000"/>
        <rFont val="aptos narrow"/>
        <family val="2"/>
        <scheme val="minor"/>
      </rPr>
      <t>Cp,t,p</t>
    </r>
  </si>
  <si>
    <r>
      <t>CC</t>
    </r>
    <r>
      <rPr>
        <vertAlign val="subscript"/>
        <sz val="11"/>
        <color rgb="FF000000"/>
        <rFont val="aptos narrow"/>
        <family val="2"/>
        <scheme val="minor"/>
      </rPr>
      <t>t,k,y</t>
    </r>
  </si>
  <si>
    <r>
      <t>PE</t>
    </r>
    <r>
      <rPr>
        <vertAlign val="subscript"/>
        <sz val="11"/>
        <color rgb="FF000000"/>
        <rFont val="aptos narrow"/>
        <family val="2"/>
        <scheme val="minor"/>
      </rPr>
      <t>PS,t, p,y</t>
    </r>
  </si>
  <si>
    <r>
      <t>ER</t>
    </r>
    <r>
      <rPr>
        <b/>
        <vertAlign val="subscript"/>
        <sz val="11"/>
        <color rgb="FF000000"/>
        <rFont val="aptos narrow"/>
        <family val="2"/>
        <scheme val="minor"/>
      </rPr>
      <t>PS,y</t>
    </r>
  </si>
  <si>
    <t>Sub-total</t>
  </si>
  <si>
    <t>Total</t>
  </si>
  <si>
    <t>Project hub: https://projecthub-uat.verra.org/project-description/1506</t>
  </si>
  <si>
    <t>This table is same as table above, with equation 7 adjusted. Both producing same ER values</t>
  </si>
  <si>
    <t>Auto-Populate biochar type and create number of rows .</t>
  </si>
  <si>
    <t>For emvigo</t>
  </si>
  <si>
    <t>One extra row is added (leakage table in section 4.3) everytime I run calculation, update any value and re-run, have to delete additional row multiple times in a sungle run. Can you fix it.</t>
  </si>
  <si>
    <t>Non-soil</t>
  </si>
  <si>
    <t>b</t>
  </si>
  <si>
    <t>https://projecthub-uat.verra.org/project-description/1601</t>
  </si>
  <si>
    <t>https://projecthub-uat2.verra.org/project-description/13</t>
  </si>
  <si>
    <r>
      <rPr>
        <sz val="11"/>
        <color rgb="FF000000"/>
        <rFont val="aptos narrow"/>
        <scheme val="minor"/>
      </rPr>
      <t>P</t>
    </r>
    <r>
      <rPr>
        <vertAlign val="subscript"/>
        <sz val="11"/>
        <color rgb="FF000000"/>
        <rFont val="aptos narrow"/>
        <scheme val="minor"/>
      </rPr>
      <t>ED,p,y</t>
    </r>
  </si>
  <si>
    <r>
      <rPr>
        <sz val="11"/>
        <color rgb="FF000000"/>
        <rFont val="aptos narrow"/>
        <scheme val="minor"/>
      </rPr>
      <t>P</t>
    </r>
    <r>
      <rPr>
        <vertAlign val="subscript"/>
        <sz val="11"/>
        <color rgb="FF000000"/>
        <rFont val="aptos narrow"/>
        <scheme val="minor"/>
      </rPr>
      <t>EP,p,y</t>
    </r>
  </si>
  <si>
    <r>
      <rPr>
        <sz val="11"/>
        <color rgb="FF000000"/>
        <rFont val="aptos narrow"/>
        <scheme val="minor"/>
      </rPr>
      <t>P</t>
    </r>
    <r>
      <rPr>
        <vertAlign val="subscript"/>
        <sz val="11"/>
        <color rgb="FF000000"/>
        <rFont val="aptos narrow"/>
        <scheme val="minor"/>
      </rPr>
      <t>EC,p,y</t>
    </r>
  </si>
  <si>
    <r>
      <rPr>
        <sz val="11"/>
        <color rgb="FF000000"/>
        <rFont val="aptos narrow"/>
        <scheme val="minor"/>
      </rPr>
      <t>PE</t>
    </r>
    <r>
      <rPr>
        <vertAlign val="subscript"/>
        <sz val="11"/>
        <color rgb="FF000000"/>
        <rFont val="aptos narrow"/>
        <scheme val="minor"/>
      </rPr>
      <t>PS,t, p,y</t>
    </r>
  </si>
  <si>
    <t>c</t>
  </si>
  <si>
    <t>d</t>
  </si>
  <si>
    <t xml:space="preserve">Option to calculate Fuel emissions </t>
  </si>
  <si>
    <t>Applicability</t>
  </si>
  <si>
    <t>Option A1</t>
  </si>
  <si>
    <t>Applicable</t>
  </si>
  <si>
    <t>Option A2</t>
  </si>
  <si>
    <t xml:space="preserve">Not Applicable </t>
  </si>
  <si>
    <t>Option B</t>
  </si>
  <si>
    <t>Baseline emissions</t>
  </si>
  <si>
    <t xml:space="preserve">Table 1: Baseline Emissions at sourcing stage </t>
  </si>
  <si>
    <t>VM0044</t>
  </si>
  <si>
    <t>section 8.1.1.</t>
  </si>
  <si>
    <t xml:space="preserve">Year </t>
  </si>
  <si>
    <t>tCO2e</t>
  </si>
  <si>
    <t>Project emissions</t>
  </si>
  <si>
    <t xml:space="preserve">Table 2: Project emissions at production stage </t>
  </si>
  <si>
    <r>
      <t>ER</t>
    </r>
    <r>
      <rPr>
        <vertAlign val="subscript"/>
        <sz val="11"/>
        <color rgb="FF000000"/>
        <rFont val="Calibri"/>
        <family val="2"/>
      </rPr>
      <t>PS,y</t>
    </r>
  </si>
  <si>
    <t>Table 3: Estimation of total organic carbon content on a dry weight basis attributable to the project activity for High Tech facilities</t>
  </si>
  <si>
    <t xml:space="preserve">Use equation 6 for low tech production </t>
  </si>
  <si>
    <t>Biochar Type (t)</t>
  </si>
  <si>
    <t>Application Type (k)</t>
  </si>
  <si>
    <t>Production Facility (p)</t>
  </si>
  <si>
    <t>PF1</t>
  </si>
  <si>
    <t>PF2</t>
  </si>
  <si>
    <t xml:space="preserve">EMVIGO: create a dropdown in UI, ask user "Select sources of project emissions", user should be able to select more than one options. </t>
  </si>
  <si>
    <t>There are multiple sources of project emissions from high technology production facilities, select all applicable sources</t>
  </si>
  <si>
    <t>Pre-treatment of waste biomass</t>
  </si>
  <si>
    <r>
      <rPr>
        <sz val="11"/>
        <color rgb="FF000000"/>
        <rFont val="aptos narrow"/>
        <family val="2"/>
        <scheme val="minor"/>
      </rPr>
      <t>P</t>
    </r>
    <r>
      <rPr>
        <vertAlign val="subscript"/>
        <sz val="11"/>
        <color rgb="FF000000"/>
        <rFont val="aptos narrow"/>
        <family val="2"/>
        <scheme val="minor"/>
      </rPr>
      <t>ED,p,y</t>
    </r>
  </si>
  <si>
    <t>Conversion of waste biomass into biochar</t>
  </si>
  <si>
    <t>Utilization of auxiliary energy for pyrolysis</t>
  </si>
  <si>
    <t>Table 4: Estimation of project emissions (PEPS,p,y) for high technology production facilities</t>
  </si>
  <si>
    <t xml:space="preserve">Use equation 7 for low tech production </t>
  </si>
  <si>
    <t xml:space="preserve">EMVIGO: create a dropdown in UI, ask user "Select sources of emissions from pre-treatment of feedstock", user should be able to select more than one options. </t>
  </si>
  <si>
    <t>Select sources of emissions from pre-treatment of feedstock</t>
  </si>
  <si>
    <t>Electricity</t>
  </si>
  <si>
    <t xml:space="preserve">Fossil Fuel </t>
  </si>
  <si>
    <t>Pre-treatment</t>
  </si>
  <si>
    <t xml:space="preserve">Table 5: Determination of emissions associated with pre-treatment of feedstock at high tech production facility 
p in year y </t>
  </si>
  <si>
    <t>TOOL 05</t>
  </si>
  <si>
    <t>TOOL 03</t>
  </si>
  <si>
    <t xml:space="preserve">Use equation 8 for low tech production </t>
  </si>
  <si>
    <r>
      <rPr>
        <sz val="11"/>
        <color rgb="FF000000"/>
        <rFont val="aptos narrow"/>
        <scheme val="minor"/>
      </rPr>
      <t>P</t>
    </r>
    <r>
      <rPr>
        <vertAlign val="subscript"/>
        <sz val="11"/>
        <color rgb="FF000000"/>
        <rFont val="aptos narrow"/>
        <scheme val="minor"/>
      </rPr>
      <t xml:space="preserve">EDE,p,y </t>
    </r>
  </si>
  <si>
    <r>
      <t>P</t>
    </r>
    <r>
      <rPr>
        <vertAlign val="subscript"/>
        <sz val="11"/>
        <color rgb="FF000000"/>
        <rFont val="aptos narrow"/>
        <scheme val="minor"/>
      </rPr>
      <t xml:space="preserve">EDF,p,y </t>
    </r>
  </si>
  <si>
    <t>Thermo-chemical processing</t>
  </si>
  <si>
    <t xml:space="preserve">Table 6: Calculation of emissions associated with the thermochemical process at high tech production facility 
p in year y for high technology facilities </t>
  </si>
  <si>
    <t>Section 8.2.2.1</t>
  </si>
  <si>
    <t xml:space="preserve">Use equation 9 for low tech production </t>
  </si>
  <si>
    <t>use of auxiliary energy</t>
  </si>
  <si>
    <t xml:space="preserve">EMVIGO: create a dropdown in UI, ask user "Select sources of emissions from utilization of auxiliary energy for pyrolysis", user should be able to select more than one options. </t>
  </si>
  <si>
    <t>Select sources of emissions from utilization of auxiliary energy for pyrolysis</t>
  </si>
  <si>
    <t>Table 7:  Emissions due to the utilization of auxiliary energy for the purpose of pyrolysis at high tech production facility p in year y</t>
  </si>
  <si>
    <t xml:space="preserve">Use equation 10 for low tech production </t>
  </si>
  <si>
    <r>
      <rPr>
        <sz val="11"/>
        <color rgb="FF000000"/>
        <rFont val="aptos narrow"/>
        <scheme val="minor"/>
      </rPr>
      <t>P</t>
    </r>
    <r>
      <rPr>
        <vertAlign val="subscript"/>
        <sz val="11"/>
        <color rgb="FF000000"/>
        <rFont val="aptos narrow"/>
        <scheme val="minor"/>
      </rPr>
      <t xml:space="preserve">ECE,p,y </t>
    </r>
  </si>
  <si>
    <r>
      <rPr>
        <sz val="11"/>
        <color rgb="FF000000"/>
        <rFont val="aptos narrow"/>
        <scheme val="minor"/>
      </rPr>
      <t>P</t>
    </r>
    <r>
      <rPr>
        <vertAlign val="subscript"/>
        <sz val="11"/>
        <color rgb="FF000000"/>
        <rFont val="aptos narrow"/>
        <scheme val="minor"/>
      </rPr>
      <t>ECF,p,y</t>
    </r>
  </si>
  <si>
    <t>Application Stage</t>
  </si>
  <si>
    <t>Table 8: GHG emissions at the application stage</t>
  </si>
  <si>
    <r>
      <t>PE</t>
    </r>
    <r>
      <rPr>
        <vertAlign val="subscript"/>
        <sz val="11"/>
        <color theme="1"/>
        <rFont val="aptos narrow"/>
        <family val="2"/>
        <scheme val="minor"/>
      </rPr>
      <t>AS,y</t>
    </r>
  </si>
  <si>
    <t xml:space="preserve">EMVIGO: create a dropdown in UI, ask user "Select sources of emissions from processing of biochar", user should be able to select more than one options. </t>
  </si>
  <si>
    <t>Select sources of emissions from  processing of biochar</t>
  </si>
  <si>
    <t>Processing</t>
  </si>
  <si>
    <t>Table 9: Emissions associated with processing of biochar for application type k</t>
  </si>
  <si>
    <r>
      <rPr>
        <sz val="11"/>
        <color rgb="FF000000"/>
        <rFont val="Aptos Narrow"/>
      </rPr>
      <t>E</t>
    </r>
    <r>
      <rPr>
        <vertAlign val="subscript"/>
        <sz val="11"/>
        <color rgb="FF000000"/>
        <rFont val="Aptos Narrow"/>
      </rPr>
      <t>P,k,y</t>
    </r>
  </si>
  <si>
    <t>Utilization</t>
  </si>
  <si>
    <t xml:space="preserve">Table 10: Emissions associated with utilization of biochar for application k </t>
  </si>
  <si>
    <t>Section 8.2.3</t>
  </si>
  <si>
    <r>
      <t>E</t>
    </r>
    <r>
      <rPr>
        <vertAlign val="subscript"/>
        <sz val="11"/>
        <color rgb="FF000000"/>
        <rFont val="Aptos Narrow"/>
      </rPr>
      <t>ap,k,y</t>
    </r>
  </si>
  <si>
    <t>Leakage emissions</t>
  </si>
  <si>
    <t>EMVIGO: create a dropdown list with following statement and options</t>
  </si>
  <si>
    <t xml:space="preserve">Select applicable sources of leakage </t>
  </si>
  <si>
    <t>Leakage due to activity shift</t>
  </si>
  <si>
    <t>Leakage due to biomass diversion</t>
  </si>
  <si>
    <t>Leakage from biomass transportation from source to production facility</t>
  </si>
  <si>
    <t xml:space="preserve">Leakage from biochar transportation from production facility to site of end application </t>
  </si>
  <si>
    <t xml:space="preserve">Table 11: Leakage emissions </t>
  </si>
  <si>
    <t>Emission reductions</t>
  </si>
  <si>
    <t>Table 12: Emission reductions at the sourcing stage</t>
  </si>
  <si>
    <t>Section 8.2.1.</t>
  </si>
  <si>
    <t>Table 13: Net GHG emission reductions and removals</t>
  </si>
  <si>
    <t xml:space="preserve">ERy </t>
  </si>
  <si>
    <t>Table 14: Baseline Emissions at sourcing stage</t>
  </si>
  <si>
    <t xml:space="preserve">Table 15: Project emissions at production stage </t>
  </si>
  <si>
    <r>
      <rPr>
        <sz val="11"/>
        <color rgb="FF000000"/>
        <rFont val="aptos narrow"/>
        <scheme val="minor"/>
      </rPr>
      <t>PE</t>
    </r>
    <r>
      <rPr>
        <vertAlign val="subscript"/>
        <sz val="11"/>
        <color rgb="FF000000"/>
        <rFont val="aptos narrow"/>
        <scheme val="minor"/>
      </rPr>
      <t>PS,t,p,y</t>
    </r>
  </si>
  <si>
    <t>Table 16: Estimation of total organic carbon content on a dry weight basis attributable to the project activity for low Tech facilities</t>
  </si>
  <si>
    <t xml:space="preserve">Use equation 2 for high tech production </t>
  </si>
  <si>
    <r>
      <rPr>
        <sz val="11"/>
        <color rgb="FF000000"/>
        <rFont val="aptos narrow"/>
        <scheme val="minor"/>
      </rPr>
      <t>F</t>
    </r>
    <r>
      <rPr>
        <vertAlign val="subscript"/>
        <sz val="11"/>
        <color rgb="FF000000"/>
        <rFont val="aptos narrow"/>
        <scheme val="minor"/>
      </rPr>
      <t>Cp,t,p</t>
    </r>
  </si>
  <si>
    <r>
      <rPr>
        <sz val="11"/>
        <color rgb="FF000000"/>
        <rFont val="aptos narrow"/>
        <scheme val="minor"/>
      </rPr>
      <t>PR</t>
    </r>
    <r>
      <rPr>
        <vertAlign val="subscript"/>
        <sz val="11"/>
        <color rgb="FF000000"/>
        <rFont val="aptos narrow"/>
        <scheme val="minor"/>
      </rPr>
      <t>de,k</t>
    </r>
  </si>
  <si>
    <t>EMVIGO: create a dropdown in UI, ask user "Select sources of project emissions", user should be able to select more than one options.</t>
  </si>
  <si>
    <t>Not Applicable</t>
  </si>
  <si>
    <t>There are multiple sources of project emissions from low technology production facilities, select all applicable sources</t>
  </si>
  <si>
    <r>
      <t>P</t>
    </r>
    <r>
      <rPr>
        <vertAlign val="subscript"/>
        <sz val="11"/>
        <color rgb="FF000000"/>
        <rFont val="Aptos Narrow"/>
        <family val="2"/>
      </rPr>
      <t>ED,p,y</t>
    </r>
  </si>
  <si>
    <r>
      <t>P</t>
    </r>
    <r>
      <rPr>
        <vertAlign val="subscript"/>
        <sz val="11"/>
        <color rgb="FF000000"/>
        <rFont val="Aptos Narrow"/>
        <family val="2"/>
      </rPr>
      <t>EP,p,y</t>
    </r>
  </si>
  <si>
    <r>
      <t>P</t>
    </r>
    <r>
      <rPr>
        <vertAlign val="subscript"/>
        <sz val="11"/>
        <color rgb="FF000000"/>
        <rFont val="Aptos Narrow"/>
        <family val="2"/>
      </rPr>
      <t>EC,p,y</t>
    </r>
  </si>
  <si>
    <t>Table 17: Estimation of project emissions (PEPS,p,y) for low technology production facilities</t>
  </si>
  <si>
    <t xml:space="preserve">Use equation 3 for high tech production </t>
  </si>
  <si>
    <r>
      <rPr>
        <sz val="11"/>
        <color rgb="FF000000"/>
        <rFont val="aptos narrow"/>
        <scheme val="minor"/>
      </rPr>
      <t>M</t>
    </r>
    <r>
      <rPr>
        <vertAlign val="subscript"/>
        <sz val="11"/>
        <color rgb="FF000000"/>
        <rFont val="aptos narrow"/>
        <scheme val="minor"/>
      </rPr>
      <t>p,y</t>
    </r>
  </si>
  <si>
    <r>
      <rPr>
        <sz val="11"/>
        <color rgb="FF000000"/>
        <rFont val="Aptos Narrow"/>
      </rPr>
      <t>PE</t>
    </r>
    <r>
      <rPr>
        <vertAlign val="subscript"/>
        <sz val="11"/>
        <color rgb="FF000000"/>
        <rFont val="Aptos Narrow"/>
      </rPr>
      <t>PS,p,y</t>
    </r>
  </si>
  <si>
    <t xml:space="preserve">Table 18: Determination of emissions associated with pre-treatment of feedstock at low tech production facility p in year y </t>
  </si>
  <si>
    <t xml:space="preserve">Use equation 4 for high tech production </t>
  </si>
  <si>
    <t>Table 19: Calculation of emissions associated with the thermochemical process at low tech production facility p in year y</t>
  </si>
  <si>
    <t xml:space="preserve">Follow instructions in section 8.2.2.1 for high tech production </t>
  </si>
  <si>
    <t>Year (y)</t>
  </si>
  <si>
    <r>
      <rPr>
        <sz val="11"/>
        <color rgb="FF000000"/>
        <rFont val="aptos narrow"/>
        <scheme val="minor"/>
      </rPr>
      <t>F</t>
    </r>
    <r>
      <rPr>
        <vertAlign val="subscript"/>
        <sz val="11"/>
        <color rgb="FF000000"/>
        <rFont val="aptos narrow"/>
        <scheme val="minor"/>
      </rPr>
      <t>e</t>
    </r>
  </si>
  <si>
    <t>Table 20:  Emissions due to the utilization of auxiliary energy for the purpose of pyrolysis at low tech production facility p in year y</t>
  </si>
  <si>
    <t xml:space="preserve">Use equation 5 for high tech production </t>
  </si>
  <si>
    <t>Application stage</t>
  </si>
  <si>
    <t>Table 21: GHG emissions at the application stage</t>
  </si>
  <si>
    <t>Table 22: Emissions associated with processing of biochar for application type k</t>
  </si>
  <si>
    <t xml:space="preserve">Table 23: Emissions associated with utilization of biochar for application k </t>
  </si>
  <si>
    <r>
      <rPr>
        <sz val="11"/>
        <color rgb="FF000000"/>
        <rFont val="Aptos Narrow"/>
      </rPr>
      <t>E</t>
    </r>
    <r>
      <rPr>
        <vertAlign val="subscript"/>
        <sz val="11"/>
        <color rgb="FF000000"/>
        <rFont val="Aptos Narrow"/>
      </rPr>
      <t>ap,k,y</t>
    </r>
  </si>
  <si>
    <t xml:space="preserve">Table 24: Leakage emissions </t>
  </si>
  <si>
    <t>Table 25: Emission reductions at the sourcing stage</t>
  </si>
  <si>
    <t>Table 26: Net GHG emission reductions and removals</t>
  </si>
  <si>
    <t>ERy</t>
  </si>
  <si>
    <t> </t>
  </si>
  <si>
    <t xml:space="preserve">Vintage Year </t>
  </si>
  <si>
    <r>
      <rPr>
        <sz val="11"/>
        <color rgb="FF000000"/>
        <rFont val="Calibri"/>
        <family val="2"/>
      </rPr>
      <t>PE</t>
    </r>
    <r>
      <rPr>
        <vertAlign val="subscript"/>
        <sz val="11"/>
        <color rgb="FF000000"/>
        <rFont val="Calibri"/>
        <family val="2"/>
      </rPr>
      <t>EC,y</t>
    </r>
  </si>
  <si>
    <r>
      <rPr>
        <sz val="11"/>
        <color rgb="FF000000"/>
        <rFont val="Calibri"/>
        <family val="2"/>
      </rPr>
      <t>P</t>
    </r>
    <r>
      <rPr>
        <vertAlign val="subscript"/>
        <sz val="11"/>
        <color rgb="FF000000"/>
        <rFont val="Calibri"/>
        <family val="2"/>
      </rPr>
      <t xml:space="preserve">EDE,p,y </t>
    </r>
  </si>
  <si>
    <r>
      <t>tCO</t>
    </r>
    <r>
      <rPr>
        <vertAlign val="subscript"/>
        <sz val="11"/>
        <color rgb="FF000000"/>
        <rFont val="Calibri"/>
        <family val="2"/>
      </rPr>
      <t>2</t>
    </r>
    <r>
      <rPr>
        <sz val="11"/>
        <color rgb="FF000000"/>
        <rFont val="Calibri"/>
        <family val="2"/>
      </rPr>
      <t>/yr</t>
    </r>
  </si>
  <si>
    <t xml:space="preserve">Table A1: Project emissions associated with use of grid-connected electricity utilized for pre-treatment of waste biomass at production facility p in year y - PEEC,p,y </t>
  </si>
  <si>
    <t>Electricity source (j)</t>
  </si>
  <si>
    <r>
      <t>EF</t>
    </r>
    <r>
      <rPr>
        <vertAlign val="subscript"/>
        <sz val="11"/>
        <color rgb="FF000000"/>
        <rFont val="Calibri"/>
        <family val="2"/>
      </rPr>
      <t>EF,j,y</t>
    </r>
  </si>
  <si>
    <r>
      <t>EC</t>
    </r>
    <r>
      <rPr>
        <vertAlign val="subscript"/>
        <sz val="11"/>
        <color rgb="FF000000"/>
        <rFont val="Calibri"/>
        <family val="2"/>
      </rPr>
      <t>PJ,j,y</t>
    </r>
  </si>
  <si>
    <r>
      <t>TDL</t>
    </r>
    <r>
      <rPr>
        <vertAlign val="subscript"/>
        <sz val="11"/>
        <color rgb="FF000000"/>
        <rFont val="Calibri"/>
        <family val="2"/>
      </rPr>
      <t>j,y</t>
    </r>
  </si>
  <si>
    <t>m</t>
  </si>
  <si>
    <r>
      <t>tCO</t>
    </r>
    <r>
      <rPr>
        <vertAlign val="subscript"/>
        <sz val="11"/>
        <color rgb="FF000000"/>
        <rFont val="Calibri"/>
        <family val="2"/>
      </rPr>
      <t>2</t>
    </r>
    <r>
      <rPr>
        <sz val="11"/>
        <color rgb="FF000000"/>
        <rFont val="Calibri"/>
        <family val="2"/>
      </rPr>
      <t>/MWh</t>
    </r>
  </si>
  <si>
    <t>MWh/yr</t>
  </si>
  <si>
    <t>percent</t>
  </si>
  <si>
    <t>ES1</t>
  </si>
  <si>
    <t>ES2</t>
  </si>
  <si>
    <t>start reactor</t>
  </si>
  <si>
    <t xml:space="preserve">PECE,p,y </t>
  </si>
  <si>
    <t xml:space="preserve">Table A2: Project emissions associated with use of grid-connected electricity utilized for starting the reactor at production facility p in year y - PECE,p,y </t>
  </si>
  <si>
    <r>
      <rPr>
        <sz val="11"/>
        <color rgb="FF000000"/>
        <rFont val="Calibri"/>
        <family val="2"/>
      </rPr>
      <t>PE</t>
    </r>
    <r>
      <rPr>
        <vertAlign val="subscript"/>
        <sz val="11"/>
        <color rgb="FF000000"/>
        <rFont val="Calibri"/>
        <family val="2"/>
      </rPr>
      <t xml:space="preserve">EC,y </t>
    </r>
  </si>
  <si>
    <t xml:space="preserve">Biochar processing </t>
  </si>
  <si>
    <t xml:space="preserve">Table A3: Project emissions associated with grid-connected electricity utilized for processing biochar for application type k in year y - PEEC,y </t>
  </si>
  <si>
    <t xml:space="preserve">Biomass pre-treatment </t>
  </si>
  <si>
    <t xml:space="preserve">Table B1: Emissions associated with combustion of fossil fuels utilized for pre-treatment of waste biomass at production facility p in year y - PEDF,p,y </t>
  </si>
  <si>
    <t>Option used to calculate CO2 emission coefficient (COEFi,y)</t>
  </si>
  <si>
    <t>Option A1: CO2 emission coefficient 𝐶𝑂𝐸𝐹𝑖,𝑦 calculated based on the chemical composition of the fossil fuel (fuel quantity measured in mass units)</t>
  </si>
  <si>
    <t>Option A2: CO2 emission coefficient 𝐶𝑂𝐸𝐹𝑖,𝑦 calculated based on the chemical composition of the fossil fuel (fuel quantity measured in volume units)</t>
  </si>
  <si>
    <t>Option B: CO2 emission coefficient 𝐶𝑂𝐸𝐹𝑖,𝑦 calculated based on net calorific value and CO2 emission factor of the fuel</t>
  </si>
  <si>
    <t>Select option used to calculate CO2 emission coefficient (COEFi,y)</t>
  </si>
  <si>
    <t>Table B1.1 (Option A1): CO2 emission coefficient calculated based on fuel quantity measured in mass unit</t>
  </si>
  <si>
    <t>Fuel Type (i)</t>
  </si>
  <si>
    <r>
      <t>W</t>
    </r>
    <r>
      <rPr>
        <vertAlign val="subscript"/>
        <sz val="11"/>
        <color theme="1"/>
        <rFont val="aptos narrow"/>
        <family val="2"/>
        <scheme val="minor"/>
      </rPr>
      <t>C,i,y</t>
    </r>
  </si>
  <si>
    <r>
      <t>PE</t>
    </r>
    <r>
      <rPr>
        <vertAlign val="subscript"/>
        <sz val="11"/>
        <color theme="1"/>
        <rFont val="aptos narrow"/>
        <family val="2"/>
        <scheme val="minor"/>
      </rPr>
      <t>FC,j,y</t>
    </r>
    <r>
      <rPr>
        <sz val="11"/>
        <color rgb="FF000000"/>
        <rFont val="aptos narrow"/>
        <scheme val="minor"/>
      </rPr>
      <t xml:space="preserve"> = </t>
    </r>
    <r>
      <rPr>
        <sz val="11"/>
        <color rgb="FF000000"/>
        <rFont val="aptos narrow"/>
        <family val="2"/>
        <scheme val="minor"/>
      </rPr>
      <t>P</t>
    </r>
    <r>
      <rPr>
        <vertAlign val="subscript"/>
        <sz val="11"/>
        <color rgb="FF000000"/>
        <rFont val="aptos narrow"/>
        <family val="2"/>
        <scheme val="minor"/>
      </rPr>
      <t xml:space="preserve">EDF,p,y </t>
    </r>
  </si>
  <si>
    <t>mass or volume unit/yr</t>
  </si>
  <si>
    <r>
      <t>tCO</t>
    </r>
    <r>
      <rPr>
        <vertAlign val="subscript"/>
        <sz val="11"/>
        <color theme="1"/>
        <rFont val="aptos narrow"/>
        <family val="2"/>
        <scheme val="minor"/>
      </rPr>
      <t>2e</t>
    </r>
    <r>
      <rPr>
        <sz val="11"/>
        <color rgb="FF000000"/>
        <rFont val="aptos narrow"/>
        <scheme val="minor"/>
      </rPr>
      <t>/yr</t>
    </r>
  </si>
  <si>
    <t xml:space="preserve">Diesel </t>
  </si>
  <si>
    <t>Gasoline</t>
  </si>
  <si>
    <t>Table B1.2 (Option A2): CO2 emission coefficient calculated based on fuel quantity measured in volume unit</t>
  </si>
  <si>
    <r>
      <t>ρ</t>
    </r>
    <r>
      <rPr>
        <vertAlign val="subscript"/>
        <sz val="11"/>
        <color theme="1"/>
        <rFont val="Aptos Narrow"/>
        <family val="2"/>
      </rPr>
      <t xml:space="preserve"> i,y</t>
    </r>
  </si>
  <si>
    <t>mass unit/volume unit of the fuel</t>
  </si>
  <si>
    <t xml:space="preserve">Table B1.3 (Option B): CO2 emission coefficient calculated based on net calorific value and emission factors value of fuel </t>
  </si>
  <si>
    <r>
      <t>NCV</t>
    </r>
    <r>
      <rPr>
        <vertAlign val="subscript"/>
        <sz val="11"/>
        <color theme="1"/>
        <rFont val="aptos narrow"/>
        <family val="2"/>
        <scheme val="minor"/>
      </rPr>
      <t>i,y</t>
    </r>
  </si>
  <si>
    <r>
      <t>EF</t>
    </r>
    <r>
      <rPr>
        <vertAlign val="subscript"/>
        <sz val="11"/>
        <color theme="1"/>
        <rFont val="aptos narrow"/>
        <family val="2"/>
        <scheme val="minor"/>
      </rPr>
      <t>CO2,i,y</t>
    </r>
  </si>
  <si>
    <t>GJ/tonne</t>
  </si>
  <si>
    <t>tCO2/GJ</t>
  </si>
  <si>
    <t xml:space="preserve">Starting a reactor </t>
  </si>
  <si>
    <t xml:space="preserve">Table B2: Emissions associated with combustion of fossil fuels utilized for starting the reactor at production facility p in year y - PECF,p,y </t>
  </si>
  <si>
    <t>Options used to calculate CO2 emission coefficient (COEFi,y)</t>
  </si>
  <si>
    <r>
      <rPr>
        <sz val="11"/>
        <color rgb="FF000000"/>
        <rFont val="Aptos Narrow"/>
      </rPr>
      <t>P</t>
    </r>
    <r>
      <rPr>
        <vertAlign val="subscript"/>
        <sz val="11"/>
        <color rgb="FF000000"/>
        <rFont val="Aptos Narrow"/>
      </rPr>
      <t xml:space="preserve">ECF,p,y </t>
    </r>
  </si>
  <si>
    <t>Table B2.1 (Option A1): CO2 emission coefficient calculated based on fuel quantity measured in mass unit</t>
  </si>
  <si>
    <r>
      <rPr>
        <sz val="11"/>
        <color rgb="FF000000"/>
        <rFont val="Aptos Narrow"/>
      </rPr>
      <t>PE</t>
    </r>
    <r>
      <rPr>
        <vertAlign val="subscript"/>
        <sz val="11"/>
        <color rgb="FF000000"/>
        <rFont val="Aptos Narrow"/>
      </rPr>
      <t>FC,j,y</t>
    </r>
    <r>
      <rPr>
        <sz val="11"/>
        <color rgb="FF000000"/>
        <rFont val="Aptos Narrow"/>
      </rPr>
      <t xml:space="preserve"> = P</t>
    </r>
    <r>
      <rPr>
        <vertAlign val="subscript"/>
        <sz val="11"/>
        <color rgb="FF000000"/>
        <rFont val="Aptos Narrow"/>
      </rPr>
      <t xml:space="preserve">ECF,p,y </t>
    </r>
  </si>
  <si>
    <t>Diesel 2</t>
  </si>
  <si>
    <t>Natural Gas</t>
  </si>
  <si>
    <t>Table B2.2 (Option A2): CO2 emission coefficient calculated based on fuel quantity measured in volume unit</t>
  </si>
  <si>
    <t xml:space="preserve">Table B2.3 (Option B): CO2 emission coefficient calculated based on net calorific value and emission factors value of fuel </t>
  </si>
  <si>
    <t>GJ/mass or volume unit</t>
  </si>
  <si>
    <t>tonne</t>
  </si>
  <si>
    <t xml:space="preserve">Table B3: Emissions associated with combustion of fossil fuels utilized for processing of biochar for application type k in year y - PEPF,k,y </t>
  </si>
  <si>
    <r>
      <t>P</t>
    </r>
    <r>
      <rPr>
        <vertAlign val="subscript"/>
        <sz val="11"/>
        <color rgb="FF000000"/>
        <rFont val="Aptos Narrow"/>
        <family val="2"/>
      </rPr>
      <t xml:space="preserve">EPF,k,y </t>
    </r>
  </si>
  <si>
    <t>Table B3.1 (Option A1): CO2 emission coefficient calculated based on fuel quantity measured in mass unit</t>
  </si>
  <si>
    <r>
      <t>PE</t>
    </r>
    <r>
      <rPr>
        <vertAlign val="subscript"/>
        <sz val="11"/>
        <color rgb="FF000000"/>
        <rFont val="Aptos Narrow"/>
        <family val="2"/>
      </rPr>
      <t>FC,j,y</t>
    </r>
    <r>
      <rPr>
        <sz val="11"/>
        <color rgb="FF000000"/>
        <rFont val="Aptos Narrow"/>
        <family val="2"/>
      </rPr>
      <t xml:space="preserve"> = P</t>
    </r>
    <r>
      <rPr>
        <vertAlign val="subscript"/>
        <sz val="11"/>
        <color rgb="FF000000"/>
        <rFont val="Aptos Narrow"/>
        <family val="2"/>
      </rPr>
      <t xml:space="preserve">EPF,k,y </t>
    </r>
  </si>
  <si>
    <t>Diesel  3</t>
  </si>
  <si>
    <t>Gasoline 2</t>
  </si>
  <si>
    <t>Table B3.2 (Option A2): CO2 emission coefficient calculated based on fuel quantity measured in volume unit</t>
  </si>
  <si>
    <t xml:space="preserve">Table B3.3 (Option B): CO2 emission coefficient calculated based on net calorific value and emission factors value of fuel </t>
  </si>
  <si>
    <t>Data for table 1</t>
  </si>
  <si>
    <t>BESSy value is zero by default, do not ask this parameter from user, instead assume this to be zero as per section 8.1.1. of VM0044 v1.2</t>
  </si>
  <si>
    <t>Data for table 3</t>
  </si>
  <si>
    <t>Data for table 4</t>
  </si>
  <si>
    <r>
      <rPr>
        <sz val="11"/>
        <color rgb="FF000000"/>
        <rFont val="Aptos Narrow"/>
        <family val="2"/>
      </rPr>
      <t>M</t>
    </r>
    <r>
      <rPr>
        <vertAlign val="subscript"/>
        <sz val="11"/>
        <color rgb="FF000000"/>
        <rFont val="Aptos Narrow"/>
        <family val="2"/>
      </rPr>
      <t>p,y</t>
    </r>
  </si>
  <si>
    <t>Data for table 6</t>
  </si>
  <si>
    <t>PEPpy value is zero by default, do not ask this parameter from user, instead assume this to be zero as per section 8.2.2.1. of VM0044 v1.2</t>
  </si>
  <si>
    <t>PEP,p,y</t>
  </si>
  <si>
    <t>Data for table 7</t>
  </si>
  <si>
    <t>Data for table 9</t>
  </si>
  <si>
    <t>Data for table 10</t>
  </si>
  <si>
    <t>Eap,k,y value is zero by default, do not ask this parameter from user, instead assume this to be zero as per section 8.2.3. of VM0044 v1.2</t>
  </si>
  <si>
    <r>
      <t>E</t>
    </r>
    <r>
      <rPr>
        <vertAlign val="subscript"/>
        <sz val="11"/>
        <color rgb="FF000000"/>
        <rFont val="aptos narrow"/>
        <family val="2"/>
        <scheme val="minor"/>
      </rPr>
      <t>ap,t,k,y</t>
    </r>
  </si>
  <si>
    <t>Data for table 11</t>
  </si>
  <si>
    <t>Data for table 12</t>
  </si>
  <si>
    <t>PESSy value is zero by default, do not ask this parameter from user, instead assume this to be zero as per section 8.2.1. of VM0044 v1.2</t>
  </si>
  <si>
    <t>Data for table 14</t>
  </si>
  <si>
    <t>Data for table 16</t>
  </si>
  <si>
    <t>used in Table 16,17, and 19</t>
  </si>
  <si>
    <t>Data for table 17</t>
  </si>
  <si>
    <t>Data for table 19</t>
  </si>
  <si>
    <t>Data for table 22</t>
  </si>
  <si>
    <t>Data for table 23</t>
  </si>
  <si>
    <t>Data for table 24</t>
  </si>
  <si>
    <t>Data for table 25</t>
  </si>
  <si>
    <t>Data for table A1</t>
  </si>
  <si>
    <r>
      <rPr>
        <sz val="11"/>
        <color rgb="FF000000"/>
        <rFont val="Calibri"/>
        <family val="2"/>
      </rPr>
      <t>EFEF,j,y</t>
    </r>
    <r>
      <rPr>
        <vertAlign val="subscript"/>
        <sz val="11"/>
        <color rgb="FF000000"/>
        <rFont val="Calibri"/>
        <family val="2"/>
      </rPr>
      <t xml:space="preserve"> </t>
    </r>
    <r>
      <rPr>
        <sz val="11"/>
        <color rgb="FF000000"/>
        <rFont val="Calibri"/>
        <family val="2"/>
      </rPr>
      <t>(biomass pre-treatment)</t>
    </r>
  </si>
  <si>
    <r>
      <t>EC</t>
    </r>
    <r>
      <rPr>
        <vertAlign val="subscript"/>
        <sz val="11"/>
        <color rgb="FF000000"/>
        <rFont val="Calibri"/>
        <family val="2"/>
      </rPr>
      <t xml:space="preserve">PJ,j,y </t>
    </r>
    <r>
      <rPr>
        <sz val="11"/>
        <color rgb="FF000000"/>
        <rFont val="Calibri"/>
        <family val="2"/>
      </rPr>
      <t>(biomass pre-treatment)</t>
    </r>
  </si>
  <si>
    <r>
      <t>TDL</t>
    </r>
    <r>
      <rPr>
        <vertAlign val="subscript"/>
        <sz val="11"/>
        <color rgb="FF000000"/>
        <rFont val="Calibri"/>
        <family val="2"/>
      </rPr>
      <t>j,y</t>
    </r>
    <r>
      <rPr>
        <sz val="11"/>
        <color rgb="FF000000"/>
        <rFont val="Calibri"/>
        <family val="2"/>
      </rPr>
      <t xml:space="preserve"> (biomass pre-treatment)</t>
    </r>
  </si>
  <si>
    <t>Data for table A2</t>
  </si>
  <si>
    <r>
      <rPr>
        <sz val="11"/>
        <color rgb="FF000000"/>
        <rFont val="Calibri"/>
        <family val="2"/>
      </rPr>
      <t>EFEF,j,y</t>
    </r>
    <r>
      <rPr>
        <vertAlign val="subscript"/>
        <sz val="11"/>
        <color rgb="FF000000"/>
        <rFont val="Calibri"/>
        <family val="2"/>
      </rPr>
      <t xml:space="preserve"> </t>
    </r>
    <r>
      <rPr>
        <sz val="11"/>
        <color rgb="FF000000"/>
        <rFont val="Calibri"/>
        <family val="2"/>
      </rPr>
      <t>(electricity used to start reactor)</t>
    </r>
  </si>
  <si>
    <r>
      <rPr>
        <sz val="11"/>
        <color rgb="FF000000"/>
        <rFont val="Calibri"/>
        <family val="2"/>
      </rPr>
      <t>EC</t>
    </r>
    <r>
      <rPr>
        <vertAlign val="subscript"/>
        <sz val="11"/>
        <color rgb="FF000000"/>
        <rFont val="Calibri"/>
        <family val="2"/>
      </rPr>
      <t xml:space="preserve">PJ,j,y </t>
    </r>
    <r>
      <rPr>
        <sz val="11"/>
        <color rgb="FF000000"/>
        <rFont val="Calibri"/>
        <family val="2"/>
      </rPr>
      <t>(electricity used to start reactor)</t>
    </r>
  </si>
  <si>
    <r>
      <rPr>
        <sz val="11"/>
        <color rgb="FF000000"/>
        <rFont val="Calibri"/>
        <family val="2"/>
      </rPr>
      <t>TDL</t>
    </r>
    <r>
      <rPr>
        <vertAlign val="subscript"/>
        <sz val="11"/>
        <color rgb="FF000000"/>
        <rFont val="Calibri"/>
        <family val="2"/>
      </rPr>
      <t>j,y</t>
    </r>
    <r>
      <rPr>
        <sz val="11"/>
        <color rgb="FF000000"/>
        <rFont val="Calibri"/>
        <family val="2"/>
      </rPr>
      <t xml:space="preserve"> (electricity used to start reactor)</t>
    </r>
  </si>
  <si>
    <t>Data for table A3</t>
  </si>
  <si>
    <r>
      <rPr>
        <sz val="11"/>
        <color rgb="FF000000"/>
        <rFont val="Calibri"/>
        <family val="2"/>
      </rPr>
      <t>EFEF,j,y</t>
    </r>
    <r>
      <rPr>
        <vertAlign val="subscript"/>
        <sz val="11"/>
        <color rgb="FF000000"/>
        <rFont val="Calibri"/>
        <family val="2"/>
      </rPr>
      <t xml:space="preserve"> </t>
    </r>
    <r>
      <rPr>
        <sz val="11"/>
        <color rgb="FF000000"/>
        <rFont val="Calibri"/>
        <family val="2"/>
      </rPr>
      <t>(electricity used for biochar processing)</t>
    </r>
  </si>
  <si>
    <r>
      <rPr>
        <sz val="11"/>
        <color rgb="FF000000"/>
        <rFont val="Calibri"/>
        <family val="2"/>
      </rPr>
      <t>EC</t>
    </r>
    <r>
      <rPr>
        <vertAlign val="subscript"/>
        <sz val="11"/>
        <color rgb="FF000000"/>
        <rFont val="Calibri"/>
        <family val="2"/>
      </rPr>
      <t xml:space="preserve">PJ,j,y </t>
    </r>
    <r>
      <rPr>
        <sz val="11"/>
        <color rgb="FF000000"/>
        <rFont val="Calibri"/>
        <family val="2"/>
      </rPr>
      <t>(electricity used for biochar processing)</t>
    </r>
  </si>
  <si>
    <r>
      <rPr>
        <sz val="11"/>
        <color rgb="FF000000"/>
        <rFont val="Calibri"/>
        <family val="2"/>
      </rPr>
      <t>TDL</t>
    </r>
    <r>
      <rPr>
        <vertAlign val="subscript"/>
        <sz val="11"/>
        <color rgb="FF000000"/>
        <rFont val="Calibri"/>
        <family val="2"/>
      </rPr>
      <t>j,y</t>
    </r>
    <r>
      <rPr>
        <sz val="11"/>
        <color rgb="FF000000"/>
        <rFont val="Calibri"/>
        <family val="2"/>
      </rPr>
      <t xml:space="preserve"> (electricity used for biochar processing)</t>
    </r>
  </si>
  <si>
    <t>Data for table B1.1</t>
  </si>
  <si>
    <r>
      <t>W</t>
    </r>
    <r>
      <rPr>
        <vertAlign val="subscript"/>
        <sz val="11"/>
        <color rgb="FF000000"/>
        <rFont val="Aptos Narrow"/>
      </rPr>
      <t xml:space="preserve">C,i,y </t>
    </r>
    <r>
      <rPr>
        <sz val="11"/>
        <color rgb="FF000000"/>
        <rFont val="Aptos Narrow"/>
        <family val="2"/>
      </rPr>
      <t>- fuel for pre-treatment of biomass</t>
    </r>
  </si>
  <si>
    <r>
      <rPr>
        <sz val="11"/>
        <color rgb="FF000000"/>
        <rFont val="Aptos Narrow"/>
      </rPr>
      <t>FC</t>
    </r>
    <r>
      <rPr>
        <vertAlign val="subscript"/>
        <sz val="11"/>
        <color rgb="FF000000"/>
        <rFont val="Aptos Narrow"/>
      </rPr>
      <t>i,j,y</t>
    </r>
    <r>
      <rPr>
        <sz val="11"/>
        <color rgb="FF000000"/>
        <rFont val="Aptos Narrow"/>
      </rPr>
      <t xml:space="preserve"> - fuel for pre-treatment of biomass</t>
    </r>
  </si>
  <si>
    <t>Data for table B1.2</t>
  </si>
  <si>
    <r>
      <t>ρ</t>
    </r>
    <r>
      <rPr>
        <vertAlign val="subscript"/>
        <sz val="11"/>
        <color rgb="FF000000"/>
        <rFont val="Aptos Narrow"/>
      </rPr>
      <t xml:space="preserve"> i,y </t>
    </r>
    <r>
      <rPr>
        <sz val="11"/>
        <color rgb="FF000000"/>
        <rFont val="Aptos Narrow"/>
        <family val="2"/>
      </rPr>
      <t>- fuel for pre-treatment of biomass</t>
    </r>
  </si>
  <si>
    <t>Data for table B1.3</t>
  </si>
  <si>
    <r>
      <t>NCV</t>
    </r>
    <r>
      <rPr>
        <vertAlign val="subscript"/>
        <sz val="11"/>
        <color rgb="FF000000"/>
        <rFont val="Aptos Narrow"/>
      </rPr>
      <t>i,y</t>
    </r>
    <r>
      <rPr>
        <sz val="11"/>
        <color rgb="FF000000"/>
        <rFont val="Aptos Narrow"/>
        <family val="2"/>
      </rPr>
      <t xml:space="preserve"> - fuel for pre-treatment of biomass</t>
    </r>
  </si>
  <si>
    <r>
      <t>EF</t>
    </r>
    <r>
      <rPr>
        <vertAlign val="subscript"/>
        <sz val="11"/>
        <color rgb="FF000000"/>
        <rFont val="Aptos Narrow"/>
      </rPr>
      <t xml:space="preserve">CO2,i,y </t>
    </r>
    <r>
      <rPr>
        <sz val="11"/>
        <color rgb="FF000000"/>
        <rFont val="Aptos Narrow"/>
        <family val="2"/>
      </rPr>
      <t>- fuel for pre-treatment of biomass</t>
    </r>
  </si>
  <si>
    <t>Data for table B2.1</t>
  </si>
  <si>
    <r>
      <t>W</t>
    </r>
    <r>
      <rPr>
        <vertAlign val="subscript"/>
        <sz val="11"/>
        <color rgb="FF000000"/>
        <rFont val="Aptos Narrow"/>
      </rPr>
      <t>C,i,y</t>
    </r>
    <r>
      <rPr>
        <sz val="11"/>
        <color rgb="FF000000"/>
        <rFont val="Aptos Narrow"/>
        <family val="2"/>
      </rPr>
      <t xml:space="preserve"> - fuel used to start reactor</t>
    </r>
  </si>
  <si>
    <r>
      <rPr>
        <sz val="11"/>
        <color rgb="FF000000"/>
        <rFont val="Aptos Narrow"/>
      </rPr>
      <t>FC</t>
    </r>
    <r>
      <rPr>
        <vertAlign val="subscript"/>
        <sz val="11"/>
        <color rgb="FF000000"/>
        <rFont val="Aptos Narrow"/>
      </rPr>
      <t xml:space="preserve">i,j,y </t>
    </r>
    <r>
      <rPr>
        <sz val="11"/>
        <color rgb="FF000000"/>
        <rFont val="Aptos Narrow"/>
      </rPr>
      <t>-  fuel used to start reactor</t>
    </r>
  </si>
  <si>
    <t>Data for table B2.2</t>
  </si>
  <si>
    <r>
      <rPr>
        <sz val="11"/>
        <color rgb="FF000000"/>
        <rFont val="Aptos Narrow"/>
      </rPr>
      <t>ρ</t>
    </r>
    <r>
      <rPr>
        <vertAlign val="subscript"/>
        <sz val="11"/>
        <color rgb="FF000000"/>
        <rFont val="Aptos Narrow"/>
      </rPr>
      <t xml:space="preserve"> i,y -  fuel used to start reactor</t>
    </r>
  </si>
  <si>
    <t>Data for table B2.3</t>
  </si>
  <si>
    <r>
      <t>NCV</t>
    </r>
    <r>
      <rPr>
        <vertAlign val="subscript"/>
        <sz val="11"/>
        <color rgb="FF000000"/>
        <rFont val="Aptos Narrow"/>
      </rPr>
      <t xml:space="preserve">i,y </t>
    </r>
    <r>
      <rPr>
        <sz val="11"/>
        <color rgb="FF000000"/>
        <rFont val="Aptos Narrow"/>
        <family val="2"/>
      </rPr>
      <t>-  fuel used to start reactor</t>
    </r>
  </si>
  <si>
    <r>
      <t>EF</t>
    </r>
    <r>
      <rPr>
        <vertAlign val="subscript"/>
        <sz val="11"/>
        <color rgb="FF000000"/>
        <rFont val="Aptos Narrow"/>
      </rPr>
      <t xml:space="preserve">CO2,i,y </t>
    </r>
    <r>
      <rPr>
        <sz val="11"/>
        <color rgb="FF000000"/>
        <rFont val="Aptos Narrow"/>
        <family val="2"/>
      </rPr>
      <t>-  fuel used to start reactor</t>
    </r>
  </si>
  <si>
    <t>Data for table B3.1</t>
  </si>
  <si>
    <r>
      <t>W</t>
    </r>
    <r>
      <rPr>
        <vertAlign val="subscript"/>
        <sz val="11"/>
        <color rgb="FF000000"/>
        <rFont val="Aptos Narrow"/>
      </rPr>
      <t xml:space="preserve">C,i,y </t>
    </r>
    <r>
      <rPr>
        <sz val="11"/>
        <color rgb="FF000000"/>
        <rFont val="Aptos Narrow"/>
        <family val="2"/>
      </rPr>
      <t>- fuel used to for biochar processing</t>
    </r>
  </si>
  <si>
    <r>
      <t>FC</t>
    </r>
    <r>
      <rPr>
        <vertAlign val="subscript"/>
        <sz val="11"/>
        <color rgb="FF000000"/>
        <rFont val="Aptos Narrow"/>
      </rPr>
      <t xml:space="preserve">i,j,y </t>
    </r>
    <r>
      <rPr>
        <sz val="11"/>
        <color rgb="FF000000"/>
        <rFont val="Aptos Narrow"/>
      </rPr>
      <t>-</t>
    </r>
    <r>
      <rPr>
        <sz val="11"/>
        <color rgb="FF000000"/>
        <rFont val="Aptos Narrow"/>
        <family val="2"/>
      </rPr>
      <t xml:space="preserve"> fuel used to for biochar processing</t>
    </r>
  </si>
  <si>
    <t>Data for table B3.2</t>
  </si>
  <si>
    <r>
      <rPr>
        <sz val="11"/>
        <color rgb="FF000000"/>
        <rFont val="Aptos Narrow"/>
      </rPr>
      <t>ρ</t>
    </r>
    <r>
      <rPr>
        <vertAlign val="subscript"/>
        <sz val="11"/>
        <color rgb="FF000000"/>
        <rFont val="Aptos Narrow"/>
      </rPr>
      <t xml:space="preserve"> i,y -  fuel used for biochar processing </t>
    </r>
  </si>
  <si>
    <r>
      <t>NCV</t>
    </r>
    <r>
      <rPr>
        <vertAlign val="subscript"/>
        <sz val="11"/>
        <color rgb="FF000000"/>
        <rFont val="Aptos Narrow"/>
      </rPr>
      <t xml:space="preserve">i,y - </t>
    </r>
    <r>
      <rPr>
        <sz val="11"/>
        <color rgb="FF000000"/>
        <rFont val="Aptos Narrow"/>
        <family val="2"/>
      </rPr>
      <t>fuel used for biochar processing</t>
    </r>
  </si>
  <si>
    <r>
      <t>EF</t>
    </r>
    <r>
      <rPr>
        <vertAlign val="subscript"/>
        <sz val="11"/>
        <color rgb="FF000000"/>
        <rFont val="Aptos Narrow"/>
      </rPr>
      <t xml:space="preserve">CO2,i,y </t>
    </r>
    <r>
      <rPr>
        <sz val="11"/>
        <color rgb="FF000000"/>
        <rFont val="Aptos Narrow"/>
        <family val="2"/>
      </rPr>
      <t>- fuel used for biochar processing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</si>
</sst>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00"/>
    <numFmt numFmtId="165" formatCode="0.0000"/>
    <numFmt numFmtId="166" formatCode="0.00000"/>
    <numFmt numFmtId="167" formatCode="0.000000"/>
    <numFmt numFmtId="168" formatCode="0.0"/>
    <numFmt numFmtId="169" formatCode="_(* #,##0_);_(* \(#,##0\);_(* &quot;-&quot;??_);_(@_)"/>
    <numFmt numFmtId="170" formatCode="0.000000000"/>
  </numFmts>
  <fonts count="43">
    <font>
      <sz val="11"/>
      <color rgb="FF000000"/>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scheme val="minor"/>
    </font>
    <font>
      <b/>
      <sz val="11"/>
      <color rgb="FF000000"/>
      <name val="Calibri"/>
      <family val="2"/>
    </font>
    <font>
      <b/>
      <vertAlign val="subscript"/>
      <sz val="11"/>
      <color rgb="FF000000"/>
      <name val="Calibri"/>
      <family val="2"/>
    </font>
    <font>
      <sz val="11"/>
      <color rgb="FF000000"/>
      <name val="Calibri"/>
      <family val="2"/>
    </font>
    <font>
      <vertAlign val="subscript"/>
      <sz val="11"/>
      <color rgb="FF000000"/>
      <name val="Calibri"/>
      <family val="2"/>
    </font>
    <font>
      <vertAlign val="subscript"/>
      <sz val="11"/>
      <color theme="1"/>
      <name val="aptos narrow"/>
      <family val="2"/>
      <scheme val="minor"/>
    </font>
    <font>
      <sz val="11"/>
      <color rgb="FF000000"/>
      <name val="aptos narrow"/>
      <family val="2"/>
      <scheme val="minor"/>
    </font>
    <font>
      <vertAlign val="subscript"/>
      <sz val="11"/>
      <color rgb="FF000000"/>
      <name val="aptos narrow"/>
      <family val="2"/>
      <scheme val="minor"/>
    </font>
    <font>
      <b/>
      <vertAlign val="subscript"/>
      <sz val="11"/>
      <color theme="1"/>
      <name val="aptos narrow"/>
      <family val="2"/>
      <scheme val="minor"/>
    </font>
    <font>
      <sz val="10"/>
      <color rgb="FF000000"/>
      <name val="aptos narrow"/>
      <family val="2"/>
      <scheme val="minor"/>
    </font>
    <font>
      <sz val="11"/>
      <color rgb="FF000000"/>
      <name val="Aptos Narrow"/>
      <family val="2"/>
    </font>
    <font>
      <vertAlign val="subscript"/>
      <sz val="11"/>
      <color rgb="FF000000"/>
      <name val="Aptos Narrow"/>
      <family val="2"/>
    </font>
    <font>
      <u/>
      <sz val="11"/>
      <color theme="10"/>
      <name val="aptos narrow"/>
      <family val="2"/>
      <scheme val="minor"/>
    </font>
    <font>
      <sz val="11"/>
      <color rgb="FF000000"/>
      <name val="aptos narrow"/>
      <family val="2"/>
      <scheme val="minor"/>
    </font>
    <font>
      <b/>
      <sz val="11"/>
      <color rgb="FF000000"/>
      <name val="aptos narrow"/>
      <family val="2"/>
      <scheme val="minor"/>
    </font>
    <font>
      <sz val="11"/>
      <color rgb="FF00B050"/>
      <name val="aptos narrow"/>
      <family val="2"/>
      <scheme val="minor"/>
    </font>
    <font>
      <sz val="11"/>
      <name val="aptos narrow"/>
      <family val="2"/>
      <scheme val="minor"/>
    </font>
    <font>
      <vertAlign val="subscript"/>
      <sz val="11"/>
      <name val="aptos narrow"/>
      <family val="2"/>
      <scheme val="minor"/>
    </font>
    <font>
      <b/>
      <vertAlign val="subscript"/>
      <sz val="11"/>
      <name val="aptos narrow"/>
      <family val="2"/>
      <scheme val="minor"/>
    </font>
    <font>
      <b/>
      <sz val="11"/>
      <name val="aptos narrow"/>
      <family val="2"/>
      <scheme val="minor"/>
    </font>
    <font>
      <b/>
      <vertAlign val="subscript"/>
      <sz val="11"/>
      <color rgb="FF000000"/>
      <name val="aptos narrow"/>
      <family val="2"/>
      <scheme val="minor"/>
    </font>
    <font>
      <vertAlign val="subscript"/>
      <sz val="11"/>
      <color rgb="FF000000"/>
      <name val="aptos narrow"/>
      <scheme val="minor"/>
    </font>
    <font>
      <sz val="11"/>
      <color theme="8" tint="0.39997558519241921"/>
      <name val="aptos narrow"/>
      <family val="2"/>
      <scheme val="minor"/>
    </font>
    <font>
      <b/>
      <sz val="11"/>
      <color theme="8" tint="0.39997558519241921"/>
      <name val="aptos narrow"/>
      <family val="2"/>
      <scheme val="minor"/>
    </font>
    <font>
      <sz val="11"/>
      <color rgb="FFD86DCD"/>
      <name val="aptos narrow"/>
      <family val="2"/>
      <scheme val="minor"/>
    </font>
    <font>
      <b/>
      <sz val="11"/>
      <color rgb="FFD86DCD"/>
      <name val="aptos narrow"/>
      <family val="2"/>
      <scheme val="minor"/>
    </font>
    <font>
      <sz val="11"/>
      <color rgb="FF242424"/>
      <name val="Aptos Narrow"/>
      <family val="2"/>
    </font>
    <font>
      <sz val="11"/>
      <color rgb="FF000000"/>
      <name val="Aptos Narrow"/>
    </font>
    <font>
      <vertAlign val="subscript"/>
      <sz val="11"/>
      <color rgb="FF000000"/>
      <name val="Aptos Narrow"/>
    </font>
    <font>
      <sz val="11"/>
      <color theme="1"/>
      <name val="aptos narrow"/>
      <family val="2"/>
    </font>
    <font>
      <vertAlign val="subscript"/>
      <sz val="11"/>
      <color theme="1"/>
      <name val="Aptos Narrow"/>
      <family val="2"/>
    </font>
    <font>
      <b/>
      <sz val="11"/>
      <color rgb="FF000000"/>
      <name val="aptos narrow"/>
      <scheme val="minor"/>
    </font>
    <font>
      <sz val="11"/>
      <color rgb="FF000000"/>
      <name val="Calibri"/>
      <family val="2"/>
    </font>
    <font>
      <b/>
      <sz val="11"/>
      <color theme="0"/>
      <name val="aptos narrow"/>
      <scheme val="minor"/>
    </font>
    <font>
      <sz val="11"/>
      <color theme="1" tint="0.249977111117893"/>
      <name val="aptos narrow"/>
      <scheme val="minor"/>
    </font>
    <font>
      <sz val="11"/>
      <color theme="0"/>
      <name val="aptos narrow"/>
      <scheme val="minor"/>
    </font>
    <font>
      <sz val="11"/>
      <color theme="1"/>
      <name val="aptos narrow"/>
      <scheme val="minor"/>
    </font>
    <font>
      <sz val="10"/>
      <color rgb="FF7E8D9A"/>
      <name val="Be Vietnam Pro"/>
      <family val="2"/>
      <charset val="1"/>
    </font>
    <font>
      <b/>
      <sz val="10"/>
      <color rgb="FF7E8D9A"/>
      <name val="Be Vietnam Pro"/>
      <family val="2"/>
      <charset val="1"/>
    </font>
  </fonts>
  <fills count="15">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59999389629810485"/>
        <bgColor indexed="64"/>
      </patternFill>
    </fill>
    <fill>
      <patternFill patternType="solid">
        <fgColor rgb="FFC6E0B4"/>
        <bgColor rgb="FF000000"/>
      </patternFill>
    </fill>
    <fill>
      <patternFill patternType="solid">
        <fgColor theme="1"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2CEEF"/>
        <bgColor rgb="FF000000"/>
      </patternFill>
    </fill>
    <fill>
      <patternFill patternType="solid">
        <fgColor rgb="FFCAEDFB"/>
        <bgColor rgb="FF000000"/>
      </patternFill>
    </fill>
    <fill>
      <patternFill patternType="solid">
        <fgColor theme="0"/>
        <bgColor indexed="64"/>
      </patternFill>
    </fill>
    <fill>
      <patternFill patternType="solid">
        <fgColor rgb="FFFFFFFF"/>
        <bgColor indexed="64"/>
      </patternFill>
    </fill>
  </fills>
  <borders count="54">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style="medium">
        <color indexed="64"/>
      </top>
      <bottom style="medium">
        <color indexed="64"/>
      </bottom>
      <diagonal/>
    </border>
    <border>
      <left/>
      <right style="medium">
        <color indexed="64"/>
      </right>
      <top style="medium">
        <color rgb="FF000000"/>
      </top>
      <bottom/>
      <diagonal/>
    </border>
    <border>
      <left style="medium">
        <color indexed="64"/>
      </left>
      <right/>
      <top style="medium">
        <color rgb="FF000000"/>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indexed="64"/>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diagonal/>
    </border>
    <border>
      <left style="medium">
        <color theme="1"/>
      </left>
      <right/>
      <top/>
      <bottom/>
      <diagonal/>
    </border>
    <border>
      <left style="medium">
        <color theme="1"/>
      </left>
      <right/>
      <top/>
      <bottom style="medium">
        <color theme="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E2E2E2"/>
      </left>
      <right style="thin">
        <color rgb="FFD9E3EB"/>
      </right>
      <top style="thin">
        <color rgb="FFE2E2E2"/>
      </top>
      <bottom style="thin">
        <color rgb="FFD9E3EB"/>
      </bottom>
      <diagonal/>
    </border>
    <border>
      <left style="thin">
        <color rgb="FFD9E3EB"/>
      </left>
      <right style="thin">
        <color rgb="FFD9E3EB"/>
      </right>
      <top style="thin">
        <color rgb="FFE2E2E2"/>
      </top>
      <bottom style="thin">
        <color rgb="FFD9E3EB"/>
      </bottom>
      <diagonal/>
    </border>
    <border>
      <left style="thin">
        <color rgb="FFD9E3EB"/>
      </left>
      <right style="thin">
        <color rgb="FFE2E2E2"/>
      </right>
      <top style="thin">
        <color rgb="FFE2E2E2"/>
      </top>
      <bottom style="thin">
        <color rgb="FFD9E3EB"/>
      </bottom>
      <diagonal/>
    </border>
    <border>
      <left style="thin">
        <color rgb="FFE2E2E2"/>
      </left>
      <right style="thin">
        <color rgb="FFD9E3EB"/>
      </right>
      <top style="thin">
        <color rgb="FFD9E3EB"/>
      </top>
      <bottom style="thin">
        <color rgb="FFD9E3EB"/>
      </bottom>
      <diagonal/>
    </border>
    <border>
      <left style="thin">
        <color rgb="FFD9E3EB"/>
      </left>
      <right style="thin">
        <color rgb="FFD9E3EB"/>
      </right>
      <top style="thin">
        <color rgb="FFD9E3EB"/>
      </top>
      <bottom style="thin">
        <color rgb="FFD9E3EB"/>
      </bottom>
      <diagonal/>
    </border>
    <border>
      <left style="thin">
        <color rgb="FFD9E3EB"/>
      </left>
      <right style="thin">
        <color rgb="FFE2E2E2"/>
      </right>
      <top style="thin">
        <color rgb="FFD9E3EB"/>
      </top>
      <bottom style="thin">
        <color rgb="FFD9E3EB"/>
      </bottom>
      <diagonal/>
    </border>
    <border>
      <left style="thin">
        <color rgb="FFE2E2E2"/>
      </left>
      <right style="thin">
        <color rgb="FFD9E3EB"/>
      </right>
      <top style="thin">
        <color rgb="FFD9E3EB"/>
      </top>
      <bottom style="thin">
        <color rgb="FFE2E2E2"/>
      </bottom>
      <diagonal/>
    </border>
    <border>
      <left style="thin">
        <color rgb="FFD9E3EB"/>
      </left>
      <right style="thin">
        <color rgb="FFD9E3EB"/>
      </right>
      <top style="thin">
        <color rgb="FFD9E3EB"/>
      </top>
      <bottom style="thin">
        <color rgb="FFE2E2E2"/>
      </bottom>
      <diagonal/>
    </border>
    <border>
      <left style="thin">
        <color rgb="FFD9E3EB"/>
      </left>
      <right style="thin">
        <color rgb="FFE2E2E2"/>
      </right>
      <top style="thin">
        <color rgb="FFD9E3EB"/>
      </top>
      <bottom style="thin">
        <color rgb="FFE2E2E2"/>
      </bottom>
      <diagonal/>
    </border>
  </borders>
  <cellStyleXfs count="6">
    <xf numFmtId="0" fontId="0" fillId="0" borderId="0"/>
    <xf numFmtId="0" fontId="3" fillId="0" borderId="1"/>
    <xf numFmtId="0" fontId="13" fillId="0" borderId="1"/>
    <xf numFmtId="0" fontId="16" fillId="0" borderId="0" applyNumberFormat="0" applyFill="0" applyBorder="0" applyAlignment="0" applyProtection="0"/>
    <xf numFmtId="0" fontId="3" fillId="0" borderId="1"/>
    <xf numFmtId="43" fontId="17" fillId="0" borderId="0" applyFont="0" applyFill="0" applyBorder="0" applyAlignment="0" applyProtection="0"/>
  </cellStyleXfs>
  <cellXfs count="656">
    <xf numFmtId="0" fontId="0" fillId="0" borderId="0" xfId="0"/>
    <xf numFmtId="0" fontId="4" fillId="0" borderId="1" xfId="1" applyFont="1"/>
    <xf numFmtId="0" fontId="10" fillId="0" borderId="0" xfId="1" applyFont="1" applyBorder="1"/>
    <xf numFmtId="0" fontId="10" fillId="0" borderId="1" xfId="1" applyFont="1" applyAlignment="1">
      <alignment horizontal="left" vertical="top" indent="1"/>
    </xf>
    <xf numFmtId="0" fontId="10" fillId="0" borderId="1" xfId="1" applyFont="1"/>
    <xf numFmtId="0" fontId="4" fillId="2" borderId="7" xfId="1" applyFont="1" applyFill="1" applyBorder="1" applyAlignment="1">
      <alignment horizontal="left" vertical="top"/>
    </xf>
    <xf numFmtId="1" fontId="18" fillId="0" borderId="1" xfId="1" applyNumberFormat="1" applyFont="1"/>
    <xf numFmtId="2" fontId="19" fillId="0" borderId="1" xfId="1" applyNumberFormat="1" applyFont="1"/>
    <xf numFmtId="2" fontId="19" fillId="0" borderId="1" xfId="1" applyNumberFormat="1" applyFont="1" applyAlignment="1">
      <alignment horizontal="left" vertical="top" indent="1"/>
    </xf>
    <xf numFmtId="2" fontId="19" fillId="0" borderId="1" xfId="1" applyNumberFormat="1" applyFont="1" applyAlignment="1">
      <alignment indent="1"/>
    </xf>
    <xf numFmtId="166" fontId="19" fillId="0" borderId="1" xfId="1" applyNumberFormat="1" applyFont="1" applyAlignment="1">
      <alignment indent="1"/>
    </xf>
    <xf numFmtId="1" fontId="19" fillId="0" borderId="1" xfId="1" applyNumberFormat="1" applyFont="1"/>
    <xf numFmtId="0" fontId="20" fillId="0" borderId="1" xfId="1" applyFont="1" applyAlignment="1">
      <alignment horizontal="left" vertical="top" indent="1"/>
    </xf>
    <xf numFmtId="0" fontId="20" fillId="2" borderId="1" xfId="1" applyFont="1" applyFill="1" applyAlignment="1">
      <alignment horizontal="left" vertical="top" indent="1"/>
    </xf>
    <xf numFmtId="0" fontId="20" fillId="0" borderId="1" xfId="1" applyFont="1" applyAlignment="1">
      <alignment indent="1"/>
    </xf>
    <xf numFmtId="0" fontId="20" fillId="0" borderId="12" xfId="1" applyFont="1" applyBorder="1" applyAlignment="1">
      <alignment horizontal="left" vertical="top" indent="1"/>
    </xf>
    <xf numFmtId="0" fontId="20" fillId="2" borderId="12" xfId="1" applyFont="1" applyFill="1" applyBorder="1" applyAlignment="1">
      <alignment horizontal="left" vertical="top" indent="1"/>
    </xf>
    <xf numFmtId="0" fontId="20" fillId="0" borderId="12" xfId="1" applyFont="1" applyBorder="1" applyAlignment="1">
      <alignment indent="1"/>
    </xf>
    <xf numFmtId="0" fontId="20" fillId="2" borderId="12" xfId="1" applyFont="1" applyFill="1" applyBorder="1"/>
    <xf numFmtId="0" fontId="20" fillId="2" borderId="13" xfId="1" applyFont="1" applyFill="1" applyBorder="1"/>
    <xf numFmtId="0" fontId="20" fillId="0" borderId="14" xfId="1" applyFont="1" applyBorder="1" applyAlignment="1">
      <alignment horizontal="left" vertical="top"/>
    </xf>
    <xf numFmtId="1" fontId="20" fillId="2" borderId="15" xfId="1" applyNumberFormat="1" applyFont="1" applyFill="1" applyBorder="1"/>
    <xf numFmtId="2" fontId="20" fillId="0" borderId="1" xfId="1" applyNumberFormat="1" applyFont="1" applyAlignment="1">
      <alignment horizontal="left" vertical="top" indent="1"/>
    </xf>
    <xf numFmtId="2" fontId="20" fillId="2" borderId="1" xfId="1" applyNumberFormat="1" applyFont="1" applyFill="1" applyAlignment="1">
      <alignment horizontal="left" vertical="top" indent="1"/>
    </xf>
    <xf numFmtId="1" fontId="20" fillId="2" borderId="1" xfId="1" applyNumberFormat="1" applyFont="1" applyFill="1" applyAlignment="1">
      <alignment horizontal="left" vertical="top" indent="1"/>
    </xf>
    <xf numFmtId="1" fontId="20" fillId="0" borderId="1" xfId="1" applyNumberFormat="1" applyFont="1" applyAlignment="1">
      <alignment horizontal="left" vertical="top" indent="1"/>
    </xf>
    <xf numFmtId="165" fontId="20" fillId="2" borderId="1" xfId="1" applyNumberFormat="1" applyFont="1" applyFill="1" applyAlignment="1">
      <alignment horizontal="left" vertical="top" indent="1"/>
    </xf>
    <xf numFmtId="2" fontId="20" fillId="0" borderId="1" xfId="1" applyNumberFormat="1" applyFont="1" applyAlignment="1">
      <alignment indent="1"/>
    </xf>
    <xf numFmtId="166" fontId="20" fillId="0" borderId="1" xfId="1" applyNumberFormat="1" applyFont="1" applyAlignment="1">
      <alignment indent="1"/>
    </xf>
    <xf numFmtId="2" fontId="20" fillId="2" borderId="1" xfId="1" applyNumberFormat="1" applyFont="1" applyFill="1"/>
    <xf numFmtId="0" fontId="20" fillId="0" borderId="1" xfId="1" applyFont="1"/>
    <xf numFmtId="165" fontId="20" fillId="0" borderId="1" xfId="1" applyNumberFormat="1" applyFont="1" applyAlignment="1">
      <alignment indent="1"/>
    </xf>
    <xf numFmtId="0" fontId="20" fillId="0" borderId="14" xfId="1" applyFont="1" applyBorder="1" applyAlignment="1">
      <alignment horizontal="center" vertical="top" wrapText="1"/>
    </xf>
    <xf numFmtId="0" fontId="20" fillId="0" borderId="1" xfId="1" applyFont="1" applyAlignment="1">
      <alignment horizontal="left" vertical="top"/>
    </xf>
    <xf numFmtId="0" fontId="20" fillId="2" borderId="1" xfId="1" applyFont="1" applyFill="1" applyAlignment="1">
      <alignment horizontal="left" vertical="top"/>
    </xf>
    <xf numFmtId="0" fontId="20" fillId="2" borderId="15" xfId="1" applyFont="1" applyFill="1" applyBorder="1" applyAlignment="1">
      <alignment horizontal="left" vertical="top"/>
    </xf>
    <xf numFmtId="0" fontId="20" fillId="0" borderId="11" xfId="1" applyFont="1" applyBorder="1" applyAlignment="1">
      <alignment horizontal="left" vertical="top"/>
    </xf>
    <xf numFmtId="2" fontId="20" fillId="0" borderId="12" xfId="1" applyNumberFormat="1" applyFont="1" applyBorder="1" applyAlignment="1">
      <alignment horizontal="left" vertical="top" indent="1"/>
    </xf>
    <xf numFmtId="2" fontId="20" fillId="2" borderId="12" xfId="1" applyNumberFormat="1" applyFont="1" applyFill="1" applyBorder="1" applyAlignment="1">
      <alignment horizontal="left" vertical="top" indent="1"/>
    </xf>
    <xf numFmtId="1" fontId="20" fillId="2" borderId="12" xfId="1" applyNumberFormat="1" applyFont="1" applyFill="1" applyBorder="1" applyAlignment="1">
      <alignment horizontal="left" vertical="top" indent="1"/>
    </xf>
    <xf numFmtId="1" fontId="20" fillId="0" borderId="12" xfId="1" applyNumberFormat="1" applyFont="1" applyBorder="1" applyAlignment="1">
      <alignment horizontal="left" vertical="top" indent="1"/>
    </xf>
    <xf numFmtId="165" fontId="20" fillId="2" borderId="12" xfId="1" applyNumberFormat="1" applyFont="1" applyFill="1" applyBorder="1" applyAlignment="1">
      <alignment horizontal="left" vertical="top" indent="1"/>
    </xf>
    <xf numFmtId="2" fontId="20" fillId="0" borderId="12" xfId="1" applyNumberFormat="1" applyFont="1" applyBorder="1" applyAlignment="1">
      <alignment indent="1"/>
    </xf>
    <xf numFmtId="166" fontId="20" fillId="0" borderId="12" xfId="1" applyNumberFormat="1" applyFont="1" applyBorder="1" applyAlignment="1">
      <alignment indent="1"/>
    </xf>
    <xf numFmtId="2" fontId="20" fillId="2" borderId="12" xfId="1" applyNumberFormat="1" applyFont="1" applyFill="1" applyBorder="1"/>
    <xf numFmtId="1" fontId="20" fillId="2" borderId="13" xfId="1" applyNumberFormat="1" applyFont="1" applyFill="1" applyBorder="1"/>
    <xf numFmtId="0" fontId="2" fillId="0" borderId="1" xfId="1" applyFont="1"/>
    <xf numFmtId="0" fontId="2" fillId="0" borderId="1" xfId="1" applyFont="1" applyAlignment="1">
      <alignment horizontal="left" vertical="top" indent="1"/>
    </xf>
    <xf numFmtId="0" fontId="2" fillId="0" borderId="0" xfId="1" applyFont="1" applyBorder="1"/>
    <xf numFmtId="0" fontId="20" fillId="0" borderId="1" xfId="2" applyFont="1"/>
    <xf numFmtId="0" fontId="23" fillId="2" borderId="1" xfId="1" applyFont="1" applyFill="1" applyAlignment="1">
      <alignment horizontal="left" vertical="top" indent="1"/>
    </xf>
    <xf numFmtId="0" fontId="16" fillId="0" borderId="1" xfId="3" applyBorder="1"/>
    <xf numFmtId="0" fontId="16" fillId="0" borderId="0" xfId="3"/>
    <xf numFmtId="0" fontId="2" fillId="0" borderId="0" xfId="1" applyFont="1" applyBorder="1" applyAlignment="1">
      <alignment horizontal="left" vertical="top" indent="1"/>
    </xf>
    <xf numFmtId="0" fontId="16" fillId="0" borderId="1" xfId="3" applyBorder="1" applyAlignment="1">
      <alignment horizontal="left" vertical="top" indent="1"/>
    </xf>
    <xf numFmtId="0" fontId="2" fillId="0" borderId="0" xfId="1" applyFont="1" applyBorder="1" applyAlignment="1">
      <alignment indent="1"/>
    </xf>
    <xf numFmtId="14" fontId="20" fillId="0" borderId="14" xfId="0" applyNumberFormat="1" applyFont="1" applyBorder="1" applyAlignment="1">
      <alignment horizontal="left"/>
    </xf>
    <xf numFmtId="169" fontId="4" fillId="0" borderId="1" xfId="5" applyNumberFormat="1" applyFont="1" applyBorder="1"/>
    <xf numFmtId="1" fontId="4" fillId="0" borderId="1" xfId="1" applyNumberFormat="1" applyFont="1" applyAlignment="1">
      <alignment horizontal="left" vertical="top" indent="1"/>
    </xf>
    <xf numFmtId="1" fontId="4" fillId="0" borderId="17" xfId="1" applyNumberFormat="1" applyFont="1" applyBorder="1" applyAlignment="1">
      <alignment horizontal="left" vertical="top" indent="1"/>
    </xf>
    <xf numFmtId="0" fontId="19" fillId="0" borderId="17" xfId="1" applyFont="1" applyBorder="1" applyAlignment="1">
      <alignment horizontal="left" vertical="top" indent="1"/>
    </xf>
    <xf numFmtId="0" fontId="19" fillId="0" borderId="17" xfId="1" applyFont="1" applyBorder="1" applyAlignment="1">
      <alignment indent="1"/>
    </xf>
    <xf numFmtId="2" fontId="19" fillId="0" borderId="17" xfId="1" applyNumberFormat="1" applyFont="1" applyBorder="1"/>
    <xf numFmtId="0" fontId="10" fillId="0" borderId="1" xfId="2" applyFont="1"/>
    <xf numFmtId="0" fontId="10" fillId="2" borderId="1" xfId="1" applyFont="1" applyFill="1" applyAlignment="1">
      <alignment horizontal="left" vertical="top" indent="1"/>
    </xf>
    <xf numFmtId="0" fontId="18" fillId="2" borderId="1" xfId="1" applyFont="1" applyFill="1" applyAlignment="1">
      <alignment horizontal="left" vertical="top" indent="1"/>
    </xf>
    <xf numFmtId="0" fontId="4" fillId="2" borderId="1" xfId="1" applyFont="1" applyFill="1" applyAlignment="1">
      <alignment horizontal="left" vertical="top" indent="1"/>
    </xf>
    <xf numFmtId="2" fontId="10" fillId="2" borderId="1" xfId="1" applyNumberFormat="1" applyFont="1" applyFill="1" applyAlignment="1">
      <alignment horizontal="left" vertical="top" indent="1"/>
    </xf>
    <xf numFmtId="164" fontId="10" fillId="0" borderId="1" xfId="1" applyNumberFormat="1" applyFont="1" applyAlignment="1">
      <alignment horizontal="left" vertical="top" indent="1"/>
    </xf>
    <xf numFmtId="168" fontId="10" fillId="0" borderId="1" xfId="1" applyNumberFormat="1" applyFont="1" applyAlignment="1">
      <alignment horizontal="left" vertical="top" indent="1"/>
    </xf>
    <xf numFmtId="0" fontId="10" fillId="0" borderId="1" xfId="1" applyFont="1" applyAlignment="1">
      <alignment indent="1"/>
    </xf>
    <xf numFmtId="0" fontId="10" fillId="2" borderId="1" xfId="1" applyFont="1" applyFill="1"/>
    <xf numFmtId="2" fontId="10" fillId="2" borderId="1" xfId="1" applyNumberFormat="1" applyFont="1" applyFill="1"/>
    <xf numFmtId="14" fontId="10" fillId="0" borderId="11" xfId="0" applyNumberFormat="1" applyFont="1" applyBorder="1" applyAlignment="1">
      <alignment horizontal="left"/>
    </xf>
    <xf numFmtId="0" fontId="18" fillId="0" borderId="14" xfId="1" applyFont="1" applyBorder="1" applyAlignment="1">
      <alignment horizontal="left" vertical="top"/>
    </xf>
    <xf numFmtId="14" fontId="10" fillId="0" borderId="14" xfId="0" applyNumberFormat="1" applyFont="1" applyBorder="1" applyAlignment="1">
      <alignment horizontal="left"/>
    </xf>
    <xf numFmtId="0" fontId="4" fillId="0" borderId="16" xfId="1" applyFont="1" applyBorder="1" applyAlignment="1">
      <alignment horizontal="left" vertical="top"/>
    </xf>
    <xf numFmtId="164" fontId="18" fillId="2" borderId="17" xfId="1" applyNumberFormat="1" applyFont="1" applyFill="1" applyBorder="1" applyAlignment="1">
      <alignment horizontal="left" vertical="top" indent="1"/>
    </xf>
    <xf numFmtId="1" fontId="18" fillId="2" borderId="17" xfId="1" applyNumberFormat="1" applyFont="1" applyFill="1" applyBorder="1" applyAlignment="1">
      <alignment horizontal="left" vertical="top" indent="1"/>
    </xf>
    <xf numFmtId="2" fontId="18" fillId="2" borderId="17" xfId="1" applyNumberFormat="1" applyFont="1" applyFill="1" applyBorder="1" applyAlignment="1">
      <alignment horizontal="left" vertical="top" indent="1"/>
    </xf>
    <xf numFmtId="169" fontId="18" fillId="2" borderId="15" xfId="5" applyNumberFormat="1" applyFont="1" applyFill="1" applyBorder="1"/>
    <xf numFmtId="169" fontId="18" fillId="2" borderId="18" xfId="5" applyNumberFormat="1" applyFont="1" applyFill="1" applyBorder="1"/>
    <xf numFmtId="169" fontId="18" fillId="2" borderId="9" xfId="5" applyNumberFormat="1" applyFont="1" applyFill="1" applyBorder="1"/>
    <xf numFmtId="1" fontId="10" fillId="0" borderId="1" xfId="1" applyNumberFormat="1" applyFont="1" applyAlignment="1">
      <alignment horizontal="left" vertical="top" indent="1"/>
    </xf>
    <xf numFmtId="0" fontId="10" fillId="0" borderId="17" xfId="2" applyFont="1" applyBorder="1"/>
    <xf numFmtId="0" fontId="10" fillId="0" borderId="17" xfId="1" applyFont="1" applyBorder="1" applyAlignment="1">
      <alignment horizontal="left" vertical="top" indent="1"/>
    </xf>
    <xf numFmtId="0" fontId="10" fillId="2" borderId="17" xfId="1" applyFont="1" applyFill="1" applyBorder="1" applyAlignment="1">
      <alignment horizontal="left" vertical="top" indent="1"/>
    </xf>
    <xf numFmtId="0" fontId="18" fillId="2" borderId="17" xfId="1" applyFont="1" applyFill="1" applyBorder="1" applyAlignment="1">
      <alignment horizontal="left" vertical="top" indent="1"/>
    </xf>
    <xf numFmtId="0" fontId="4" fillId="2" borderId="17" xfId="1" applyFont="1" applyFill="1" applyBorder="1" applyAlignment="1">
      <alignment horizontal="left" vertical="top" indent="1"/>
    </xf>
    <xf numFmtId="0" fontId="4" fillId="2" borderId="16" xfId="1" applyFont="1" applyFill="1" applyBorder="1" applyAlignment="1">
      <alignment horizontal="left" vertical="top"/>
    </xf>
    <xf numFmtId="169" fontId="18" fillId="2" borderId="1" xfId="5" applyNumberFormat="1" applyFont="1" applyFill="1" applyBorder="1" applyAlignment="1">
      <alignment horizontal="left" vertical="top" indent="1"/>
    </xf>
    <xf numFmtId="169" fontId="10" fillId="2" borderId="1" xfId="5" applyNumberFormat="1" applyFont="1" applyFill="1" applyBorder="1" applyAlignment="1">
      <alignment horizontal="left" vertical="top" indent="1"/>
    </xf>
    <xf numFmtId="169" fontId="18" fillId="0" borderId="1" xfId="5" applyNumberFormat="1" applyFont="1" applyFill="1" applyBorder="1" applyAlignment="1">
      <alignment horizontal="left" vertical="top" indent="1"/>
    </xf>
    <xf numFmtId="0" fontId="20" fillId="0" borderId="11" xfId="1" applyFont="1" applyBorder="1" applyAlignment="1">
      <alignment horizontal="left" vertical="top" wrapText="1" indent="1"/>
    </xf>
    <xf numFmtId="0" fontId="20" fillId="0" borderId="12" xfId="1" applyFont="1" applyBorder="1" applyAlignment="1">
      <alignment horizontal="left" vertical="top" wrapText="1" indent="1"/>
    </xf>
    <xf numFmtId="0" fontId="20" fillId="0" borderId="1" xfId="1" applyFont="1" applyAlignment="1">
      <alignment horizontal="left" vertical="top" wrapText="1" indent="1"/>
    </xf>
    <xf numFmtId="0" fontId="20" fillId="0" borderId="1" xfId="2" applyFont="1" applyAlignment="1">
      <alignment wrapText="1"/>
    </xf>
    <xf numFmtId="0" fontId="20" fillId="0" borderId="1" xfId="1" applyFont="1" applyAlignment="1">
      <alignment horizontal="left" vertical="top" wrapText="1"/>
    </xf>
    <xf numFmtId="0" fontId="20" fillId="2" borderId="1" xfId="1" applyFont="1" applyFill="1" applyAlignment="1">
      <alignment horizontal="left" vertical="top" wrapText="1" indent="1"/>
    </xf>
    <xf numFmtId="0" fontId="20" fillId="2" borderId="17" xfId="1" applyFont="1" applyFill="1" applyBorder="1" applyAlignment="1">
      <alignment horizontal="left" vertical="top" wrapText="1" indent="1"/>
    </xf>
    <xf numFmtId="0" fontId="20" fillId="0" borderId="1" xfId="1" applyFont="1" applyAlignment="1">
      <alignment wrapText="1" indent="1"/>
    </xf>
    <xf numFmtId="0" fontId="20" fillId="2" borderId="1" xfId="1" applyFont="1" applyFill="1" applyAlignment="1">
      <alignment wrapText="1"/>
    </xf>
    <xf numFmtId="0" fontId="20" fillId="2" borderId="15" xfId="1" applyFont="1" applyFill="1" applyBorder="1" applyAlignment="1">
      <alignment wrapText="1"/>
    </xf>
    <xf numFmtId="0" fontId="2" fillId="0" borderId="0" xfId="1" applyFont="1" applyBorder="1" applyAlignment="1">
      <alignment wrapText="1"/>
    </xf>
    <xf numFmtId="169" fontId="4" fillId="0" borderId="1" xfId="1" applyNumberFormat="1" applyFont="1"/>
    <xf numFmtId="0" fontId="0" fillId="2" borderId="1" xfId="1" applyFont="1" applyFill="1" applyAlignment="1">
      <alignment horizontal="left" vertical="top" indent="1"/>
    </xf>
    <xf numFmtId="169" fontId="4" fillId="2" borderId="1" xfId="5" applyNumberFormat="1" applyFont="1" applyFill="1" applyBorder="1" applyAlignment="1">
      <alignment horizontal="left" vertical="top"/>
    </xf>
    <xf numFmtId="2" fontId="26" fillId="0" borderId="1" xfId="1" applyNumberFormat="1" applyFont="1" applyAlignment="1">
      <alignment horizontal="left" vertical="top" indent="1"/>
    </xf>
    <xf numFmtId="2" fontId="23" fillId="2" borderId="1" xfId="1" applyNumberFormat="1" applyFont="1" applyFill="1" applyAlignment="1">
      <alignment horizontal="left" vertical="top" indent="1"/>
    </xf>
    <xf numFmtId="2" fontId="27" fillId="0" borderId="17" xfId="1" applyNumberFormat="1" applyFont="1" applyBorder="1" applyAlignment="1">
      <alignment horizontal="left" vertical="top" indent="1"/>
    </xf>
    <xf numFmtId="2" fontId="23" fillId="2" borderId="17" xfId="1" applyNumberFormat="1" applyFont="1" applyFill="1" applyBorder="1" applyAlignment="1">
      <alignment horizontal="left" vertical="top" indent="1"/>
    </xf>
    <xf numFmtId="0" fontId="26" fillId="0" borderId="1" xfId="1" applyFont="1" applyAlignment="1">
      <alignment horizontal="left" vertical="top" indent="1"/>
    </xf>
    <xf numFmtId="164" fontId="4" fillId="2" borderId="1" xfId="1" applyNumberFormat="1" applyFont="1" applyFill="1" applyAlignment="1">
      <alignment horizontal="left" vertical="top" indent="1"/>
    </xf>
    <xf numFmtId="1" fontId="4" fillId="2" borderId="1" xfId="1" applyNumberFormat="1" applyFont="1" applyFill="1" applyAlignment="1">
      <alignment horizontal="left" vertical="top" indent="1"/>
    </xf>
    <xf numFmtId="2" fontId="26" fillId="0" borderId="12" xfId="1" applyNumberFormat="1" applyFont="1" applyBorder="1" applyAlignment="1">
      <alignment horizontal="left" vertical="top" indent="1"/>
    </xf>
    <xf numFmtId="164" fontId="4" fillId="2" borderId="17" xfId="1" applyNumberFormat="1" applyFont="1" applyFill="1" applyBorder="1" applyAlignment="1">
      <alignment horizontal="left" vertical="top" indent="1"/>
    </xf>
    <xf numFmtId="1" fontId="4" fillId="2" borderId="17" xfId="1" applyNumberFormat="1" applyFont="1" applyFill="1" applyBorder="1" applyAlignment="1">
      <alignment horizontal="left" vertical="top" indent="1"/>
    </xf>
    <xf numFmtId="169" fontId="20" fillId="2" borderId="1" xfId="5" applyNumberFormat="1" applyFont="1" applyFill="1" applyBorder="1" applyAlignment="1">
      <alignment horizontal="left" vertical="top" indent="1"/>
    </xf>
    <xf numFmtId="169" fontId="23" fillId="2" borderId="1" xfId="5" applyNumberFormat="1" applyFont="1" applyFill="1" applyBorder="1" applyAlignment="1">
      <alignment horizontal="left" vertical="top" indent="1"/>
    </xf>
    <xf numFmtId="0" fontId="20" fillId="0" borderId="2" xfId="1" applyFont="1" applyBorder="1" applyAlignment="1">
      <alignment horizontal="left" vertical="top"/>
    </xf>
    <xf numFmtId="0" fontId="20" fillId="0" borderId="3" xfId="1" applyFont="1" applyBorder="1" applyAlignment="1">
      <alignment horizontal="left" vertical="top" indent="1"/>
    </xf>
    <xf numFmtId="2" fontId="20" fillId="0" borderId="3" xfId="1" applyNumberFormat="1" applyFont="1" applyBorder="1" applyAlignment="1">
      <alignment horizontal="left" vertical="top" indent="1"/>
    </xf>
    <xf numFmtId="2" fontId="20" fillId="2" borderId="3" xfId="1" applyNumberFormat="1" applyFont="1" applyFill="1" applyBorder="1" applyAlignment="1">
      <alignment horizontal="left" vertical="top" indent="1"/>
    </xf>
    <xf numFmtId="1" fontId="20" fillId="2" borderId="3" xfId="1" applyNumberFormat="1" applyFont="1" applyFill="1" applyBorder="1" applyAlignment="1">
      <alignment horizontal="left" vertical="top" indent="1"/>
    </xf>
    <xf numFmtId="1" fontId="20" fillId="0" borderId="3" xfId="1" applyNumberFormat="1" applyFont="1" applyBorder="1" applyAlignment="1">
      <alignment horizontal="left" vertical="top" indent="1"/>
    </xf>
    <xf numFmtId="165" fontId="20" fillId="2" borderId="3" xfId="1" applyNumberFormat="1" applyFont="1" applyFill="1" applyBorder="1" applyAlignment="1">
      <alignment horizontal="left" vertical="top" indent="1"/>
    </xf>
    <xf numFmtId="2" fontId="20" fillId="0" borderId="3" xfId="1" applyNumberFormat="1" applyFont="1" applyBorder="1" applyAlignment="1">
      <alignment indent="1"/>
    </xf>
    <xf numFmtId="166" fontId="20" fillId="0" borderId="3" xfId="1" applyNumberFormat="1" applyFont="1" applyBorder="1" applyAlignment="1">
      <alignment indent="1"/>
    </xf>
    <xf numFmtId="2" fontId="20" fillId="2" borderId="3" xfId="1" applyNumberFormat="1" applyFont="1" applyFill="1" applyBorder="1"/>
    <xf numFmtId="1" fontId="20" fillId="2" borderId="4" xfId="1" applyNumberFormat="1" applyFont="1" applyFill="1" applyBorder="1"/>
    <xf numFmtId="0" fontId="20" fillId="0" borderId="5" xfId="1" applyFont="1" applyBorder="1" applyAlignment="1">
      <alignment horizontal="left" vertical="top"/>
    </xf>
    <xf numFmtId="168" fontId="26" fillId="0" borderId="1" xfId="1" applyNumberFormat="1" applyFont="1" applyAlignment="1">
      <alignment horizontal="left" vertical="top" indent="1"/>
    </xf>
    <xf numFmtId="168" fontId="20" fillId="2" borderId="1" xfId="1" applyNumberFormat="1" applyFont="1" applyFill="1" applyAlignment="1">
      <alignment horizontal="left" vertical="top" indent="1"/>
    </xf>
    <xf numFmtId="169" fontId="20" fillId="2" borderId="6" xfId="5" applyNumberFormat="1" applyFont="1" applyFill="1" applyBorder="1"/>
    <xf numFmtId="14" fontId="20" fillId="0" borderId="5" xfId="0" applyNumberFormat="1" applyFont="1" applyBorder="1" applyAlignment="1">
      <alignment horizontal="left"/>
    </xf>
    <xf numFmtId="168" fontId="27" fillId="0" borderId="1" xfId="1" applyNumberFormat="1" applyFont="1" applyAlignment="1">
      <alignment horizontal="left" vertical="top" indent="1"/>
    </xf>
    <xf numFmtId="168" fontId="23" fillId="2" borderId="1" xfId="1" applyNumberFormat="1" applyFont="1" applyFill="1" applyAlignment="1">
      <alignment horizontal="left" vertical="top" indent="1"/>
    </xf>
    <xf numFmtId="2" fontId="23" fillId="2" borderId="1" xfId="1" applyNumberFormat="1" applyFont="1" applyFill="1"/>
    <xf numFmtId="1" fontId="4" fillId="0" borderId="8" xfId="1" applyNumberFormat="1" applyFont="1" applyBorder="1" applyAlignment="1">
      <alignment horizontal="left" vertical="top" indent="1"/>
    </xf>
    <xf numFmtId="168" fontId="27" fillId="0" borderId="8" xfId="1" applyNumberFormat="1" applyFont="1" applyBorder="1" applyAlignment="1">
      <alignment horizontal="left" vertical="top" indent="1"/>
    </xf>
    <xf numFmtId="168" fontId="23" fillId="2" borderId="8" xfId="1" applyNumberFormat="1" applyFont="1" applyFill="1" applyBorder="1" applyAlignment="1">
      <alignment horizontal="left" vertical="top" indent="1"/>
    </xf>
    <xf numFmtId="2" fontId="23" fillId="2" borderId="8" xfId="1" applyNumberFormat="1" applyFont="1" applyFill="1" applyBorder="1" applyAlignment="1">
      <alignment horizontal="left" vertical="top" indent="1"/>
    </xf>
    <xf numFmtId="169" fontId="23" fillId="2" borderId="8" xfId="5" applyNumberFormat="1" applyFont="1" applyFill="1" applyBorder="1" applyAlignment="1">
      <alignment horizontal="left" vertical="top" indent="1"/>
    </xf>
    <xf numFmtId="165" fontId="23" fillId="2" borderId="8" xfId="1" applyNumberFormat="1" applyFont="1" applyFill="1" applyBorder="1" applyAlignment="1">
      <alignment horizontal="left" vertical="top" indent="1"/>
    </xf>
    <xf numFmtId="2" fontId="23" fillId="2" borderId="8" xfId="1" applyNumberFormat="1" applyFont="1" applyFill="1" applyBorder="1"/>
    <xf numFmtId="0" fontId="3" fillId="0" borderId="1" xfId="1" applyAlignment="1">
      <alignment horizontal="left" indent="1"/>
    </xf>
    <xf numFmtId="0" fontId="3" fillId="0" borderId="1" xfId="1" applyAlignment="1">
      <alignment horizontal="left" vertical="top" indent="1"/>
    </xf>
    <xf numFmtId="0" fontId="0" fillId="0" borderId="0" xfId="0" applyAlignment="1">
      <alignment horizontal="left" vertical="top" indent="1"/>
    </xf>
    <xf numFmtId="0" fontId="28" fillId="0" borderId="0" xfId="0" applyFont="1" applyAlignment="1">
      <alignment horizontal="left" vertical="top" indent="1"/>
    </xf>
    <xf numFmtId="0" fontId="29" fillId="0" borderId="0" xfId="0" applyFont="1" applyAlignment="1">
      <alignment horizontal="left" vertical="top" indent="1"/>
    </xf>
    <xf numFmtId="0" fontId="20" fillId="0" borderId="0" xfId="0" applyFont="1" applyAlignment="1">
      <alignment horizontal="left" vertical="top" indent="1"/>
    </xf>
    <xf numFmtId="0" fontId="28" fillId="0" borderId="0" xfId="0" applyFont="1"/>
    <xf numFmtId="0" fontId="0" fillId="0" borderId="14" xfId="0" applyBorder="1" applyAlignment="1">
      <alignment horizontal="left" vertical="top" indent="1"/>
    </xf>
    <xf numFmtId="0" fontId="0" fillId="0" borderId="15" xfId="0" applyBorder="1" applyAlignment="1">
      <alignment horizontal="left" vertical="top" indent="1"/>
    </xf>
    <xf numFmtId="0" fontId="0" fillId="0" borderId="16" xfId="0" applyBorder="1" applyAlignment="1">
      <alignment horizontal="left" vertical="top" indent="1"/>
    </xf>
    <xf numFmtId="0" fontId="0" fillId="0" borderId="18" xfId="0" applyBorder="1" applyAlignment="1">
      <alignment horizontal="left" vertical="top" indent="1"/>
    </xf>
    <xf numFmtId="0" fontId="20" fillId="0" borderId="21" xfId="1" applyFont="1" applyBorder="1" applyAlignment="1">
      <alignment horizontal="left" vertical="top" wrapText="1" indent="1"/>
    </xf>
    <xf numFmtId="0" fontId="0" fillId="0" borderId="1" xfId="0" applyBorder="1" applyAlignment="1">
      <alignment horizontal="left" vertical="top" indent="1"/>
    </xf>
    <xf numFmtId="0" fontId="7" fillId="4" borderId="1" xfId="1" applyFont="1" applyFill="1" applyAlignment="1">
      <alignment horizontal="left" vertical="top" indent="1"/>
    </xf>
    <xf numFmtId="0" fontId="0" fillId="0" borderId="0" xfId="0" applyAlignment="1">
      <alignment horizontal="left" indent="1"/>
    </xf>
    <xf numFmtId="0" fontId="0" fillId="0" borderId="22" xfId="0" applyBorder="1" applyAlignment="1">
      <alignment horizontal="left" indent="1"/>
    </xf>
    <xf numFmtId="0" fontId="0" fillId="0" borderId="13" xfId="0" applyBorder="1" applyAlignment="1">
      <alignment horizontal="left" indent="1"/>
    </xf>
    <xf numFmtId="0" fontId="0" fillId="0" borderId="23" xfId="0" applyBorder="1" applyAlignment="1">
      <alignment horizontal="left" indent="1"/>
    </xf>
    <xf numFmtId="0" fontId="0" fillId="0" borderId="15" xfId="0" applyBorder="1" applyAlignment="1">
      <alignment horizontal="left" indent="1"/>
    </xf>
    <xf numFmtId="0" fontId="20" fillId="0" borderId="15" xfId="1" applyFont="1" applyBorder="1" applyAlignment="1">
      <alignment horizontal="left" wrapText="1" indent="1"/>
    </xf>
    <xf numFmtId="0" fontId="0" fillId="0" borderId="24" xfId="0" applyBorder="1" applyAlignment="1">
      <alignment horizontal="left" indent="1"/>
    </xf>
    <xf numFmtId="0" fontId="0" fillId="4" borderId="12" xfId="0" applyFill="1" applyBorder="1" applyAlignment="1">
      <alignment horizontal="left" indent="1"/>
    </xf>
    <xf numFmtId="0" fontId="0" fillId="4" borderId="13" xfId="0" applyFill="1" applyBorder="1" applyAlignment="1">
      <alignment horizontal="left" indent="1"/>
    </xf>
    <xf numFmtId="0" fontId="0" fillId="4" borderId="15" xfId="0" applyFill="1" applyBorder="1" applyAlignment="1">
      <alignment horizontal="left" indent="1"/>
    </xf>
    <xf numFmtId="0" fontId="7" fillId="4" borderId="1" xfId="1" applyFont="1" applyFill="1" applyAlignment="1">
      <alignment horizontal="left" indent="1"/>
    </xf>
    <xf numFmtId="0" fontId="7" fillId="4" borderId="15" xfId="1" applyFont="1" applyFill="1" applyBorder="1" applyAlignment="1">
      <alignment horizontal="left" indent="1"/>
    </xf>
    <xf numFmtId="0" fontId="0" fillId="0" borderId="14" xfId="0" applyBorder="1" applyAlignment="1">
      <alignment horizontal="left" indent="1"/>
    </xf>
    <xf numFmtId="0" fontId="0" fillId="4" borderId="11" xfId="0" applyFill="1" applyBorder="1" applyAlignment="1">
      <alignment horizontal="left" indent="1"/>
    </xf>
    <xf numFmtId="0" fontId="0" fillId="4" borderId="14" xfId="0" applyFill="1" applyBorder="1" applyAlignment="1">
      <alignment horizontal="left" indent="1"/>
    </xf>
    <xf numFmtId="0" fontId="0" fillId="4" borderId="1" xfId="0" applyFill="1" applyBorder="1" applyAlignment="1">
      <alignment horizontal="left" indent="1"/>
    </xf>
    <xf numFmtId="0" fontId="0" fillId="0" borderId="16" xfId="0" applyBorder="1" applyAlignment="1">
      <alignment horizontal="left" indent="1"/>
    </xf>
    <xf numFmtId="0" fontId="0" fillId="4" borderId="16" xfId="0" applyFill="1" applyBorder="1" applyAlignment="1">
      <alignment horizontal="left" indent="1"/>
    </xf>
    <xf numFmtId="0" fontId="0" fillId="4" borderId="17" xfId="0" applyFill="1" applyBorder="1" applyAlignment="1">
      <alignment horizontal="left" indent="1"/>
    </xf>
    <xf numFmtId="0" fontId="0" fillId="4" borderId="18" xfId="0" applyFill="1" applyBorder="1" applyAlignment="1">
      <alignment horizontal="left" indent="1"/>
    </xf>
    <xf numFmtId="0" fontId="0" fillId="0" borderId="11" xfId="0" applyBorder="1" applyAlignment="1">
      <alignment horizontal="left" indent="1"/>
    </xf>
    <xf numFmtId="0" fontId="0" fillId="0" borderId="12" xfId="0" applyBorder="1" applyAlignment="1">
      <alignment horizontal="left" indent="1"/>
    </xf>
    <xf numFmtId="0" fontId="0" fillId="0" borderId="1" xfId="0" applyBorder="1" applyAlignment="1">
      <alignment horizontal="left" indent="1"/>
    </xf>
    <xf numFmtId="0" fontId="3" fillId="0" borderId="14" xfId="1" applyBorder="1" applyAlignment="1">
      <alignment horizontal="left" indent="1"/>
    </xf>
    <xf numFmtId="0" fontId="10" fillId="0" borderId="1" xfId="1" applyFont="1" applyAlignment="1">
      <alignment horizontal="left" indent="1"/>
    </xf>
    <xf numFmtId="0" fontId="3" fillId="4" borderId="14" xfId="1" applyFill="1" applyBorder="1" applyAlignment="1">
      <alignment horizontal="left" indent="1"/>
    </xf>
    <xf numFmtId="0" fontId="3" fillId="4" borderId="1" xfId="1" applyFill="1" applyAlignment="1">
      <alignment horizontal="left" indent="1"/>
    </xf>
    <xf numFmtId="0" fontId="7" fillId="4" borderId="14" xfId="1" applyFont="1" applyFill="1" applyBorder="1" applyAlignment="1">
      <alignment horizontal="left" indent="1"/>
    </xf>
    <xf numFmtId="0" fontId="10" fillId="4" borderId="15" xfId="0" applyFont="1" applyFill="1" applyBorder="1" applyAlignment="1">
      <alignment horizontal="left" indent="1"/>
    </xf>
    <xf numFmtId="0" fontId="7" fillId="4" borderId="16" xfId="1" applyFont="1" applyFill="1" applyBorder="1" applyAlignment="1">
      <alignment horizontal="left" indent="1"/>
    </xf>
    <xf numFmtId="0" fontId="7" fillId="4" borderId="17" xfId="1" applyFont="1" applyFill="1" applyBorder="1" applyAlignment="1">
      <alignment horizontal="left" indent="1"/>
    </xf>
    <xf numFmtId="0" fontId="7" fillId="0" borderId="1" xfId="1" applyFont="1" applyAlignment="1">
      <alignment horizontal="left" indent="1"/>
    </xf>
    <xf numFmtId="0" fontId="10" fillId="0" borderId="0" xfId="0" applyFont="1" applyAlignment="1">
      <alignment horizontal="left" indent="1"/>
    </xf>
    <xf numFmtId="0" fontId="10" fillId="4" borderId="13" xfId="0" applyFont="1" applyFill="1" applyBorder="1" applyAlignment="1">
      <alignment horizontal="left" indent="1"/>
    </xf>
    <xf numFmtId="0" fontId="10" fillId="4" borderId="14" xfId="0" applyFont="1" applyFill="1" applyBorder="1" applyAlignment="1">
      <alignment horizontal="left" indent="1"/>
    </xf>
    <xf numFmtId="0" fontId="10" fillId="4" borderId="2" xfId="0" applyFont="1" applyFill="1" applyBorder="1" applyAlignment="1">
      <alignment horizontal="left" indent="1"/>
    </xf>
    <xf numFmtId="0" fontId="0" fillId="0" borderId="3" xfId="0" applyBorder="1" applyAlignment="1">
      <alignment horizontal="left" indent="1"/>
    </xf>
    <xf numFmtId="0" fontId="10" fillId="4" borderId="4" xfId="0" applyFont="1" applyFill="1" applyBorder="1" applyAlignment="1">
      <alignment horizontal="left" indent="1"/>
    </xf>
    <xf numFmtId="0" fontId="10" fillId="4" borderId="5" xfId="0" applyFont="1" applyFill="1" applyBorder="1" applyAlignment="1">
      <alignment horizontal="left" indent="1"/>
    </xf>
    <xf numFmtId="0" fontId="10" fillId="4" borderId="6" xfId="0" applyFont="1" applyFill="1" applyBorder="1" applyAlignment="1">
      <alignment horizontal="left" indent="1"/>
    </xf>
    <xf numFmtId="0" fontId="3" fillId="4" borderId="5" xfId="1" applyFill="1" applyBorder="1" applyAlignment="1">
      <alignment horizontal="left" indent="1"/>
    </xf>
    <xf numFmtId="0" fontId="0" fillId="4" borderId="6" xfId="0" applyFill="1" applyBorder="1" applyAlignment="1">
      <alignment horizontal="left" indent="1"/>
    </xf>
    <xf numFmtId="0" fontId="0" fillId="0" borderId="8" xfId="0" applyBorder="1" applyAlignment="1">
      <alignment horizontal="left" indent="1"/>
    </xf>
    <xf numFmtId="0" fontId="0" fillId="4" borderId="9" xfId="0" applyFill="1" applyBorder="1" applyAlignment="1">
      <alignment horizontal="left" indent="1"/>
    </xf>
    <xf numFmtId="0" fontId="30" fillId="0" borderId="1" xfId="0" applyFont="1" applyBorder="1" applyAlignment="1">
      <alignment horizontal="left" vertical="top"/>
    </xf>
    <xf numFmtId="14" fontId="20" fillId="0" borderId="1" xfId="0" applyNumberFormat="1" applyFont="1" applyBorder="1" applyAlignment="1">
      <alignment horizontal="left"/>
    </xf>
    <xf numFmtId="0" fontId="0" fillId="0" borderId="2" xfId="0" applyBorder="1" applyAlignment="1">
      <alignment horizontal="left" vertical="top" indent="1"/>
    </xf>
    <xf numFmtId="0" fontId="20" fillId="0" borderId="3" xfId="1" applyFont="1" applyBorder="1" applyAlignment="1">
      <alignment horizontal="left" vertical="top" wrapText="1" indent="1"/>
    </xf>
    <xf numFmtId="0" fontId="0" fillId="0" borderId="5" xfId="0" applyBorder="1" applyAlignment="1">
      <alignment horizontal="left" vertical="top" indent="1"/>
    </xf>
    <xf numFmtId="0" fontId="0" fillId="0" borderId="7" xfId="0" applyBorder="1" applyAlignment="1">
      <alignment horizontal="left" vertical="top" indent="1"/>
    </xf>
    <xf numFmtId="14" fontId="20" fillId="0" borderId="8" xfId="0" applyNumberFormat="1" applyFont="1" applyBorder="1" applyAlignment="1">
      <alignment horizontal="left"/>
    </xf>
    <xf numFmtId="0" fontId="20" fillId="0" borderId="8" xfId="1" applyFont="1" applyBorder="1" applyAlignment="1">
      <alignment horizontal="left" vertical="top" indent="1"/>
    </xf>
    <xf numFmtId="0" fontId="0" fillId="0" borderId="8" xfId="0" applyBorder="1" applyAlignment="1">
      <alignment horizontal="left" vertical="top" indent="1"/>
    </xf>
    <xf numFmtId="0" fontId="0" fillId="0" borderId="26" xfId="0" applyBorder="1" applyAlignment="1">
      <alignment horizontal="left" vertical="top" indent="1"/>
    </xf>
    <xf numFmtId="0" fontId="20" fillId="0" borderId="28" xfId="1" applyFont="1" applyBorder="1" applyAlignment="1">
      <alignment horizontal="left" vertical="top" wrapText="1" indent="1"/>
    </xf>
    <xf numFmtId="0" fontId="0" fillId="0" borderId="6" xfId="0" applyBorder="1" applyAlignment="1">
      <alignment horizontal="left" vertical="top" indent="1"/>
    </xf>
    <xf numFmtId="0" fontId="0" fillId="0" borderId="9" xfId="0" applyBorder="1" applyAlignment="1">
      <alignment horizontal="left" vertical="top" indent="1"/>
    </xf>
    <xf numFmtId="0" fontId="0" fillId="0" borderId="29" xfId="0" applyBorder="1" applyAlignment="1">
      <alignment horizontal="left" vertical="top" indent="1"/>
    </xf>
    <xf numFmtId="0" fontId="0" fillId="0" borderId="30" xfId="0" applyBorder="1" applyAlignment="1">
      <alignment horizontal="left" vertical="top" indent="1"/>
    </xf>
    <xf numFmtId="0" fontId="0" fillId="0" borderId="31" xfId="0" applyBorder="1" applyAlignment="1">
      <alignment horizontal="left" vertical="top" indent="1"/>
    </xf>
    <xf numFmtId="0" fontId="0" fillId="0" borderId="5" xfId="0" applyBorder="1" applyAlignment="1">
      <alignment horizontal="left" indent="1"/>
    </xf>
    <xf numFmtId="0" fontId="0" fillId="0" borderId="7" xfId="0" applyBorder="1" applyAlignment="1">
      <alignment horizontal="left" indent="1"/>
    </xf>
    <xf numFmtId="0" fontId="0" fillId="0" borderId="2" xfId="0" applyBorder="1" applyAlignment="1">
      <alignment horizontal="left" indent="1"/>
    </xf>
    <xf numFmtId="0" fontId="20" fillId="0" borderId="25" xfId="1" applyFont="1" applyBorder="1" applyAlignment="1">
      <alignment horizontal="left" vertical="top" wrapText="1" indent="1"/>
    </xf>
    <xf numFmtId="0" fontId="20" fillId="0" borderId="32" xfId="1" applyFont="1" applyBorder="1" applyAlignment="1">
      <alignment horizontal="left" vertical="top" indent="1"/>
    </xf>
    <xf numFmtId="0" fontId="20" fillId="0" borderId="31" xfId="1" applyFont="1" applyBorder="1" applyAlignment="1">
      <alignment horizontal="left" vertical="top" indent="1"/>
    </xf>
    <xf numFmtId="0" fontId="0" fillId="0" borderId="4" xfId="0" applyBorder="1" applyAlignment="1">
      <alignment horizontal="left" vertical="top" indent="1"/>
    </xf>
    <xf numFmtId="0" fontId="0" fillId="0" borderId="3" xfId="0" applyBorder="1" applyAlignment="1">
      <alignment horizontal="left" vertical="top" indent="1"/>
    </xf>
    <xf numFmtId="0" fontId="0" fillId="0" borderId="4" xfId="0" applyBorder="1" applyAlignment="1">
      <alignment horizontal="left" indent="1"/>
    </xf>
    <xf numFmtId="0" fontId="0" fillId="0" borderId="6" xfId="0" applyBorder="1" applyAlignment="1">
      <alignment horizontal="left" indent="1"/>
    </xf>
    <xf numFmtId="0" fontId="20" fillId="0" borderId="6" xfId="1" applyFont="1" applyBorder="1" applyAlignment="1">
      <alignment horizontal="left" vertical="top" wrapText="1" indent="1"/>
    </xf>
    <xf numFmtId="0" fontId="20" fillId="0" borderId="3" xfId="1" applyFont="1" applyBorder="1" applyAlignment="1">
      <alignment horizontal="left" vertical="top"/>
    </xf>
    <xf numFmtId="0" fontId="0" fillId="4" borderId="4" xfId="0" applyFill="1" applyBorder="1" applyAlignment="1">
      <alignment horizontal="left" indent="1"/>
    </xf>
    <xf numFmtId="0" fontId="0" fillId="4" borderId="3" xfId="0" applyFill="1" applyBorder="1" applyAlignment="1">
      <alignment horizontal="left" indent="1"/>
    </xf>
    <xf numFmtId="0" fontId="0" fillId="4" borderId="8" xfId="0" applyFill="1" applyBorder="1" applyAlignment="1">
      <alignment horizontal="left" indent="1"/>
    </xf>
    <xf numFmtId="0" fontId="7" fillId="0" borderId="14" xfId="1" applyFont="1" applyBorder="1" applyAlignment="1">
      <alignment horizontal="left" indent="1"/>
    </xf>
    <xf numFmtId="0" fontId="0" fillId="0" borderId="32" xfId="0" applyBorder="1" applyAlignment="1">
      <alignment horizontal="left" vertical="top" indent="1"/>
    </xf>
    <xf numFmtId="1" fontId="0" fillId="4" borderId="14" xfId="0" applyNumberFormat="1" applyFill="1" applyBorder="1" applyAlignment="1">
      <alignment horizontal="left" indent="1"/>
    </xf>
    <xf numFmtId="1" fontId="0" fillId="4" borderId="1" xfId="0" applyNumberFormat="1" applyFill="1" applyBorder="1" applyAlignment="1">
      <alignment horizontal="left" indent="1"/>
    </xf>
    <xf numFmtId="1" fontId="0" fillId="4" borderId="15" xfId="0" applyNumberFormat="1" applyFill="1" applyBorder="1" applyAlignment="1">
      <alignment horizontal="left" indent="1"/>
    </xf>
    <xf numFmtId="1" fontId="0" fillId="4" borderId="16" xfId="0" applyNumberFormat="1" applyFill="1" applyBorder="1" applyAlignment="1">
      <alignment horizontal="left" indent="1"/>
    </xf>
    <xf numFmtId="1" fontId="0" fillId="4" borderId="17" xfId="0" applyNumberFormat="1" applyFill="1" applyBorder="1" applyAlignment="1">
      <alignment horizontal="left" indent="1"/>
    </xf>
    <xf numFmtId="1" fontId="0" fillId="4" borderId="18" xfId="0" applyNumberFormat="1" applyFill="1" applyBorder="1" applyAlignment="1">
      <alignment horizontal="left" indent="1"/>
    </xf>
    <xf numFmtId="0" fontId="20" fillId="0" borderId="33" xfId="1" applyFont="1" applyBorder="1" applyAlignment="1">
      <alignment horizontal="left" vertical="top" wrapText="1" indent="1"/>
    </xf>
    <xf numFmtId="0" fontId="0" fillId="0" borderId="32" xfId="0" applyBorder="1" applyAlignment="1">
      <alignment horizontal="left" indent="1"/>
    </xf>
    <xf numFmtId="0" fontId="0" fillId="0" borderId="30" xfId="0" applyBorder="1" applyAlignment="1">
      <alignment horizontal="left" indent="1"/>
    </xf>
    <xf numFmtId="0" fontId="0" fillId="0" borderId="31" xfId="0" applyBorder="1" applyAlignment="1">
      <alignment horizontal="left" indent="1"/>
    </xf>
    <xf numFmtId="0" fontId="7" fillId="0" borderId="23" xfId="1" applyFont="1" applyBorder="1" applyAlignment="1">
      <alignment horizontal="left" indent="1"/>
    </xf>
    <xf numFmtId="1" fontId="18" fillId="0" borderId="0" xfId="0" applyNumberFormat="1" applyFont="1" applyAlignment="1">
      <alignment horizontal="left" indent="1"/>
    </xf>
    <xf numFmtId="0" fontId="3" fillId="4" borderId="10" xfId="1" applyFill="1" applyBorder="1" applyAlignment="1">
      <alignment horizontal="left" vertical="top" indent="1"/>
    </xf>
    <xf numFmtId="0" fontId="3" fillId="4" borderId="10" xfId="1" applyFill="1" applyBorder="1" applyAlignment="1">
      <alignment horizontal="left" vertical="top" wrapText="1" indent="1"/>
    </xf>
    <xf numFmtId="0" fontId="7" fillId="4" borderId="10" xfId="1" applyFont="1" applyFill="1" applyBorder="1" applyAlignment="1">
      <alignment horizontal="left" vertical="top" indent="1"/>
    </xf>
    <xf numFmtId="0" fontId="7" fillId="4" borderId="10" xfId="1" applyFont="1" applyFill="1" applyBorder="1" applyAlignment="1">
      <alignment horizontal="left" vertical="top" wrapText="1" indent="1"/>
    </xf>
    <xf numFmtId="0" fontId="5" fillId="4" borderId="10" xfId="1" applyFont="1" applyFill="1" applyBorder="1" applyAlignment="1">
      <alignment horizontal="left" vertical="top" indent="1"/>
    </xf>
    <xf numFmtId="0" fontId="31" fillId="4" borderId="15" xfId="0" applyFont="1" applyFill="1" applyBorder="1" applyAlignment="1">
      <alignment horizontal="left" indent="1"/>
    </xf>
    <xf numFmtId="0" fontId="31" fillId="0" borderId="23" xfId="1" applyFont="1" applyBorder="1" applyAlignment="1">
      <alignment horizontal="left" indent="1"/>
    </xf>
    <xf numFmtId="0" fontId="0" fillId="0" borderId="9" xfId="0" applyBorder="1" applyAlignment="1">
      <alignment horizontal="left" indent="1"/>
    </xf>
    <xf numFmtId="0" fontId="10" fillId="0" borderId="20" xfId="0" applyFont="1" applyBorder="1" applyAlignment="1">
      <alignment horizontal="left" vertical="top" indent="1"/>
    </xf>
    <xf numFmtId="0" fontId="10" fillId="0" borderId="21" xfId="0" applyFont="1" applyBorder="1" applyAlignment="1">
      <alignment horizontal="left" vertical="top" indent="1"/>
    </xf>
    <xf numFmtId="0" fontId="0" fillId="3" borderId="0" xfId="0" applyFill="1" applyAlignment="1">
      <alignment horizontal="left" vertical="top" indent="1"/>
    </xf>
    <xf numFmtId="14" fontId="20" fillId="0" borderId="1" xfId="0" applyNumberFormat="1" applyFont="1" applyBorder="1" applyAlignment="1">
      <alignment horizontal="left" vertical="top" indent="1"/>
    </xf>
    <xf numFmtId="14" fontId="20" fillId="0" borderId="8" xfId="0" applyNumberFormat="1" applyFont="1" applyBorder="1" applyAlignment="1">
      <alignment horizontal="left" vertical="top" indent="1"/>
    </xf>
    <xf numFmtId="0" fontId="18" fillId="0" borderId="1" xfId="0" applyFont="1" applyBorder="1" applyAlignment="1">
      <alignment horizontal="left" vertical="top" indent="1"/>
    </xf>
    <xf numFmtId="0" fontId="0" fillId="0" borderId="25" xfId="0" applyBorder="1" applyAlignment="1">
      <alignment horizontal="left" vertical="top" indent="1"/>
    </xf>
    <xf numFmtId="0" fontId="0" fillId="0" borderId="28" xfId="0" applyBorder="1" applyAlignment="1">
      <alignment horizontal="left" vertical="top" indent="1"/>
    </xf>
    <xf numFmtId="0" fontId="30" fillId="0" borderId="21" xfId="0" applyFont="1" applyBorder="1" applyAlignment="1">
      <alignment horizontal="left" vertical="top" indent="1"/>
    </xf>
    <xf numFmtId="0" fontId="7" fillId="4" borderId="5" xfId="1" applyFont="1" applyFill="1" applyBorder="1" applyAlignment="1">
      <alignment horizontal="left" indent="1"/>
    </xf>
    <xf numFmtId="0" fontId="31" fillId="4" borderId="15" xfId="1" applyFont="1" applyFill="1" applyBorder="1" applyAlignment="1">
      <alignment horizontal="left" indent="1"/>
    </xf>
    <xf numFmtId="0" fontId="0" fillId="4" borderId="1" xfId="1" applyFont="1" applyFill="1" applyAlignment="1">
      <alignment horizontal="left" indent="1"/>
    </xf>
    <xf numFmtId="0" fontId="3" fillId="0" borderId="8" xfId="1" applyBorder="1" applyAlignment="1">
      <alignment horizontal="left" indent="1"/>
    </xf>
    <xf numFmtId="0" fontId="3" fillId="4" borderId="6" xfId="1" applyFill="1" applyBorder="1" applyAlignment="1">
      <alignment horizontal="left" indent="1"/>
    </xf>
    <xf numFmtId="0" fontId="7" fillId="4" borderId="6" xfId="1" applyFont="1" applyFill="1" applyBorder="1" applyAlignment="1">
      <alignment horizontal="left" indent="1"/>
    </xf>
    <xf numFmtId="0" fontId="30" fillId="0" borderId="27" xfId="0" applyFont="1" applyBorder="1" applyAlignment="1">
      <alignment horizontal="left" vertical="top" indent="1"/>
    </xf>
    <xf numFmtId="0" fontId="14" fillId="0" borderId="28" xfId="1" applyFont="1" applyBorder="1" applyAlignment="1">
      <alignment horizontal="left" vertical="top" indent="1"/>
    </xf>
    <xf numFmtId="0" fontId="0" fillId="0" borderId="28" xfId="1" applyFont="1" applyBorder="1" applyAlignment="1">
      <alignment horizontal="left" vertical="top" indent="1"/>
    </xf>
    <xf numFmtId="0" fontId="20" fillId="0" borderId="27" xfId="1" applyFont="1" applyBorder="1" applyAlignment="1">
      <alignment horizontal="left" vertical="top" wrapText="1" indent="1"/>
    </xf>
    <xf numFmtId="0" fontId="30" fillId="0" borderId="3" xfId="0" applyFont="1" applyBorder="1" applyAlignment="1">
      <alignment horizontal="left" vertical="top" indent="1"/>
    </xf>
    <xf numFmtId="0" fontId="7" fillId="4" borderId="9" xfId="1" applyFont="1" applyFill="1" applyBorder="1" applyAlignment="1">
      <alignment horizontal="left" indent="1"/>
    </xf>
    <xf numFmtId="0" fontId="30" fillId="0" borderId="1" xfId="0" applyFont="1" applyBorder="1" applyAlignment="1">
      <alignment horizontal="left" vertical="top" indent="1"/>
    </xf>
    <xf numFmtId="0" fontId="3" fillId="0" borderId="3" xfId="1" applyBorder="1" applyAlignment="1">
      <alignment horizontal="left" indent="1"/>
    </xf>
    <xf numFmtId="0" fontId="7" fillId="4" borderId="4" xfId="1" applyFont="1" applyFill="1" applyBorder="1" applyAlignment="1">
      <alignment horizontal="left" indent="1"/>
    </xf>
    <xf numFmtId="1" fontId="0" fillId="4" borderId="3" xfId="0" applyNumberFormat="1" applyFill="1" applyBorder="1" applyAlignment="1">
      <alignment horizontal="left" indent="1"/>
    </xf>
    <xf numFmtId="1" fontId="0" fillId="4" borderId="8" xfId="0" applyNumberFormat="1" applyFill="1" applyBorder="1" applyAlignment="1">
      <alignment horizontal="left" indent="1"/>
    </xf>
    <xf numFmtId="0" fontId="7" fillId="0" borderId="15" xfId="1" applyFont="1" applyBorder="1" applyAlignment="1">
      <alignment horizontal="left" indent="1"/>
    </xf>
    <xf numFmtId="0" fontId="7" fillId="0" borderId="6" xfId="1" applyFont="1" applyBorder="1" applyAlignment="1">
      <alignment horizontal="left" indent="1"/>
    </xf>
    <xf numFmtId="1" fontId="18" fillId="0" borderId="1" xfId="0" applyNumberFormat="1" applyFont="1" applyBorder="1" applyAlignment="1">
      <alignment horizontal="left" indent="1"/>
    </xf>
    <xf numFmtId="0" fontId="18" fillId="0" borderId="1" xfId="0" applyFont="1" applyBorder="1" applyAlignment="1">
      <alignment horizontal="left" indent="1"/>
    </xf>
    <xf numFmtId="1" fontId="0" fillId="4" borderId="2" xfId="0" applyNumberFormat="1" applyFill="1" applyBorder="1" applyAlignment="1">
      <alignment horizontal="left" indent="1"/>
    </xf>
    <xf numFmtId="1" fontId="0" fillId="4" borderId="4" xfId="0" applyNumberFormat="1" applyFill="1" applyBorder="1" applyAlignment="1">
      <alignment horizontal="left" indent="1"/>
    </xf>
    <xf numFmtId="1" fontId="0" fillId="4" borderId="5" xfId="0" applyNumberFormat="1" applyFill="1" applyBorder="1" applyAlignment="1">
      <alignment horizontal="left" indent="1"/>
    </xf>
    <xf numFmtId="1" fontId="0" fillId="4" borderId="6" xfId="0" applyNumberFormat="1" applyFill="1" applyBorder="1" applyAlignment="1">
      <alignment horizontal="left" indent="1"/>
    </xf>
    <xf numFmtId="1" fontId="0" fillId="4" borderId="7" xfId="0" applyNumberFormat="1" applyFill="1" applyBorder="1" applyAlignment="1">
      <alignment horizontal="left" indent="1"/>
    </xf>
    <xf numFmtId="1" fontId="0" fillId="4" borderId="9" xfId="0" applyNumberFormat="1" applyFill="1" applyBorder="1" applyAlignment="1">
      <alignment horizontal="left" indent="1"/>
    </xf>
    <xf numFmtId="0" fontId="18" fillId="0" borderId="0" xfId="0" applyFont="1" applyAlignment="1">
      <alignment horizontal="left" indent="1"/>
    </xf>
    <xf numFmtId="0" fontId="0" fillId="0" borderId="1" xfId="1" applyFont="1" applyAlignment="1">
      <alignment horizontal="left" indent="1"/>
    </xf>
    <xf numFmtId="0" fontId="0" fillId="0" borderId="1" xfId="1" applyFont="1" applyAlignment="1">
      <alignment horizontal="left" vertical="top" indent="1"/>
    </xf>
    <xf numFmtId="0" fontId="0" fillId="0" borderId="17" xfId="0" applyBorder="1" applyAlignment="1">
      <alignment horizontal="left" indent="1"/>
    </xf>
    <xf numFmtId="0" fontId="10" fillId="0" borderId="2" xfId="0" applyFont="1" applyBorder="1" applyAlignment="1">
      <alignment horizontal="left" indent="1"/>
    </xf>
    <xf numFmtId="0" fontId="10" fillId="0" borderId="5" xfId="0" applyFont="1" applyBorder="1" applyAlignment="1">
      <alignment horizontal="left" indent="1"/>
    </xf>
    <xf numFmtId="0" fontId="3" fillId="0" borderId="5" xfId="1" applyBorder="1" applyAlignment="1">
      <alignment horizontal="left" indent="1"/>
    </xf>
    <xf numFmtId="0" fontId="7" fillId="0" borderId="5" xfId="1" applyFont="1" applyBorder="1" applyAlignment="1">
      <alignment horizontal="left" indent="1"/>
    </xf>
    <xf numFmtId="0" fontId="4" fillId="0" borderId="10" xfId="1" applyFont="1" applyBorder="1" applyAlignment="1">
      <alignment horizontal="left" vertical="top" indent="1"/>
    </xf>
    <xf numFmtId="0" fontId="5" fillId="0" borderId="10" xfId="1" applyFont="1" applyBorder="1" applyAlignment="1">
      <alignment horizontal="left" vertical="top" indent="1"/>
    </xf>
    <xf numFmtId="0" fontId="4" fillId="0" borderId="10" xfId="1" applyFont="1" applyBorder="1" applyAlignment="1">
      <alignment horizontal="left" vertical="top" wrapText="1" indent="1"/>
    </xf>
    <xf numFmtId="0" fontId="3" fillId="0" borderId="10" xfId="1" applyBorder="1" applyAlignment="1">
      <alignment horizontal="left" vertical="top" indent="1"/>
    </xf>
    <xf numFmtId="0" fontId="3" fillId="0" borderId="10" xfId="1" applyBorder="1" applyAlignment="1">
      <alignment horizontal="left" vertical="top" wrapText="1" indent="1"/>
    </xf>
    <xf numFmtId="0" fontId="7" fillId="0" borderId="10" xfId="1" applyFont="1" applyBorder="1" applyAlignment="1">
      <alignment horizontal="left" vertical="top" indent="1"/>
    </xf>
    <xf numFmtId="0" fontId="14" fillId="0" borderId="10" xfId="2" applyFont="1" applyBorder="1" applyAlignment="1">
      <alignment horizontal="left" vertical="top" indent="1"/>
    </xf>
    <xf numFmtId="0" fontId="10" fillId="0" borderId="10" xfId="1" applyFont="1" applyBorder="1" applyAlignment="1">
      <alignment horizontal="left" vertical="top" indent="1"/>
    </xf>
    <xf numFmtId="0" fontId="0" fillId="0" borderId="4" xfId="1" applyFont="1" applyBorder="1" applyAlignment="1">
      <alignment horizontal="left" vertical="top" indent="1"/>
    </xf>
    <xf numFmtId="0" fontId="4" fillId="0" borderId="11" xfId="0" applyFont="1" applyBorder="1"/>
    <xf numFmtId="0" fontId="0" fillId="0" borderId="12" xfId="0" applyBorder="1"/>
    <xf numFmtId="0" fontId="0" fillId="0" borderId="13" xfId="0" applyBorder="1"/>
    <xf numFmtId="0" fontId="0" fillId="0" borderId="11" xfId="0" applyBorder="1"/>
    <xf numFmtId="0" fontId="4" fillId="0" borderId="14" xfId="0" applyFont="1" applyBorder="1"/>
    <xf numFmtId="0" fontId="0" fillId="0" borderId="15" xfId="0" applyBorder="1"/>
    <xf numFmtId="0" fontId="0" fillId="0" borderId="14" xfId="0" applyBorder="1"/>
    <xf numFmtId="0" fontId="0" fillId="0" borderId="17" xfId="0" applyBorder="1" applyAlignment="1">
      <alignment horizontal="left" vertical="top" indent="1"/>
    </xf>
    <xf numFmtId="0" fontId="0" fillId="4" borderId="12" xfId="0" applyFill="1" applyBorder="1"/>
    <xf numFmtId="0" fontId="0" fillId="4" borderId="13" xfId="0" applyFill="1" applyBorder="1"/>
    <xf numFmtId="0" fontId="0" fillId="4" borderId="15" xfId="0" applyFill="1" applyBorder="1"/>
    <xf numFmtId="0" fontId="0" fillId="4" borderId="15" xfId="0" applyFill="1" applyBorder="1" applyAlignment="1">
      <alignment horizontal="left" vertical="top" indent="1"/>
    </xf>
    <xf numFmtId="0" fontId="0" fillId="6" borderId="1" xfId="0" applyFill="1" applyBorder="1" applyAlignment="1">
      <alignment horizontal="left" indent="1"/>
    </xf>
    <xf numFmtId="0" fontId="10" fillId="0" borderId="0" xfId="0" applyFont="1"/>
    <xf numFmtId="0" fontId="4" fillId="0" borderId="2" xfId="0" applyFont="1" applyBorder="1"/>
    <xf numFmtId="0" fontId="0" fillId="0" borderId="3" xfId="0" applyBorder="1"/>
    <xf numFmtId="0" fontId="0" fillId="0" borderId="34" xfId="0" applyBorder="1"/>
    <xf numFmtId="0" fontId="0" fillId="0" borderId="35" xfId="0" applyBorder="1"/>
    <xf numFmtId="0" fontId="10" fillId="4" borderId="3" xfId="0" applyFont="1" applyFill="1" applyBorder="1"/>
    <xf numFmtId="0" fontId="0" fillId="4" borderId="4" xfId="0" applyFill="1" applyBorder="1"/>
    <xf numFmtId="0" fontId="4" fillId="0" borderId="5" xfId="0" applyFont="1" applyBorder="1"/>
    <xf numFmtId="0" fontId="0" fillId="0" borderId="1" xfId="0" applyBorder="1"/>
    <xf numFmtId="0" fontId="0" fillId="4" borderId="1" xfId="0" applyFill="1" applyBorder="1"/>
    <xf numFmtId="0" fontId="0" fillId="4" borderId="6" xfId="0" applyFill="1" applyBorder="1"/>
    <xf numFmtId="0" fontId="0" fillId="4" borderId="1" xfId="0" applyFill="1" applyBorder="1" applyAlignment="1">
      <alignment horizontal="left" vertical="top" indent="1"/>
    </xf>
    <xf numFmtId="0" fontId="0" fillId="4" borderId="6" xfId="0" applyFill="1" applyBorder="1" applyAlignment="1">
      <alignment horizontal="left" vertical="top" indent="1"/>
    </xf>
    <xf numFmtId="166" fontId="0" fillId="4" borderId="1" xfId="0" applyNumberFormat="1" applyFill="1" applyBorder="1" applyAlignment="1">
      <alignment horizontal="left" indent="1"/>
    </xf>
    <xf numFmtId="0" fontId="4" fillId="0" borderId="1" xfId="0" applyFont="1" applyBorder="1"/>
    <xf numFmtId="170" fontId="0" fillId="4" borderId="1" xfId="0" applyNumberFormat="1" applyFill="1" applyBorder="1" applyAlignment="1">
      <alignment horizontal="left" vertical="top" indent="1"/>
    </xf>
    <xf numFmtId="1" fontId="4" fillId="0" borderId="1" xfId="0" applyNumberFormat="1" applyFont="1" applyBorder="1" applyAlignment="1">
      <alignment horizontal="left" vertical="top" indent="1"/>
    </xf>
    <xf numFmtId="0" fontId="33" fillId="0" borderId="1" xfId="0" applyFont="1" applyBorder="1" applyAlignment="1">
      <alignment horizontal="left" vertical="top" indent="1"/>
    </xf>
    <xf numFmtId="0" fontId="10" fillId="0" borderId="1" xfId="0" applyFont="1" applyBorder="1" applyAlignment="1">
      <alignment horizontal="left" vertical="top" indent="1"/>
    </xf>
    <xf numFmtId="0" fontId="0" fillId="0" borderId="11" xfId="0" applyBorder="1" applyAlignment="1">
      <alignment horizontal="left" vertical="top" indent="1"/>
    </xf>
    <xf numFmtId="0" fontId="0" fillId="0" borderId="12" xfId="0" applyBorder="1" applyAlignment="1">
      <alignment horizontal="left" vertical="top" indent="1"/>
    </xf>
    <xf numFmtId="0" fontId="10" fillId="4" borderId="3" xfId="0" applyFont="1" applyFill="1" applyBorder="1" applyAlignment="1">
      <alignment horizontal="left" indent="1"/>
    </xf>
    <xf numFmtId="0" fontId="7" fillId="0" borderId="2" xfId="0" applyFont="1" applyBorder="1" applyAlignment="1">
      <alignment horizontal="left" vertical="top" indent="1"/>
    </xf>
    <xf numFmtId="0" fontId="7" fillId="0" borderId="4" xfId="0" applyFont="1" applyBorder="1" applyAlignment="1">
      <alignment horizontal="left" vertical="top" indent="1"/>
    </xf>
    <xf numFmtId="0" fontId="7" fillId="0" borderId="3" xfId="0" applyFont="1" applyBorder="1" applyAlignment="1">
      <alignment horizontal="left" vertical="top" indent="1"/>
    </xf>
    <xf numFmtId="0" fontId="7" fillId="7" borderId="4" xfId="0" applyFont="1" applyFill="1" applyBorder="1" applyAlignment="1">
      <alignment horizontal="left" vertical="top" indent="1"/>
    </xf>
    <xf numFmtId="0" fontId="7" fillId="0" borderId="5" xfId="0" applyFont="1" applyBorder="1" applyAlignment="1">
      <alignment horizontal="left" vertical="top" indent="1"/>
    </xf>
    <xf numFmtId="0" fontId="7" fillId="0" borderId="6" xfId="0" applyFont="1" applyBorder="1" applyAlignment="1">
      <alignment horizontal="left" vertical="top" indent="1"/>
    </xf>
    <xf numFmtId="0" fontId="7" fillId="0" borderId="1" xfId="0" applyFont="1" applyBorder="1" applyAlignment="1">
      <alignment horizontal="left" vertical="top" indent="1"/>
    </xf>
    <xf numFmtId="0" fontId="7" fillId="7" borderId="6" xfId="0" applyFont="1" applyFill="1" applyBorder="1" applyAlignment="1">
      <alignment horizontal="left" vertical="top" indent="1"/>
    </xf>
    <xf numFmtId="0" fontId="7" fillId="0" borderId="7" xfId="0" applyFont="1" applyBorder="1" applyAlignment="1">
      <alignment horizontal="left" vertical="top" indent="1"/>
    </xf>
    <xf numFmtId="0" fontId="7" fillId="0" borderId="8" xfId="0" applyFont="1" applyBorder="1" applyAlignment="1">
      <alignment horizontal="left" vertical="top" indent="1"/>
    </xf>
    <xf numFmtId="0" fontId="0" fillId="4" borderId="2" xfId="0" applyFill="1" applyBorder="1" applyAlignment="1">
      <alignment horizontal="left" indent="1"/>
    </xf>
    <xf numFmtId="0" fontId="0" fillId="4" borderId="5" xfId="0" applyFill="1" applyBorder="1" applyAlignment="1">
      <alignment horizontal="left" indent="1"/>
    </xf>
    <xf numFmtId="0" fontId="0" fillId="4" borderId="5" xfId="1" applyFont="1" applyFill="1" applyBorder="1" applyAlignment="1">
      <alignment horizontal="left" indent="1"/>
    </xf>
    <xf numFmtId="0" fontId="10" fillId="4" borderId="14" xfId="1" applyFont="1" applyFill="1" applyBorder="1" applyAlignment="1">
      <alignment horizontal="left" indent="1"/>
    </xf>
    <xf numFmtId="0" fontId="10" fillId="4" borderId="15" xfId="0" applyFont="1" applyFill="1" applyBorder="1" applyAlignment="1">
      <alignment horizontal="left" vertical="top" indent="1"/>
    </xf>
    <xf numFmtId="0" fontId="0" fillId="0" borderId="36" xfId="0" applyBorder="1" applyAlignment="1">
      <alignment horizontal="left" indent="1"/>
    </xf>
    <xf numFmtId="0" fontId="0" fillId="0" borderId="37" xfId="0" applyBorder="1" applyAlignment="1">
      <alignment horizontal="left" indent="1"/>
    </xf>
    <xf numFmtId="0" fontId="0" fillId="0" borderId="38" xfId="0" applyBorder="1" applyAlignment="1">
      <alignment horizontal="left" indent="1"/>
    </xf>
    <xf numFmtId="0" fontId="0" fillId="0" borderId="39" xfId="0" applyBorder="1" applyAlignment="1">
      <alignment horizontal="left" indent="1"/>
    </xf>
    <xf numFmtId="0" fontId="10" fillId="4" borderId="36" xfId="0" applyFont="1" applyFill="1" applyBorder="1" applyAlignment="1">
      <alignment horizontal="left" indent="1"/>
    </xf>
    <xf numFmtId="0" fontId="0" fillId="4" borderId="37" xfId="0" applyFill="1" applyBorder="1" applyAlignment="1">
      <alignment horizontal="left" indent="1"/>
    </xf>
    <xf numFmtId="0" fontId="10" fillId="4" borderId="37" xfId="1" applyFont="1" applyFill="1" applyBorder="1" applyAlignment="1">
      <alignment horizontal="left" indent="1"/>
    </xf>
    <xf numFmtId="0" fontId="7" fillId="4" borderId="37" xfId="1" applyFont="1" applyFill="1" applyBorder="1" applyAlignment="1">
      <alignment horizontal="left" indent="1"/>
    </xf>
    <xf numFmtId="0" fontId="0" fillId="4" borderId="40" xfId="0" applyFill="1" applyBorder="1" applyAlignment="1">
      <alignment horizontal="left" indent="1"/>
    </xf>
    <xf numFmtId="0" fontId="0" fillId="4" borderId="39" xfId="0" applyFill="1" applyBorder="1" applyAlignment="1">
      <alignment horizontal="left" indent="1"/>
    </xf>
    <xf numFmtId="0" fontId="0" fillId="4" borderId="0" xfId="0" applyFill="1" applyAlignment="1">
      <alignment horizontal="left" indent="1"/>
    </xf>
    <xf numFmtId="0" fontId="7" fillId="0" borderId="0" xfId="0" applyFont="1" applyAlignment="1">
      <alignment horizontal="left" vertical="top" indent="1"/>
    </xf>
    <xf numFmtId="0" fontId="0" fillId="4" borderId="14" xfId="1" applyFont="1" applyFill="1" applyBorder="1" applyAlignment="1">
      <alignment horizontal="left" indent="1"/>
    </xf>
    <xf numFmtId="0" fontId="0" fillId="6" borderId="0" xfId="0" applyFill="1" applyAlignment="1">
      <alignment horizontal="left" indent="1"/>
    </xf>
    <xf numFmtId="0" fontId="0" fillId="4" borderId="36" xfId="0" applyFill="1" applyBorder="1" applyAlignment="1">
      <alignment horizontal="left" indent="1"/>
    </xf>
    <xf numFmtId="0" fontId="0" fillId="4" borderId="0" xfId="0" applyFill="1"/>
    <xf numFmtId="0" fontId="0" fillId="4" borderId="0" xfId="0" applyFill="1" applyAlignment="1">
      <alignment horizontal="left" vertical="top" indent="1"/>
    </xf>
    <xf numFmtId="1" fontId="4" fillId="0" borderId="0" xfId="0" applyNumberFormat="1" applyFont="1" applyAlignment="1">
      <alignment horizontal="left" vertical="top" indent="1"/>
    </xf>
    <xf numFmtId="0" fontId="33" fillId="0" borderId="0" xfId="0" applyFont="1" applyAlignment="1">
      <alignment horizontal="left" vertical="top" indent="1"/>
    </xf>
    <xf numFmtId="0" fontId="0" fillId="4" borderId="3" xfId="0" applyFill="1" applyBorder="1"/>
    <xf numFmtId="0" fontId="0" fillId="2" borderId="1" xfId="0" applyFill="1" applyBorder="1" applyAlignment="1">
      <alignment horizontal="left" indent="1"/>
    </xf>
    <xf numFmtId="0" fontId="0" fillId="2" borderId="0" xfId="0" applyFill="1"/>
    <xf numFmtId="0" fontId="4" fillId="0" borderId="0" xfId="0" applyFont="1"/>
    <xf numFmtId="0" fontId="31" fillId="4" borderId="37" xfId="1" applyFont="1" applyFill="1" applyBorder="1" applyAlignment="1">
      <alignment horizontal="left" indent="1"/>
    </xf>
    <xf numFmtId="0" fontId="31" fillId="4" borderId="15" xfId="0" applyFont="1" applyFill="1" applyBorder="1" applyAlignment="1">
      <alignment horizontal="left" vertical="top" indent="1"/>
    </xf>
    <xf numFmtId="0" fontId="0" fillId="0" borderId="41" xfId="0" applyBorder="1" applyAlignment="1">
      <alignment horizontal="left" indent="1"/>
    </xf>
    <xf numFmtId="0" fontId="0" fillId="0" borderId="42" xfId="0" applyBorder="1" applyAlignment="1">
      <alignment horizontal="left" indent="1"/>
    </xf>
    <xf numFmtId="0" fontId="0" fillId="5" borderId="0" xfId="0" applyFill="1" applyAlignment="1">
      <alignment horizontal="left" indent="1"/>
    </xf>
    <xf numFmtId="0" fontId="35" fillId="2" borderId="0" xfId="0" applyFont="1" applyFill="1" applyAlignment="1">
      <alignment vertical="top"/>
    </xf>
    <xf numFmtId="0" fontId="35" fillId="2" borderId="1" xfId="0" applyFont="1" applyFill="1" applyBorder="1" applyAlignment="1">
      <alignment horizontal="left" vertical="top" indent="1"/>
    </xf>
    <xf numFmtId="0" fontId="36" fillId="7" borderId="6" xfId="0" applyFont="1" applyFill="1" applyBorder="1" applyAlignment="1">
      <alignment horizontal="left" vertical="top" indent="1"/>
    </xf>
    <xf numFmtId="0" fontId="37" fillId="8" borderId="0" xfId="0" applyFont="1" applyFill="1" applyAlignment="1">
      <alignment horizontal="left" indent="1"/>
    </xf>
    <xf numFmtId="0" fontId="0" fillId="8" borderId="0" xfId="0" applyFill="1" applyAlignment="1">
      <alignment horizontal="left" indent="1"/>
    </xf>
    <xf numFmtId="0" fontId="37" fillId="0" borderId="0" xfId="0" applyFont="1" applyAlignment="1">
      <alignment horizontal="left" indent="1"/>
    </xf>
    <xf numFmtId="0" fontId="38" fillId="8" borderId="0" xfId="0" applyFont="1" applyFill="1" applyAlignment="1">
      <alignment horizontal="left" indent="1"/>
    </xf>
    <xf numFmtId="0" fontId="39" fillId="8" borderId="0" xfId="0" applyFont="1" applyFill="1" applyAlignment="1">
      <alignment horizontal="left" indent="1"/>
    </xf>
    <xf numFmtId="0" fontId="40" fillId="5" borderId="0" xfId="0" applyFont="1" applyFill="1" applyAlignment="1">
      <alignment horizontal="left" indent="1"/>
    </xf>
    <xf numFmtId="0" fontId="7" fillId="0" borderId="26" xfId="0" applyFont="1" applyBorder="1" applyAlignment="1">
      <alignment horizontal="left" vertical="top" indent="1"/>
    </xf>
    <xf numFmtId="0" fontId="7" fillId="0" borderId="27" xfId="0" applyFont="1" applyBorder="1" applyAlignment="1">
      <alignment horizontal="left" vertical="top" indent="1"/>
    </xf>
    <xf numFmtId="0" fontId="0" fillId="9" borderId="1" xfId="0" applyFill="1" applyBorder="1" applyAlignment="1">
      <alignment horizontal="left" indent="1"/>
    </xf>
    <xf numFmtId="0" fontId="0" fillId="9" borderId="0" xfId="0" applyFill="1" applyAlignment="1">
      <alignment horizontal="left" indent="1"/>
    </xf>
    <xf numFmtId="0" fontId="10" fillId="10" borderId="1" xfId="0" applyFont="1" applyFill="1" applyBorder="1" applyAlignment="1">
      <alignment horizontal="left" indent="1"/>
    </xf>
    <xf numFmtId="0" fontId="0" fillId="10" borderId="1" xfId="0" applyFill="1" applyBorder="1" applyAlignment="1">
      <alignment horizontal="left" indent="1"/>
    </xf>
    <xf numFmtId="0" fontId="0" fillId="10" borderId="0" xfId="0" applyFill="1" applyAlignment="1">
      <alignment horizontal="left" indent="1"/>
    </xf>
    <xf numFmtId="0" fontId="10" fillId="9" borderId="0" xfId="0" applyFont="1" applyFill="1" applyAlignment="1">
      <alignment horizontal="left" indent="1"/>
    </xf>
    <xf numFmtId="0" fontId="3" fillId="9" borderId="1" xfId="1" applyFill="1" applyAlignment="1">
      <alignment horizontal="left" indent="1"/>
    </xf>
    <xf numFmtId="0" fontId="31" fillId="0" borderId="1" xfId="0" applyFont="1" applyBorder="1"/>
    <xf numFmtId="0" fontId="14" fillId="11" borderId="0" xfId="0" applyFont="1" applyFill="1"/>
    <xf numFmtId="0" fontId="31" fillId="12" borderId="1" xfId="0" applyFont="1" applyFill="1" applyBorder="1"/>
    <xf numFmtId="0" fontId="31" fillId="12" borderId="0" xfId="0" applyFont="1" applyFill="1"/>
    <xf numFmtId="0" fontId="14" fillId="12" borderId="1" xfId="0" applyFont="1" applyFill="1" applyBorder="1"/>
    <xf numFmtId="0" fontId="0" fillId="4" borderId="7" xfId="0" applyFill="1" applyBorder="1" applyAlignment="1">
      <alignment horizontal="left" indent="1"/>
    </xf>
    <xf numFmtId="0" fontId="36" fillId="0" borderId="25" xfId="0" applyFont="1" applyBorder="1" applyAlignment="1">
      <alignment horizontal="left" vertical="top" indent="1"/>
    </xf>
    <xf numFmtId="0" fontId="36" fillId="0" borderId="32" xfId="0" applyFont="1" applyBorder="1" applyAlignment="1">
      <alignment horizontal="left" vertical="top" indent="1"/>
    </xf>
    <xf numFmtId="0" fontId="7" fillId="0" borderId="11" xfId="0" applyFont="1" applyBorder="1" applyAlignment="1">
      <alignment horizontal="left" vertical="top" indent="1"/>
    </xf>
    <xf numFmtId="0" fontId="7" fillId="0" borderId="12" xfId="0" applyFont="1" applyBorder="1" applyAlignment="1">
      <alignment horizontal="left" vertical="top" indent="1"/>
    </xf>
    <xf numFmtId="0" fontId="7" fillId="7" borderId="13" xfId="0" applyFont="1" applyFill="1" applyBorder="1" applyAlignment="1">
      <alignment horizontal="left" vertical="top" indent="1"/>
    </xf>
    <xf numFmtId="0" fontId="7" fillId="0" borderId="14" xfId="0" applyFont="1" applyBorder="1" applyAlignment="1">
      <alignment horizontal="left" vertical="top" indent="1"/>
    </xf>
    <xf numFmtId="0" fontId="7" fillId="7" borderId="15" xfId="0" applyFont="1" applyFill="1" applyBorder="1" applyAlignment="1">
      <alignment horizontal="left" vertical="top" indent="1"/>
    </xf>
    <xf numFmtId="0" fontId="7" fillId="0" borderId="16" xfId="0" applyFont="1" applyBorder="1" applyAlignment="1">
      <alignment horizontal="left" vertical="top" indent="1"/>
    </xf>
    <xf numFmtId="0" fontId="7" fillId="0" borderId="17" xfId="0" applyFont="1" applyBorder="1" applyAlignment="1">
      <alignment horizontal="left" vertical="top" indent="1"/>
    </xf>
    <xf numFmtId="0" fontId="7" fillId="7" borderId="18" xfId="0" applyFont="1" applyFill="1" applyBorder="1" applyAlignment="1">
      <alignment horizontal="left" vertical="top" indent="1"/>
    </xf>
    <xf numFmtId="1" fontId="35" fillId="0" borderId="1" xfId="0" applyNumberFormat="1" applyFont="1" applyBorder="1"/>
    <xf numFmtId="0" fontId="10" fillId="0" borderId="27" xfId="0" applyFont="1" applyBorder="1" applyAlignment="1">
      <alignment horizontal="left" vertical="top" indent="1"/>
    </xf>
    <xf numFmtId="0" fontId="0" fillId="0" borderId="32" xfId="0" applyBorder="1" applyAlignment="1">
      <alignment horizontal="left" vertical="top" indent="2"/>
    </xf>
    <xf numFmtId="0" fontId="0" fillId="0" borderId="30" xfId="0" applyBorder="1" applyAlignment="1">
      <alignment horizontal="left" vertical="top" indent="2"/>
    </xf>
    <xf numFmtId="0" fontId="0" fillId="0" borderId="31" xfId="0" applyBorder="1" applyAlignment="1">
      <alignment horizontal="left" vertical="top" indent="2"/>
    </xf>
    <xf numFmtId="0" fontId="0" fillId="0" borderId="1" xfId="0" applyBorder="1" applyAlignment="1">
      <alignment horizontal="left" vertical="top" indent="2"/>
    </xf>
    <xf numFmtId="170" fontId="0" fillId="4" borderId="3" xfId="0" applyNumberFormat="1" applyFill="1" applyBorder="1" applyAlignment="1">
      <alignment horizontal="left" vertical="top" indent="1"/>
    </xf>
    <xf numFmtId="0" fontId="0" fillId="0" borderId="3" xfId="0" applyBorder="1" applyAlignment="1">
      <alignment horizontal="left" vertical="top" indent="2"/>
    </xf>
    <xf numFmtId="167" fontId="0" fillId="4" borderId="4" xfId="0" applyNumberFormat="1" applyFill="1" applyBorder="1" applyAlignment="1">
      <alignment horizontal="left" vertical="top" indent="1"/>
    </xf>
    <xf numFmtId="167" fontId="0" fillId="4" borderId="6" xfId="0" applyNumberFormat="1" applyFill="1" applyBorder="1" applyAlignment="1">
      <alignment horizontal="left" vertical="top" indent="1"/>
    </xf>
    <xf numFmtId="170" fontId="0" fillId="4" borderId="8" xfId="0" applyNumberFormat="1" applyFill="1" applyBorder="1" applyAlignment="1">
      <alignment horizontal="left" vertical="top" indent="1"/>
    </xf>
    <xf numFmtId="0" fontId="0" fillId="0" borderId="8" xfId="0" applyBorder="1" applyAlignment="1">
      <alignment horizontal="left" vertical="top" indent="2"/>
    </xf>
    <xf numFmtId="167" fontId="0" fillId="4" borderId="9" xfId="0" applyNumberFormat="1" applyFill="1" applyBorder="1" applyAlignment="1">
      <alignment horizontal="left" vertical="top" indent="1"/>
    </xf>
    <xf numFmtId="0" fontId="14" fillId="0" borderId="25" xfId="0" applyFont="1" applyBorder="1"/>
    <xf numFmtId="0" fontId="31" fillId="0" borderId="5" xfId="0" applyFont="1" applyBorder="1"/>
    <xf numFmtId="0" fontId="31" fillId="0" borderId="7" xfId="0" applyFont="1" applyBorder="1"/>
    <xf numFmtId="166" fontId="0" fillId="4" borderId="3" xfId="0" applyNumberFormat="1" applyFill="1" applyBorder="1" applyAlignment="1">
      <alignment horizontal="left" indent="1"/>
    </xf>
    <xf numFmtId="2" fontId="0" fillId="4" borderId="4" xfId="0" applyNumberFormat="1" applyFill="1" applyBorder="1" applyAlignment="1">
      <alignment horizontal="left" indent="1"/>
    </xf>
    <xf numFmtId="2" fontId="0" fillId="4" borderId="6" xfId="0" applyNumberFormat="1" applyFill="1" applyBorder="1" applyAlignment="1">
      <alignment horizontal="left" indent="1"/>
    </xf>
    <xf numFmtId="166" fontId="0" fillId="4" borderId="8" xfId="0" applyNumberFormat="1" applyFill="1" applyBorder="1" applyAlignment="1">
      <alignment horizontal="left" indent="1"/>
    </xf>
    <xf numFmtId="2" fontId="0" fillId="4" borderId="9" xfId="0" applyNumberFormat="1" applyFill="1" applyBorder="1" applyAlignment="1">
      <alignment horizontal="left" indent="1"/>
    </xf>
    <xf numFmtId="165" fontId="0" fillId="4" borderId="4" xfId="0" applyNumberFormat="1" applyFill="1" applyBorder="1" applyAlignment="1">
      <alignment horizontal="left" indent="1"/>
    </xf>
    <xf numFmtId="165" fontId="0" fillId="4" borderId="6" xfId="0" applyNumberFormat="1" applyFill="1" applyBorder="1" applyAlignment="1">
      <alignment horizontal="left" indent="1"/>
    </xf>
    <xf numFmtId="165" fontId="0" fillId="4" borderId="9" xfId="0" applyNumberFormat="1" applyFill="1" applyBorder="1" applyAlignment="1">
      <alignment horizontal="left" indent="1"/>
    </xf>
    <xf numFmtId="164" fontId="0" fillId="0" borderId="3" xfId="0" applyNumberFormat="1" applyBorder="1" applyAlignment="1">
      <alignment horizontal="left" indent="1"/>
    </xf>
    <xf numFmtId="164" fontId="0" fillId="0" borderId="1" xfId="0" applyNumberFormat="1" applyBorder="1" applyAlignment="1">
      <alignment horizontal="left" indent="1"/>
    </xf>
    <xf numFmtId="164" fontId="0" fillId="0" borderId="2" xfId="0" applyNumberFormat="1" applyBorder="1" applyAlignment="1">
      <alignment horizontal="left" vertical="top" indent="1"/>
    </xf>
    <xf numFmtId="164" fontId="0" fillId="0" borderId="5" xfId="0" applyNumberFormat="1" applyBorder="1" applyAlignment="1">
      <alignment horizontal="left" vertical="top" indent="1"/>
    </xf>
    <xf numFmtId="164" fontId="0" fillId="0" borderId="7" xfId="0" applyNumberFormat="1" applyBorder="1" applyAlignment="1">
      <alignment horizontal="left" vertical="top" indent="1"/>
    </xf>
    <xf numFmtId="164" fontId="0" fillId="0" borderId="8" xfId="0" applyNumberFormat="1" applyBorder="1" applyAlignment="1">
      <alignment horizontal="left" indent="1"/>
    </xf>
    <xf numFmtId="0" fontId="31" fillId="0" borderId="4" xfId="0" applyFont="1" applyBorder="1" applyAlignment="1">
      <alignment wrapText="1"/>
    </xf>
    <xf numFmtId="165" fontId="0" fillId="0" borderId="3" xfId="0" applyNumberFormat="1" applyBorder="1" applyAlignment="1">
      <alignment horizontal="left" vertical="top" indent="2"/>
    </xf>
    <xf numFmtId="165" fontId="0" fillId="0" borderId="1" xfId="0" applyNumberFormat="1" applyBorder="1" applyAlignment="1">
      <alignment horizontal="left" vertical="top" indent="2"/>
    </xf>
    <xf numFmtId="165" fontId="0" fillId="0" borderId="8" xfId="0" applyNumberFormat="1" applyBorder="1" applyAlignment="1">
      <alignment horizontal="left" vertical="top" indent="2"/>
    </xf>
    <xf numFmtId="0" fontId="0" fillId="0" borderId="27" xfId="0" applyBorder="1" applyAlignment="1">
      <alignment horizontal="left" vertical="top" indent="1"/>
    </xf>
    <xf numFmtId="0" fontId="31" fillId="0" borderId="25" xfId="0" applyFont="1" applyBorder="1" applyAlignment="1">
      <alignment wrapText="1"/>
    </xf>
    <xf numFmtId="0" fontId="31" fillId="0" borderId="32" xfId="0" applyFont="1" applyBorder="1" applyAlignment="1">
      <alignment wrapText="1"/>
    </xf>
    <xf numFmtId="166" fontId="0" fillId="4" borderId="4" xfId="0" applyNumberFormat="1" applyFill="1" applyBorder="1" applyAlignment="1">
      <alignment horizontal="left" indent="1"/>
    </xf>
    <xf numFmtId="166" fontId="4" fillId="0" borderId="1" xfId="0" applyNumberFormat="1" applyFont="1" applyBorder="1" applyAlignment="1">
      <alignment horizontal="left" vertical="top" indent="1"/>
    </xf>
    <xf numFmtId="167" fontId="0" fillId="4" borderId="6" xfId="0" applyNumberFormat="1" applyFill="1" applyBorder="1" applyAlignment="1">
      <alignment horizontal="left" indent="1"/>
    </xf>
    <xf numFmtId="167" fontId="0" fillId="4" borderId="9" xfId="0" applyNumberFormat="1" applyFill="1" applyBorder="1" applyAlignment="1">
      <alignment horizontal="left" indent="1"/>
    </xf>
    <xf numFmtId="164" fontId="0" fillId="13" borderId="2" xfId="0" applyNumberFormat="1" applyFill="1" applyBorder="1" applyAlignment="1">
      <alignment horizontal="left" vertical="top" indent="1"/>
    </xf>
    <xf numFmtId="164" fontId="0" fillId="13" borderId="3" xfId="0" applyNumberFormat="1" applyFill="1" applyBorder="1" applyAlignment="1">
      <alignment horizontal="left" indent="1"/>
    </xf>
    <xf numFmtId="164" fontId="0" fillId="13" borderId="5" xfId="0" applyNumberFormat="1" applyFill="1" applyBorder="1" applyAlignment="1">
      <alignment horizontal="left" vertical="top" indent="1"/>
    </xf>
    <xf numFmtId="164" fontId="0" fillId="13" borderId="1" xfId="0" applyNumberFormat="1" applyFill="1" applyBorder="1" applyAlignment="1">
      <alignment horizontal="left" indent="1"/>
    </xf>
    <xf numFmtId="164" fontId="0" fillId="13" borderId="7" xfId="0" applyNumberFormat="1" applyFill="1" applyBorder="1" applyAlignment="1">
      <alignment horizontal="left" vertical="top" indent="1"/>
    </xf>
    <xf numFmtId="164" fontId="0" fillId="13" borderId="8" xfId="0" applyNumberFormat="1" applyFill="1" applyBorder="1" applyAlignment="1">
      <alignment horizontal="left" indent="1"/>
    </xf>
    <xf numFmtId="0" fontId="0" fillId="13" borderId="3" xfId="0" applyFill="1" applyBorder="1" applyAlignment="1">
      <alignment horizontal="left" vertical="top" indent="2"/>
    </xf>
    <xf numFmtId="0" fontId="0" fillId="13" borderId="1" xfId="0" applyFill="1" applyBorder="1" applyAlignment="1">
      <alignment horizontal="left" vertical="top" indent="2"/>
    </xf>
    <xf numFmtId="0" fontId="0" fillId="13" borderId="8" xfId="0" applyFill="1" applyBorder="1" applyAlignment="1">
      <alignment horizontal="left" vertical="top" indent="2"/>
    </xf>
    <xf numFmtId="0" fontId="14" fillId="0" borderId="25" xfId="0" applyFont="1" applyBorder="1" applyAlignment="1">
      <alignment horizontal="left" vertical="top" indent="1"/>
    </xf>
    <xf numFmtId="0" fontId="14" fillId="0" borderId="25" xfId="0" applyFont="1" applyBorder="1" applyAlignment="1">
      <alignment wrapText="1"/>
    </xf>
    <xf numFmtId="0" fontId="14" fillId="0" borderId="32" xfId="0" applyFont="1" applyBorder="1" applyAlignment="1">
      <alignment horizontal="left" vertical="top" indent="1"/>
    </xf>
    <xf numFmtId="0" fontId="14" fillId="0" borderId="4" xfId="0" applyFont="1" applyBorder="1" applyAlignment="1">
      <alignment wrapText="1"/>
    </xf>
    <xf numFmtId="0" fontId="10" fillId="0" borderId="3" xfId="0" applyFont="1" applyBorder="1" applyAlignment="1">
      <alignment horizontal="left" vertical="top" indent="1"/>
    </xf>
    <xf numFmtId="0" fontId="14" fillId="11" borderId="1" xfId="0" applyFont="1" applyFill="1" applyBorder="1"/>
    <xf numFmtId="0" fontId="3" fillId="0" borderId="44" xfId="1" applyBorder="1" applyAlignment="1">
      <alignment horizontal="left" vertical="top" indent="1"/>
    </xf>
    <xf numFmtId="0" fontId="3" fillId="0" borderId="43" xfId="1" applyBorder="1" applyAlignment="1">
      <alignment horizontal="left" vertical="top" indent="1"/>
    </xf>
    <xf numFmtId="0" fontId="3" fillId="0" borderId="43" xfId="1" applyBorder="1" applyAlignment="1">
      <alignment horizontal="left" vertical="top" wrapText="1" indent="1"/>
    </xf>
    <xf numFmtId="0" fontId="10" fillId="10" borderId="0" xfId="0" applyFont="1" applyFill="1" applyAlignment="1">
      <alignment horizontal="left" indent="1"/>
    </xf>
    <xf numFmtId="0" fontId="1" fillId="0" borderId="10" xfId="1" applyFont="1" applyBorder="1" applyAlignment="1">
      <alignment horizontal="left" vertical="top" indent="1"/>
    </xf>
    <xf numFmtId="0" fontId="1" fillId="0" borderId="10" xfId="1" applyFont="1" applyBorder="1" applyAlignment="1">
      <alignment horizontal="left" vertical="top" wrapText="1" indent="1"/>
    </xf>
    <xf numFmtId="0" fontId="1" fillId="0" borderId="43" xfId="1" applyFont="1" applyBorder="1" applyAlignment="1">
      <alignment horizontal="left" vertical="top" indent="1"/>
    </xf>
    <xf numFmtId="0" fontId="1" fillId="0" borderId="1" xfId="1" applyFont="1"/>
    <xf numFmtId="0" fontId="1" fillId="0" borderId="1" xfId="1" applyFont="1" applyAlignment="1">
      <alignment horizontal="left" vertical="top" indent="1"/>
    </xf>
    <xf numFmtId="0" fontId="1" fillId="0" borderId="1" xfId="1" applyFont="1" applyAlignment="1">
      <alignment indent="1"/>
    </xf>
    <xf numFmtId="0" fontId="1" fillId="0" borderId="1" xfId="1" applyFont="1" applyAlignment="1">
      <alignment horizontal="left" vertical="top" wrapText="1" indent="1"/>
    </xf>
    <xf numFmtId="0" fontId="1" fillId="0" borderId="1" xfId="1" applyFont="1" applyAlignment="1">
      <alignment wrapText="1"/>
    </xf>
    <xf numFmtId="0" fontId="1" fillId="0" borderId="5" xfId="1" applyFont="1" applyBorder="1" applyAlignment="1">
      <alignment horizontal="left" vertical="top" wrapText="1"/>
    </xf>
    <xf numFmtId="0" fontId="1" fillId="0" borderId="1" xfId="1" applyFont="1" applyAlignment="1">
      <alignment wrapText="1" indent="1"/>
    </xf>
    <xf numFmtId="1" fontId="1" fillId="0" borderId="12" xfId="1" applyNumberFormat="1" applyFont="1" applyBorder="1" applyAlignment="1">
      <alignment horizontal="left" vertical="top" indent="1"/>
    </xf>
    <xf numFmtId="2" fontId="1" fillId="0" borderId="12" xfId="1" applyNumberFormat="1" applyFont="1" applyBorder="1" applyAlignment="1">
      <alignment horizontal="left" vertical="top" indent="1"/>
    </xf>
    <xf numFmtId="1" fontId="1" fillId="0" borderId="1" xfId="1" applyNumberFormat="1" applyFont="1" applyAlignment="1">
      <alignment horizontal="left" vertical="top" indent="1"/>
    </xf>
    <xf numFmtId="2" fontId="1" fillId="0" borderId="1" xfId="1" applyNumberFormat="1" applyFont="1" applyAlignment="1">
      <alignment horizontal="left" vertical="top" indent="1"/>
    </xf>
    <xf numFmtId="0" fontId="1" fillId="0" borderId="16" xfId="1" applyFont="1" applyBorder="1" applyAlignment="1">
      <alignment horizontal="left" vertical="top" indent="1"/>
    </xf>
    <xf numFmtId="0" fontId="1" fillId="0" borderId="17" xfId="1" applyFont="1" applyBorder="1" applyAlignment="1">
      <alignment horizontal="left" vertical="top" indent="1"/>
    </xf>
    <xf numFmtId="0" fontId="1" fillId="0" borderId="17" xfId="1" applyFont="1" applyBorder="1" applyAlignment="1">
      <alignment indent="1"/>
    </xf>
    <xf numFmtId="2" fontId="1" fillId="0" borderId="18" xfId="1" applyNumberFormat="1" applyFont="1" applyBorder="1"/>
    <xf numFmtId="169" fontId="1" fillId="0" borderId="1" xfId="1" applyNumberFormat="1" applyFont="1"/>
    <xf numFmtId="2" fontId="1" fillId="0" borderId="1" xfId="1" applyNumberFormat="1" applyFont="1"/>
    <xf numFmtId="15" fontId="1" fillId="0" borderId="1" xfId="1" applyNumberFormat="1" applyFont="1"/>
    <xf numFmtId="0" fontId="1" fillId="0" borderId="2" xfId="1" applyFont="1" applyBorder="1" applyAlignment="1">
      <alignment horizontal="left" vertical="top" indent="1"/>
    </xf>
    <xf numFmtId="0" fontId="1" fillId="0" borderId="3" xfId="1" applyFont="1" applyBorder="1" applyAlignment="1">
      <alignment horizontal="left" vertical="top" indent="1"/>
    </xf>
    <xf numFmtId="0" fontId="1" fillId="2" borderId="3" xfId="1" applyFont="1" applyFill="1" applyBorder="1" applyAlignment="1">
      <alignment horizontal="left" vertical="top" indent="1"/>
    </xf>
    <xf numFmtId="0" fontId="1" fillId="0" borderId="3" xfId="1" applyFont="1" applyBorder="1" applyAlignment="1">
      <alignment horizontal="left" vertical="top" wrapText="1" indent="1"/>
    </xf>
    <xf numFmtId="0" fontId="1" fillId="0" borderId="3" xfId="1" applyFont="1" applyBorder="1" applyAlignment="1">
      <alignment indent="1"/>
    </xf>
    <xf numFmtId="0" fontId="1" fillId="2" borderId="3" xfId="1" applyFont="1" applyFill="1" applyBorder="1"/>
    <xf numFmtId="0" fontId="1" fillId="2" borderId="4" xfId="1" applyFont="1" applyFill="1" applyBorder="1"/>
    <xf numFmtId="0" fontId="1" fillId="2" borderId="1" xfId="1" applyFont="1" applyFill="1" applyAlignment="1">
      <alignment horizontal="left" vertical="top" indent="1"/>
    </xf>
    <xf numFmtId="0" fontId="1" fillId="2" borderId="1" xfId="1" applyFont="1" applyFill="1"/>
    <xf numFmtId="0" fontId="1" fillId="2" borderId="6" xfId="1" applyFont="1" applyFill="1" applyBorder="1"/>
    <xf numFmtId="0" fontId="1" fillId="0" borderId="5" xfId="1" applyFont="1" applyBorder="1" applyAlignment="1">
      <alignment horizontal="center" vertical="top" wrapText="1"/>
    </xf>
    <xf numFmtId="0" fontId="1" fillId="0" borderId="1" xfId="1" applyFont="1" applyAlignment="1">
      <alignment horizontal="left" vertical="top"/>
    </xf>
    <xf numFmtId="0" fontId="1" fillId="2" borderId="1" xfId="1" applyFont="1" applyFill="1" applyAlignment="1">
      <alignment horizontal="left" vertical="top"/>
    </xf>
    <xf numFmtId="0" fontId="1" fillId="2" borderId="6" xfId="1" applyFont="1" applyFill="1" applyBorder="1" applyAlignment="1">
      <alignment horizontal="left" vertical="top"/>
    </xf>
    <xf numFmtId="0" fontId="1" fillId="0" borderId="12" xfId="1" applyFont="1" applyBorder="1" applyAlignment="1">
      <alignment horizontal="left" vertical="top" indent="1"/>
    </xf>
    <xf numFmtId="2" fontId="1" fillId="2" borderId="12" xfId="1" applyNumberFormat="1" applyFont="1" applyFill="1" applyBorder="1" applyAlignment="1">
      <alignment horizontal="left" vertical="top" indent="1"/>
    </xf>
    <xf numFmtId="164" fontId="1" fillId="0" borderId="12" xfId="1" applyNumberFormat="1" applyFont="1" applyBorder="1" applyAlignment="1">
      <alignment horizontal="left" vertical="top" indent="1"/>
    </xf>
    <xf numFmtId="168" fontId="1" fillId="0" borderId="12" xfId="1" applyNumberFormat="1" applyFont="1" applyBorder="1" applyAlignment="1">
      <alignment horizontal="left" vertical="top" indent="1"/>
    </xf>
    <xf numFmtId="167" fontId="1" fillId="0" borderId="12" xfId="1" applyNumberFormat="1" applyFont="1" applyBorder="1" applyAlignment="1">
      <alignment horizontal="left" vertical="top" indent="1"/>
    </xf>
    <xf numFmtId="166" fontId="1" fillId="0" borderId="12" xfId="1" applyNumberFormat="1" applyFont="1" applyBorder="1" applyAlignment="1">
      <alignment horizontal="left" vertical="top" indent="1"/>
    </xf>
    <xf numFmtId="164" fontId="1" fillId="2" borderId="12" xfId="1" applyNumberFormat="1" applyFont="1" applyFill="1" applyBorder="1" applyAlignment="1">
      <alignment horizontal="left" vertical="top" indent="1"/>
    </xf>
    <xf numFmtId="1" fontId="1" fillId="2" borderId="12" xfId="1" applyNumberFormat="1" applyFont="1" applyFill="1" applyBorder="1" applyAlignment="1">
      <alignment horizontal="left" vertical="top" indent="1"/>
    </xf>
    <xf numFmtId="165" fontId="1" fillId="2" borderId="12" xfId="1" applyNumberFormat="1" applyFont="1" applyFill="1" applyBorder="1" applyAlignment="1">
      <alignment horizontal="left" vertical="top" indent="1"/>
    </xf>
    <xf numFmtId="2" fontId="1" fillId="0" borderId="12" xfId="1" applyNumberFormat="1" applyFont="1" applyBorder="1" applyAlignment="1">
      <alignment indent="1"/>
    </xf>
    <xf numFmtId="165" fontId="1" fillId="0" borderId="12" xfId="1" applyNumberFormat="1" applyFont="1" applyBorder="1" applyAlignment="1">
      <alignment indent="1"/>
    </xf>
    <xf numFmtId="2" fontId="1" fillId="2" borderId="12" xfId="1" applyNumberFormat="1" applyFont="1" applyFill="1" applyBorder="1"/>
    <xf numFmtId="169" fontId="1" fillId="2" borderId="13" xfId="5" applyNumberFormat="1" applyFont="1" applyFill="1" applyBorder="1"/>
    <xf numFmtId="0" fontId="1" fillId="0" borderId="14" xfId="1" applyFont="1" applyBorder="1" applyAlignment="1">
      <alignment horizontal="left" vertical="top"/>
    </xf>
    <xf numFmtId="2" fontId="1" fillId="2" borderId="1" xfId="1" applyNumberFormat="1" applyFont="1" applyFill="1" applyAlignment="1">
      <alignment horizontal="left" vertical="top" indent="1"/>
    </xf>
    <xf numFmtId="164" fontId="1" fillId="0" borderId="1" xfId="1" applyNumberFormat="1" applyFont="1" applyAlignment="1">
      <alignment horizontal="left" vertical="top" indent="1"/>
    </xf>
    <xf numFmtId="168" fontId="1" fillId="0" borderId="1" xfId="1" applyNumberFormat="1" applyFont="1" applyAlignment="1">
      <alignment horizontal="left" vertical="top" indent="1"/>
    </xf>
    <xf numFmtId="164" fontId="1" fillId="2" borderId="1" xfId="1" applyNumberFormat="1" applyFont="1" applyFill="1" applyAlignment="1">
      <alignment horizontal="left" vertical="top" indent="1"/>
    </xf>
    <xf numFmtId="1" fontId="1" fillId="2" borderId="1" xfId="1" applyNumberFormat="1" applyFont="1" applyFill="1" applyAlignment="1">
      <alignment horizontal="left" vertical="top" indent="1"/>
    </xf>
    <xf numFmtId="165" fontId="1" fillId="2" borderId="1" xfId="1" applyNumberFormat="1" applyFont="1" applyFill="1" applyAlignment="1">
      <alignment horizontal="left" vertical="top" indent="1"/>
    </xf>
    <xf numFmtId="2" fontId="1" fillId="0" borderId="1" xfId="1" applyNumberFormat="1" applyFont="1" applyAlignment="1">
      <alignment indent="1"/>
    </xf>
    <xf numFmtId="166" fontId="1" fillId="0" borderId="1" xfId="1" applyNumberFormat="1" applyFont="1" applyAlignment="1">
      <alignment indent="1"/>
    </xf>
    <xf numFmtId="2" fontId="1" fillId="2" borderId="1" xfId="1" applyNumberFormat="1" applyFont="1" applyFill="1"/>
    <xf numFmtId="169" fontId="1" fillId="2" borderId="15" xfId="5" applyNumberFormat="1" applyFont="1" applyFill="1" applyBorder="1"/>
    <xf numFmtId="167" fontId="1" fillId="0" borderId="1" xfId="1" applyNumberFormat="1" applyFont="1" applyAlignment="1">
      <alignment horizontal="left" vertical="top" indent="1"/>
    </xf>
    <xf numFmtId="166" fontId="1" fillId="0" borderId="1" xfId="1" applyNumberFormat="1" applyFont="1" applyAlignment="1">
      <alignment horizontal="left" vertical="top" indent="1"/>
    </xf>
    <xf numFmtId="165" fontId="1" fillId="0" borderId="1" xfId="1" applyNumberFormat="1" applyFont="1" applyAlignment="1">
      <alignment indent="1"/>
    </xf>
    <xf numFmtId="2" fontId="1" fillId="0" borderId="17" xfId="1" applyNumberFormat="1" applyFont="1" applyBorder="1" applyAlignment="1">
      <alignment horizontal="left" vertical="top" indent="1"/>
    </xf>
    <xf numFmtId="2" fontId="1" fillId="2" borderId="17" xfId="1" applyNumberFormat="1" applyFont="1" applyFill="1" applyBorder="1" applyAlignment="1">
      <alignment horizontal="left" vertical="top" indent="1"/>
    </xf>
    <xf numFmtId="164" fontId="1" fillId="0" borderId="17" xfId="1" applyNumberFormat="1" applyFont="1" applyBorder="1" applyAlignment="1">
      <alignment horizontal="left" vertical="top" indent="1"/>
    </xf>
    <xf numFmtId="1" fontId="1" fillId="0" borderId="17" xfId="1" applyNumberFormat="1" applyFont="1" applyBorder="1" applyAlignment="1">
      <alignment horizontal="left" vertical="top" indent="1"/>
    </xf>
    <xf numFmtId="168" fontId="1" fillId="0" borderId="17" xfId="1" applyNumberFormat="1" applyFont="1" applyBorder="1" applyAlignment="1">
      <alignment horizontal="left" vertical="top" indent="1"/>
    </xf>
    <xf numFmtId="1" fontId="1" fillId="2" borderId="17" xfId="1" applyNumberFormat="1" applyFont="1" applyFill="1" applyBorder="1" applyAlignment="1">
      <alignment horizontal="left" vertical="top" indent="1"/>
    </xf>
    <xf numFmtId="2" fontId="1" fillId="0" borderId="17" xfId="1" applyNumberFormat="1" applyFont="1" applyBorder="1" applyAlignment="1">
      <alignment indent="1"/>
    </xf>
    <xf numFmtId="166" fontId="1" fillId="0" borderId="17" xfId="1" applyNumberFormat="1" applyFont="1" applyBorder="1" applyAlignment="1">
      <alignment indent="1"/>
    </xf>
    <xf numFmtId="2" fontId="1" fillId="2" borderId="17" xfId="1" applyNumberFormat="1" applyFont="1" applyFill="1" applyBorder="1"/>
    <xf numFmtId="0" fontId="1" fillId="2" borderId="8" xfId="1" applyFont="1" applyFill="1" applyBorder="1" applyAlignment="1">
      <alignment horizontal="left" vertical="top" indent="1"/>
    </xf>
    <xf numFmtId="2" fontId="1" fillId="2" borderId="8" xfId="1" applyNumberFormat="1" applyFont="1" applyFill="1" applyBorder="1" applyAlignment="1">
      <alignment horizontal="left" vertical="top" indent="1"/>
    </xf>
    <xf numFmtId="164" fontId="1" fillId="2" borderId="8" xfId="1" applyNumberFormat="1" applyFont="1" applyFill="1" applyBorder="1" applyAlignment="1">
      <alignment horizontal="left" vertical="top" indent="1"/>
    </xf>
    <xf numFmtId="168" fontId="1" fillId="2" borderId="8" xfId="1" applyNumberFormat="1" applyFont="1" applyFill="1" applyBorder="1" applyAlignment="1">
      <alignment horizontal="left" vertical="top" indent="1"/>
    </xf>
    <xf numFmtId="1" fontId="1" fillId="2" borderId="8" xfId="1" applyNumberFormat="1" applyFont="1" applyFill="1" applyBorder="1" applyAlignment="1">
      <alignment horizontal="left" vertical="top" indent="1"/>
    </xf>
    <xf numFmtId="0" fontId="1" fillId="2" borderId="8" xfId="1" applyFont="1" applyFill="1" applyBorder="1" applyAlignment="1">
      <alignment indent="1"/>
    </xf>
    <xf numFmtId="2" fontId="1" fillId="2" borderId="8" xfId="1" applyNumberFormat="1" applyFont="1" applyFill="1" applyBorder="1"/>
    <xf numFmtId="169" fontId="1" fillId="0" borderId="1" xfId="5" applyNumberFormat="1" applyFont="1" applyBorder="1"/>
    <xf numFmtId="0" fontId="1" fillId="0" borderId="11" xfId="1" applyFont="1" applyBorder="1" applyAlignment="1">
      <alignment horizontal="left" vertical="top" indent="1"/>
    </xf>
    <xf numFmtId="0" fontId="1" fillId="2" borderId="12" xfId="1" applyFont="1" applyFill="1" applyBorder="1" applyAlignment="1">
      <alignment horizontal="left" vertical="top" indent="1"/>
    </xf>
    <xf numFmtId="0" fontId="1" fillId="0" borderId="12" xfId="1" applyFont="1" applyBorder="1" applyAlignment="1">
      <alignment horizontal="left" vertical="top" wrapText="1" indent="1"/>
    </xf>
    <xf numFmtId="0" fontId="1" fillId="0" borderId="12" xfId="1" applyFont="1" applyBorder="1" applyAlignment="1">
      <alignment indent="1"/>
    </xf>
    <xf numFmtId="0" fontId="1" fillId="2" borderId="12" xfId="1" applyFont="1" applyFill="1" applyBorder="1"/>
    <xf numFmtId="0" fontId="1" fillId="2" borderId="13" xfId="1" applyFont="1" applyFill="1" applyBorder="1"/>
    <xf numFmtId="0" fontId="1" fillId="0" borderId="14" xfId="1" applyFont="1" applyBorder="1" applyAlignment="1">
      <alignment horizontal="left" vertical="top" wrapText="1"/>
    </xf>
    <xf numFmtId="0" fontId="1" fillId="2" borderId="15" xfId="1" applyFont="1" applyFill="1" applyBorder="1"/>
    <xf numFmtId="0" fontId="1" fillId="0" borderId="16" xfId="1" applyFont="1" applyBorder="1" applyAlignment="1">
      <alignment horizontal="center" vertical="top" wrapText="1"/>
    </xf>
    <xf numFmtId="0" fontId="1" fillId="0" borderId="17" xfId="1" applyFont="1" applyBorder="1" applyAlignment="1">
      <alignment horizontal="left" vertical="top"/>
    </xf>
    <xf numFmtId="0" fontId="1" fillId="2" borderId="17" xfId="1" applyFont="1" applyFill="1" applyBorder="1" applyAlignment="1">
      <alignment horizontal="left" vertical="top"/>
    </xf>
    <xf numFmtId="0" fontId="1" fillId="2" borderId="17" xfId="1" applyFont="1" applyFill="1" applyBorder="1" applyAlignment="1">
      <alignment horizontal="left" vertical="top" indent="1"/>
    </xf>
    <xf numFmtId="0" fontId="1" fillId="2" borderId="18" xfId="1" applyFont="1" applyFill="1" applyBorder="1" applyAlignment="1">
      <alignment horizontal="left" vertical="top"/>
    </xf>
    <xf numFmtId="164" fontId="1" fillId="2" borderId="17" xfId="1" applyNumberFormat="1" applyFont="1" applyFill="1" applyBorder="1" applyAlignment="1">
      <alignment horizontal="left" vertical="top" indent="1"/>
    </xf>
    <xf numFmtId="168" fontId="1" fillId="2" borderId="17" xfId="1" applyNumberFormat="1" applyFont="1" applyFill="1" applyBorder="1" applyAlignment="1">
      <alignment horizontal="left" vertical="top" indent="1"/>
    </xf>
    <xf numFmtId="0" fontId="1" fillId="2" borderId="17" xfId="1" applyFont="1" applyFill="1" applyBorder="1" applyAlignment="1">
      <alignment indent="1"/>
    </xf>
    <xf numFmtId="0" fontId="1" fillId="0" borderId="1" xfId="4" applyFont="1" applyAlignment="1">
      <alignment horizontal="left" vertical="top"/>
    </xf>
    <xf numFmtId="15" fontId="1" fillId="0" borderId="1" xfId="1" applyNumberFormat="1" applyFont="1" applyAlignment="1">
      <alignment horizontal="left" vertical="top" indent="1"/>
    </xf>
    <xf numFmtId="0" fontId="1" fillId="0" borderId="19" xfId="1" applyFont="1" applyBorder="1"/>
    <xf numFmtId="43" fontId="1" fillId="0" borderId="1" xfId="1" applyNumberFormat="1" applyFont="1"/>
    <xf numFmtId="0" fontId="1" fillId="0" borderId="14" xfId="1" applyFont="1" applyBorder="1" applyAlignment="1">
      <alignment horizontal="center" vertical="top" wrapText="1"/>
    </xf>
    <xf numFmtId="0" fontId="1" fillId="2" borderId="15" xfId="1" applyFont="1" applyFill="1" applyBorder="1" applyAlignment="1">
      <alignment horizontal="left" vertical="top"/>
    </xf>
    <xf numFmtId="1" fontId="1" fillId="0" borderId="3" xfId="1" applyNumberFormat="1" applyFont="1" applyBorder="1" applyAlignment="1">
      <alignment horizontal="left" vertical="top" indent="1"/>
    </xf>
    <xf numFmtId="2" fontId="1" fillId="0" borderId="3" xfId="1" applyNumberFormat="1" applyFont="1" applyBorder="1" applyAlignment="1">
      <alignment horizontal="left" vertical="top" indent="1"/>
    </xf>
    <xf numFmtId="0" fontId="1" fillId="0" borderId="7" xfId="1" applyFont="1" applyBorder="1" applyAlignment="1">
      <alignment horizontal="left" vertical="top" indent="1"/>
    </xf>
    <xf numFmtId="0" fontId="1" fillId="0" borderId="8" xfId="1" applyFont="1" applyBorder="1" applyAlignment="1">
      <alignment horizontal="left" vertical="top" indent="1"/>
    </xf>
    <xf numFmtId="169" fontId="1" fillId="0" borderId="8" xfId="5" applyNumberFormat="1" applyFont="1" applyBorder="1" applyAlignment="1">
      <alignment horizontal="left" vertical="top" indent="1"/>
    </xf>
    <xf numFmtId="169" fontId="1" fillId="0" borderId="9" xfId="5" applyNumberFormat="1" applyFont="1" applyBorder="1"/>
    <xf numFmtId="0" fontId="1" fillId="4" borderId="1" xfId="1" applyFont="1" applyFill="1" applyAlignment="1">
      <alignment horizontal="left" indent="1"/>
    </xf>
    <xf numFmtId="0" fontId="1" fillId="4" borderId="15" xfId="1" applyFont="1" applyFill="1" applyBorder="1" applyAlignment="1">
      <alignment horizontal="left" indent="1"/>
    </xf>
    <xf numFmtId="0" fontId="1" fillId="0" borderId="6" xfId="1" applyFont="1" applyBorder="1" applyAlignment="1">
      <alignment horizontal="left" indent="1"/>
    </xf>
    <xf numFmtId="0" fontId="1" fillId="9" borderId="1" xfId="1" applyFont="1" applyFill="1" applyAlignment="1">
      <alignment horizontal="left" indent="1"/>
    </xf>
    <xf numFmtId="0" fontId="1" fillId="4" borderId="1" xfId="1" applyFont="1" applyFill="1" applyAlignment="1">
      <alignment horizontal="left" vertical="top" indent="1"/>
    </xf>
    <xf numFmtId="0" fontId="1" fillId="0" borderId="4" xfId="1" applyFont="1" applyBorder="1" applyAlignment="1">
      <alignment horizontal="left" vertical="top" indent="1"/>
    </xf>
    <xf numFmtId="0" fontId="1" fillId="0" borderId="28" xfId="1" applyFont="1" applyBorder="1" applyAlignment="1">
      <alignment horizontal="left" vertical="top" indent="1"/>
    </xf>
    <xf numFmtId="2" fontId="1" fillId="0" borderId="4" xfId="1" applyNumberFormat="1" applyFont="1" applyBorder="1" applyAlignment="1">
      <alignment horizontal="left" vertical="top" indent="1"/>
    </xf>
    <xf numFmtId="0" fontId="1" fillId="0" borderId="9" xfId="1" applyFont="1" applyBorder="1" applyAlignment="1">
      <alignment horizontal="left" vertical="top" indent="1"/>
    </xf>
    <xf numFmtId="0" fontId="1" fillId="0" borderId="25" xfId="1" applyFont="1" applyBorder="1" applyAlignment="1">
      <alignment horizontal="left" vertical="top" indent="1"/>
    </xf>
    <xf numFmtId="0" fontId="1" fillId="0" borderId="32" xfId="1" applyFont="1" applyBorder="1" applyAlignment="1">
      <alignment horizontal="left" vertical="top" indent="1"/>
    </xf>
    <xf numFmtId="0" fontId="1" fillId="0" borderId="27" xfId="1" applyFont="1" applyBorder="1" applyAlignment="1">
      <alignment horizontal="left" vertical="top" indent="1"/>
    </xf>
    <xf numFmtId="0" fontId="0" fillId="4" borderId="30" xfId="0" applyFill="1" applyBorder="1" applyAlignment="1">
      <alignment horizontal="left" vertical="top" indent="1"/>
    </xf>
    <xf numFmtId="0" fontId="0" fillId="4" borderId="31" xfId="0" applyFill="1" applyBorder="1" applyAlignment="1">
      <alignment horizontal="left" vertical="top" indent="1"/>
    </xf>
    <xf numFmtId="0" fontId="0" fillId="4" borderId="18" xfId="0" applyFill="1" applyBorder="1" applyAlignment="1">
      <alignment horizontal="left" vertical="top" indent="1"/>
    </xf>
    <xf numFmtId="0" fontId="0" fillId="4" borderId="29" xfId="0" applyFill="1" applyBorder="1" applyAlignment="1">
      <alignment horizontal="left" vertical="top" indent="1"/>
    </xf>
    <xf numFmtId="0" fontId="0" fillId="4" borderId="9" xfId="0" applyFill="1" applyBorder="1" applyAlignment="1">
      <alignment horizontal="left" vertical="top" indent="1"/>
    </xf>
    <xf numFmtId="0" fontId="0" fillId="4" borderId="2" xfId="0" applyFill="1" applyBorder="1"/>
    <xf numFmtId="0" fontId="7" fillId="4" borderId="2" xfId="0" applyFont="1" applyFill="1" applyBorder="1" applyAlignment="1">
      <alignment horizontal="left" vertical="top" indent="1"/>
    </xf>
    <xf numFmtId="0" fontId="7" fillId="4" borderId="4" xfId="0" applyFont="1" applyFill="1" applyBorder="1" applyAlignment="1">
      <alignment horizontal="left" vertical="top" indent="1"/>
    </xf>
    <xf numFmtId="0" fontId="7" fillId="4" borderId="5" xfId="0" applyFont="1" applyFill="1" applyBorder="1" applyAlignment="1">
      <alignment horizontal="left" vertical="top" indent="1"/>
    </xf>
    <xf numFmtId="0" fontId="7" fillId="4" borderId="6" xfId="0" applyFont="1" applyFill="1" applyBorder="1" applyAlignment="1">
      <alignment horizontal="left" vertical="top" indent="1"/>
    </xf>
    <xf numFmtId="0" fontId="0" fillId="4" borderId="5" xfId="0" applyFill="1" applyBorder="1"/>
    <xf numFmtId="0" fontId="0" fillId="4" borderId="7" xfId="0" applyFill="1" applyBorder="1"/>
    <xf numFmtId="0" fontId="0" fillId="4" borderId="9" xfId="0" applyFill="1" applyBorder="1"/>
    <xf numFmtId="0" fontId="35" fillId="2" borderId="0" xfId="0" applyFont="1" applyFill="1" applyAlignment="1">
      <alignment vertical="top" wrapText="1"/>
    </xf>
    <xf numFmtId="0" fontId="36" fillId="4" borderId="5" xfId="0" applyFont="1" applyFill="1" applyBorder="1" applyAlignment="1">
      <alignment horizontal="left" vertical="top" indent="1"/>
    </xf>
    <xf numFmtId="0" fontId="36" fillId="4" borderId="6" xfId="0" applyFont="1" applyFill="1" applyBorder="1" applyAlignment="1">
      <alignment horizontal="left" vertical="top" indent="1"/>
    </xf>
    <xf numFmtId="0" fontId="7" fillId="4" borderId="9" xfId="0" applyFont="1" applyFill="1" applyBorder="1" applyAlignment="1">
      <alignment horizontal="left" vertical="top" indent="1"/>
    </xf>
    <xf numFmtId="0" fontId="35" fillId="0" borderId="1" xfId="0" applyFont="1" applyBorder="1"/>
    <xf numFmtId="0" fontId="1" fillId="4" borderId="6" xfId="1" applyFont="1" applyFill="1" applyBorder="1" applyAlignment="1">
      <alignment horizontal="left" indent="1"/>
    </xf>
    <xf numFmtId="0" fontId="7" fillId="4" borderId="7" xfId="0" applyFont="1" applyFill="1" applyBorder="1" applyAlignment="1">
      <alignment horizontal="left" vertical="top" indent="1"/>
    </xf>
    <xf numFmtId="0" fontId="0" fillId="4" borderId="14" xfId="0" applyFill="1" applyBorder="1" applyAlignment="1">
      <alignment horizontal="left" vertical="top" indent="1"/>
    </xf>
    <xf numFmtId="0" fontId="20" fillId="4" borderId="1" xfId="1" applyFont="1" applyFill="1" applyAlignment="1">
      <alignment horizontal="left" vertical="top" indent="1"/>
    </xf>
    <xf numFmtId="14" fontId="20" fillId="4" borderId="15" xfId="0" applyNumberFormat="1" applyFont="1" applyFill="1" applyBorder="1" applyAlignment="1">
      <alignment horizontal="left" vertical="top" indent="1"/>
    </xf>
    <xf numFmtId="0" fontId="20" fillId="4" borderId="15" xfId="1" applyFont="1" applyFill="1" applyBorder="1" applyAlignment="1">
      <alignment horizontal="left" vertical="top" indent="1"/>
    </xf>
    <xf numFmtId="0" fontId="0" fillId="4" borderId="16" xfId="0" applyFill="1" applyBorder="1" applyAlignment="1">
      <alignment horizontal="left" vertical="top" indent="1"/>
    </xf>
    <xf numFmtId="0" fontId="20" fillId="4" borderId="17" xfId="1" applyFont="1" applyFill="1" applyBorder="1" applyAlignment="1">
      <alignment horizontal="left" vertical="top" indent="1"/>
    </xf>
    <xf numFmtId="0" fontId="20" fillId="4" borderId="18" xfId="1" applyFont="1" applyFill="1" applyBorder="1" applyAlignment="1">
      <alignment horizontal="left" vertical="top" indent="1"/>
    </xf>
    <xf numFmtId="0" fontId="0" fillId="4" borderId="2" xfId="0" applyFill="1" applyBorder="1" applyAlignment="1">
      <alignment horizontal="left" vertical="top" indent="1"/>
    </xf>
    <xf numFmtId="0" fontId="0" fillId="4" borderId="5" xfId="0" applyFill="1" applyBorder="1" applyAlignment="1">
      <alignment horizontal="left" vertical="top" indent="1"/>
    </xf>
    <xf numFmtId="0" fontId="0" fillId="4" borderId="7" xfId="0" applyFill="1" applyBorder="1" applyAlignment="1">
      <alignment horizontal="left" vertical="top" indent="1"/>
    </xf>
    <xf numFmtId="1" fontId="0" fillId="4" borderId="12" xfId="0" applyNumberFormat="1" applyFill="1" applyBorder="1" applyAlignment="1">
      <alignment horizontal="left" indent="1"/>
    </xf>
    <xf numFmtId="0" fontId="0" fillId="4" borderId="22" xfId="0" applyFill="1" applyBorder="1" applyAlignment="1">
      <alignment horizontal="left" indent="1"/>
    </xf>
    <xf numFmtId="0" fontId="0" fillId="4" borderId="23" xfId="0" applyFill="1" applyBorder="1" applyAlignment="1">
      <alignment horizontal="left" indent="1"/>
    </xf>
    <xf numFmtId="0" fontId="0" fillId="4" borderId="24" xfId="0" applyFill="1" applyBorder="1" applyAlignment="1">
      <alignment horizontal="left" indent="1"/>
    </xf>
    <xf numFmtId="165" fontId="0" fillId="4" borderId="1" xfId="0" applyNumberFormat="1" applyFill="1" applyBorder="1" applyAlignment="1">
      <alignment horizontal="left" indent="1"/>
    </xf>
    <xf numFmtId="165" fontId="0" fillId="4" borderId="15" xfId="0" applyNumberFormat="1" applyFill="1" applyBorder="1" applyAlignment="1">
      <alignment horizontal="left" indent="1"/>
    </xf>
    <xf numFmtId="165" fontId="0" fillId="4" borderId="17" xfId="0" applyNumberFormat="1" applyFill="1" applyBorder="1" applyAlignment="1">
      <alignment horizontal="left" indent="1"/>
    </xf>
    <xf numFmtId="165" fontId="0" fillId="4" borderId="18" xfId="0" applyNumberFormat="1" applyFill="1" applyBorder="1" applyAlignment="1">
      <alignment horizontal="left" indent="1"/>
    </xf>
    <xf numFmtId="165" fontId="18" fillId="0" borderId="0" xfId="0" applyNumberFormat="1" applyFont="1" applyAlignment="1">
      <alignment horizontal="left" indent="1"/>
    </xf>
    <xf numFmtId="0" fontId="41" fillId="14" borderId="45" xfId="0" applyFont="1" applyFill="1" applyBorder="1"/>
    <xf numFmtId="0" fontId="41" fillId="14" borderId="46" xfId="0" applyFont="1" applyFill="1" applyBorder="1"/>
    <xf numFmtId="4" fontId="41" fillId="14" borderId="46" xfId="0" applyNumberFormat="1" applyFont="1" applyFill="1" applyBorder="1"/>
    <xf numFmtId="4" fontId="41" fillId="14" borderId="47" xfId="0" applyNumberFormat="1" applyFont="1" applyFill="1" applyBorder="1"/>
    <xf numFmtId="0" fontId="41" fillId="14" borderId="48" xfId="0" applyFont="1" applyFill="1" applyBorder="1"/>
    <xf numFmtId="0" fontId="41" fillId="14" borderId="49" xfId="0" applyFont="1" applyFill="1" applyBorder="1"/>
    <xf numFmtId="4" fontId="41" fillId="14" borderId="49" xfId="0" applyNumberFormat="1" applyFont="1" applyFill="1" applyBorder="1"/>
    <xf numFmtId="4" fontId="41" fillId="14" borderId="50" xfId="0" applyNumberFormat="1" applyFont="1" applyFill="1" applyBorder="1"/>
    <xf numFmtId="0" fontId="41" fillId="14" borderId="50" xfId="0" applyFont="1" applyFill="1" applyBorder="1"/>
    <xf numFmtId="0" fontId="42" fillId="14" borderId="51" xfId="0" applyFont="1" applyFill="1" applyBorder="1"/>
    <xf numFmtId="0" fontId="42" fillId="14" borderId="52" xfId="0" applyFont="1" applyFill="1" applyBorder="1"/>
    <xf numFmtId="3" fontId="42" fillId="14" borderId="52" xfId="0" applyNumberFormat="1" applyFont="1" applyFill="1" applyBorder="1"/>
    <xf numFmtId="4" fontId="42" fillId="14" borderId="53" xfId="0" applyNumberFormat="1" applyFont="1" applyFill="1" applyBorder="1"/>
    <xf numFmtId="4" fontId="0" fillId="0" borderId="0" xfId="0" applyNumberFormat="1"/>
    <xf numFmtId="0" fontId="4" fillId="0" borderId="1" xfId="1" applyFont="1" applyAlignment="1">
      <alignment horizontal="center" vertical="top" indent="1"/>
    </xf>
    <xf numFmtId="0" fontId="4" fillId="0" borderId="1" xfId="1" applyFont="1" applyAlignment="1">
      <alignment horizontal="center" vertical="top" wrapText="1" indent="1"/>
    </xf>
    <xf numFmtId="0" fontId="4" fillId="0" borderId="8" xfId="1" applyFont="1" applyBorder="1" applyAlignment="1">
      <alignment horizontal="center" vertical="top" indent="1"/>
    </xf>
  </cellXfs>
  <cellStyles count="6">
    <cellStyle name="Comma" xfId="5" builtinId="3"/>
    <cellStyle name="Hyperlink" xfId="3" builtinId="8"/>
    <cellStyle name="Normal" xfId="0" builtinId="0"/>
    <cellStyle name="Normal 2" xfId="1" xr:uid="{17CF9721-E73E-4AE5-B075-CE1A0741B6E3}"/>
    <cellStyle name="Normal 2 2" xfId="4" xr:uid="{12EC97F0-3013-4292-9BAF-7E27F91F1A11}"/>
    <cellStyle name="Normal 3" xfId="2" xr:uid="{9D414C65-45D3-4A52-80DC-5567AE916F8F}"/>
  </cellStyles>
  <dxfs count="1">
    <dxf>
      <fill>
        <patternFill patternType="none">
          <fgColor indexed="64"/>
          <bgColor indexed="65"/>
        </patternFill>
      </fill>
    </dxf>
  </dxfs>
  <tableStyles count="1" defaultTableStyle="TableStyleMedium2" defaultPivotStyle="PivotStyleLight16">
    <tableStyle name="Invisible" pivot="0" table="0" count="0" xr9:uid="{A8A6366C-9F6F-4505-9AD2-964E43E2337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25" Type="http://schemas.microsoft.com/office/2017/10/relationships/person" Target="persons/person.xml"/><Relationship Id="rId2" Type="http://schemas.openxmlformats.org/officeDocument/2006/relationships/worksheet" Target="worksheets/sheet2.xml"/><Relationship Id="rId20" Type="http://customschemas.google.com/relationships/workbookmetadata" Target="metadata"/><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styles" Target="styles.xml"/><Relationship Id="rId27" Type="http://schemas.openxmlformats.org/officeDocument/2006/relationships/customXml" Target="../customXml/item1.xml"/></Relationships>
</file>

<file path=xl/documenttasks/documenttask1.xml><?xml version="1.0" encoding="utf-8"?>
<Tasks xmlns="http://schemas.microsoft.com/office/tasks/2019/documenttasks">
  <Task id="{869B1E17-B3DD-4C32-92FF-7FA45BA0A7D6}">
    <Anchor>
      <Comment id="{8527E4AA-F083-4D3D-A81E-00C16789268D}"/>
    </Anchor>
    <History>
      <Event time="2024-07-08T16:05:03.27" id="{1A2EC02A-F64B-46E6-B97D-67EEBFF640AB}">
        <Attribution userId="S::kbautista@verra.org::08382115-ed81-42db-9b49-38bace211803" userName="Karina Bautista" userProvider="AD"/>
        <Anchor>
          <Comment id="{8527E4AA-F083-4D3D-A81E-00C16789268D}"/>
        </Anchor>
        <Create/>
      </Event>
      <Event time="2024-07-08T16:05:03.27" id="{4209834B-912A-4515-A699-BAE33B8E46F0}">
        <Attribution userId="S::kbautista@verra.org::08382115-ed81-42db-9b49-38bace211803" userName="Karina Bautista" userProvider="AD"/>
        <Anchor>
          <Comment id="{8527E4AA-F083-4D3D-A81E-00C16789268D}"/>
        </Anchor>
        <Assign userId="S::WAshiq@verra.org::9950bf34-9d94-42bb-9917-0bb40a16f829" userName="Waqar Ashiq" userProvider="AD"/>
      </Event>
      <Event time="2024-07-08T16:05:03.27" id="{A8F407CE-F115-474A-B641-29A6BD1715E7}">
        <Attribution userId="S::kbautista@verra.org::08382115-ed81-42db-9b49-38bace211803" userName="Karina Bautista" userProvider="AD"/>
        <Anchor>
          <Comment id="{8527E4AA-F083-4D3D-A81E-00C16789268D}"/>
        </Anchor>
        <SetTitle title="@Waqar Ashiq This is correct but Y25 should be the sum of all feedstocks (t) in all applications (k) Mtpky. All then is divided by the facility we are calculating (this equation is done per facility)"/>
      </Event>
    </History>
  </Task>
  <Task id="{B94BDB34-DA78-4E28-A552-AD4AF8547DBC}">
    <Anchor>
      <Comment id="{605BD489-4EB2-4EF5-9F05-80902E05D6DD}"/>
    </Anchor>
    <History>
      <Event time="2024-07-08T16:05:03.27" id="{1A2EC02A-F64B-46E6-B97D-67EEBFF640AB}">
        <Attribution userId="S::kbautista@verra.org::08382115-ed81-42db-9b49-38bace211803" userName="Karina Bautista" userProvider="AD"/>
        <Anchor>
          <Comment id="{605BD489-4EB2-4EF5-9F05-80902E05D6DD}"/>
        </Anchor>
        <Create/>
      </Event>
      <Event time="2024-07-08T16:05:03.27" id="{4209834B-912A-4515-A699-BAE33B8E46F0}">
        <Attribution userId="S::kbautista@verra.org::08382115-ed81-42db-9b49-38bace211803" userName="Karina Bautista" userProvider="AD"/>
        <Anchor>
          <Comment id="{605BD489-4EB2-4EF5-9F05-80902E05D6DD}"/>
        </Anchor>
        <Assign userId="S::WAshiq@verra.org::9950bf34-9d94-42bb-9917-0bb40a16f829" userName="Waqar Ashiq" userProvider="AD"/>
      </Event>
      <Event time="2024-07-08T16:05:03.27" id="{A8F407CE-F115-474A-B641-29A6BD1715E7}">
        <Attribution userId="S::kbautista@verra.org::08382115-ed81-42db-9b49-38bace211803" userName="Karina Bautista" userProvider="AD"/>
        <Anchor>
          <Comment id="{605BD489-4EB2-4EF5-9F05-80902E05D6DD}"/>
        </Anchor>
        <SetTitle title="@Waqar Ashiq This is correct but Y25 should be the sum of all feedstocks (t) in all applications (k) Mtpky. All then is divided by the facility we are calculating (this equation is done per facility)"/>
      </Event>
    </History>
  </Task>
  <Task id="{B3DC835A-E5D5-4C51-B21C-3052D4B8F7CB}">
    <Anchor>
      <Comment id="{7F5EE69A-F91A-45DC-B246-49FD84AAFC0D}"/>
    </Anchor>
    <History>
      <Event time="2024-07-08T16:05:03.27" id="{1A2EC02A-F64B-46E6-B97D-67EEBFF640AB}">
        <Attribution userId="S::kbautista@verra.org::08382115-ed81-42db-9b49-38bace211803" userName="Karina Bautista" userProvider="AD"/>
        <Anchor>
          <Comment id="{7F5EE69A-F91A-45DC-B246-49FD84AAFC0D}"/>
        </Anchor>
        <Create/>
      </Event>
      <Event time="2024-07-08T16:05:03.27" id="{4209834B-912A-4515-A699-BAE33B8E46F0}">
        <Attribution userId="S::kbautista@verra.org::08382115-ed81-42db-9b49-38bace211803" userName="Karina Bautista" userProvider="AD"/>
        <Anchor>
          <Comment id="{7F5EE69A-F91A-45DC-B246-49FD84AAFC0D}"/>
        </Anchor>
        <Assign userId="S::WAshiq@verra.org::9950bf34-9d94-42bb-9917-0bb40a16f829" userName="Waqar Ashiq" userProvider="AD"/>
      </Event>
      <Event time="2024-07-08T16:05:03.27" id="{A8F407CE-F115-474A-B641-29A6BD1715E7}">
        <Attribution userId="S::kbautista@verra.org::08382115-ed81-42db-9b49-38bace211803" userName="Karina Bautista" userProvider="AD"/>
        <Anchor>
          <Comment id="{7F5EE69A-F91A-45DC-B246-49FD84AAFC0D}"/>
        </Anchor>
        <SetTitle title="@Waqar Ashiq This is correct but Y25 should be the sum of all feedstocks (t) in all applications (k) Mtpky. All then is divided by the facility we are calculating (this equation is done per facility)"/>
      </Event>
    </History>
  </Task>
  <Task id="{535FDA6E-CFDB-490A-AFF1-21D08096DC9F}">
    <Anchor>
      <Comment id="{A10D2BD7-ED16-4051-9FA4-0573DE04713F}"/>
    </Anchor>
    <History>
      <Event time="2024-07-08T16:05:03.27" id="{1A2EC02A-F64B-46E6-B97D-67EEBFF640AB}">
        <Attribution userId="S::kbautista@verra.org::08382115-ed81-42db-9b49-38bace211803" userName="Karina Bautista" userProvider="AD"/>
        <Anchor>
          <Comment id="{A10D2BD7-ED16-4051-9FA4-0573DE04713F}"/>
        </Anchor>
        <Create/>
      </Event>
      <Event time="2024-07-08T16:05:03.27" id="{4209834B-912A-4515-A699-BAE33B8E46F0}">
        <Attribution userId="S::kbautista@verra.org::08382115-ed81-42db-9b49-38bace211803" userName="Karina Bautista" userProvider="AD"/>
        <Anchor>
          <Comment id="{A10D2BD7-ED16-4051-9FA4-0573DE04713F}"/>
        </Anchor>
        <Assign userId="S::WAshiq@verra.org::9950bf34-9d94-42bb-9917-0bb40a16f829" userName="Waqar Ashiq" userProvider="AD"/>
      </Event>
      <Event time="2024-07-08T16:05:03.27" id="{A8F407CE-F115-474A-B641-29A6BD1715E7}">
        <Attribution userId="S::kbautista@verra.org::08382115-ed81-42db-9b49-38bace211803" userName="Karina Bautista" userProvider="AD"/>
        <Anchor>
          <Comment id="{A10D2BD7-ED16-4051-9FA4-0573DE04713F}"/>
        </Anchor>
        <SetTitle title="@Waqar Ashiq This is correct but Y25 should be the sum of all feedstocks (t) in all applications (k) Mtpky. All then is divided by the facility we are calculating (this equation is done per facility)"/>
      </Event>
    </History>
  </Task>
  <Task id="{5B9A1D80-C823-4483-999B-83E53DED0F3F}">
    <Anchor>
      <Comment id="{C9CE89D8-72A1-4D10-A2BA-9648428022E4}"/>
    </Anchor>
    <History>
      <Event time="2024-07-08T16:05:03.27" id="{1A2EC02A-F64B-46E6-B97D-67EEBFF640AB}">
        <Attribution userId="S::kbautista@verra.org::08382115-ed81-42db-9b49-38bace211803" userName="Karina Bautista" userProvider="AD"/>
        <Anchor>
          <Comment id="{C9CE89D8-72A1-4D10-A2BA-9648428022E4}"/>
        </Anchor>
        <Create/>
      </Event>
      <Event time="2024-07-08T16:05:03.27" id="{4209834B-912A-4515-A699-BAE33B8E46F0}">
        <Attribution userId="S::kbautista@verra.org::08382115-ed81-42db-9b49-38bace211803" userName="Karina Bautista" userProvider="AD"/>
        <Anchor>
          <Comment id="{C9CE89D8-72A1-4D10-A2BA-9648428022E4}"/>
        </Anchor>
        <Assign userId="S::WAshiq@verra.org::9950bf34-9d94-42bb-9917-0bb40a16f829" userName="Waqar Ashiq" userProvider="AD"/>
      </Event>
      <Event time="2024-07-08T16:05:03.27" id="{A8F407CE-F115-474A-B641-29A6BD1715E7}">
        <Attribution userId="S::kbautista@verra.org::08382115-ed81-42db-9b49-38bace211803" userName="Karina Bautista" userProvider="AD"/>
        <Anchor>
          <Comment id="{C9CE89D8-72A1-4D10-A2BA-9648428022E4}"/>
        </Anchor>
        <SetTitle title="@Waqar Ashiq This is correct but Y25 should be the sum of all feedstocks (t) in all applications (k) Mtpky. All then is divided by the facility we are calculating (this equation is done per facility)"/>
      </Event>
    </History>
  </Task>
  <Task id="{787B54CC-D49E-4D94-8BBE-26FED2B582AB}">
    <Anchor>
      <Comment id="{E6ADAF33-2861-4620-9D1F-9D73A1268CEB}"/>
    </Anchor>
    <History>
      <Event time="2024-07-08T16:05:03.27" id="{1A2EC02A-F64B-46E6-B97D-67EEBFF640AB}">
        <Attribution userId="S::kbautista@verra.org::08382115-ed81-42db-9b49-38bace211803" userName="Karina Bautista" userProvider="AD"/>
        <Anchor>
          <Comment id="{E6ADAF33-2861-4620-9D1F-9D73A1268CEB}"/>
        </Anchor>
        <Create/>
      </Event>
      <Event time="2024-07-08T16:05:03.27" id="{4209834B-912A-4515-A699-BAE33B8E46F0}">
        <Attribution userId="S::kbautista@verra.org::08382115-ed81-42db-9b49-38bace211803" userName="Karina Bautista" userProvider="AD"/>
        <Anchor>
          <Comment id="{E6ADAF33-2861-4620-9D1F-9D73A1268CEB}"/>
        </Anchor>
        <Assign userId="S::WAshiq@verra.org::9950bf34-9d94-42bb-9917-0bb40a16f829" userName="Waqar Ashiq" userProvider="AD"/>
      </Event>
      <Event time="2024-07-08T16:05:03.27" id="{A8F407CE-F115-474A-B641-29A6BD1715E7}">
        <Attribution userId="S::kbautista@verra.org::08382115-ed81-42db-9b49-38bace211803" userName="Karina Bautista" userProvider="AD"/>
        <Anchor>
          <Comment id="{E6ADAF33-2861-4620-9D1F-9D73A1268CEB}"/>
        </Anchor>
        <SetTitle title="@Waqar Ashiq This is correct but Y25 should be the sum of all feedstocks (t) in all applications (k) Mtpky. All then is divided by the facility we are calculating (this equation is done per facility)"/>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45</xdr:col>
      <xdr:colOff>247650</xdr:colOff>
      <xdr:row>0</xdr:row>
      <xdr:rowOff>66675</xdr:rowOff>
    </xdr:from>
    <xdr:to>
      <xdr:col>63</xdr:col>
      <xdr:colOff>38100</xdr:colOff>
      <xdr:row>27</xdr:row>
      <xdr:rowOff>228600</xdr:rowOff>
    </xdr:to>
    <xdr:pic>
      <xdr:nvPicPr>
        <xdr:cNvPr id="3" name="Picture 2">
          <a:extLst>
            <a:ext uri="{FF2B5EF4-FFF2-40B4-BE49-F238E27FC236}">
              <a16:creationId xmlns:a16="http://schemas.microsoft.com/office/drawing/2014/main" id="{71624D17-1B3B-3D62-2AF5-4719B758E367}"/>
            </a:ext>
          </a:extLst>
        </xdr:cNvPr>
        <xdr:cNvPicPr>
          <a:picLocks noChangeAspect="1"/>
        </xdr:cNvPicPr>
      </xdr:nvPicPr>
      <xdr:blipFill>
        <a:blip xmlns:r="http://schemas.openxmlformats.org/officeDocument/2006/relationships" r:embed="rId1"/>
        <a:stretch>
          <a:fillRect/>
        </a:stretch>
      </xdr:blipFill>
      <xdr:spPr>
        <a:xfrm>
          <a:off x="34528125" y="66675"/>
          <a:ext cx="10906125" cy="58959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Waqar Ashiq" id="{BB9EFB09-633C-49C9-909E-528F39238DA3}" userId="WAshiq@verra.org" providerId="PeoplePicker"/>
  <person displayName="Karina Bautista" id="{F2268A3C-8263-471D-A5BB-8F4EDF960117}" userId="kbautista@verra.org" providerId="PeoplePicker"/>
  <person displayName="Waqar Ashiq" id="{5D801C7B-01F1-427C-AE70-72FBE99F72F9}" userId="S::washiq@verra.org::9950bf34-9d94-42bb-9917-0bb40a16f829" providerId="AD"/>
  <person displayName="Karina Bautista" id="{A97FB890-9E11-4C8E-A517-164566BBF5AA}" userId="S::kbautista@verra.org::08382115-ed81-42db-9b49-38bace211803"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9" dT="2024-06-03T20:18:46.96" personId="{5D801C7B-01F1-427C-AE70-72FBE99F72F9}" id="{6AE4CAB0-A418-469C-AF41-A5703EE058F5}">
    <text>parameter description under equation 2 in VM0044 shows unit as percent, however, this is aded as proportion in calculation engine for accurate calculations. Calculation engine needs update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AB34" dT="2024-07-05T21:38:00.74" personId="{5D801C7B-01F1-427C-AE70-72FBE99F72F9}" id="{0627482E-C602-40B6-B6FC-A55A6DEF21A4}">
    <text xml:space="preserve">@Karina Bautista what would be difference between Mpy and Mt,k,p,y in terms calculation. How do we treat these parameters in this data set. This is same data set as you shared and i am running test for multiple years, multiple biochar types, order change, and case sensitivity as we discussed last time. 
Mpy is total mass per facility, and Mtkpy is mass per facility per biochar type. However, when calculating in this table, how do we fix the formulas for this? </text>
    <mentions>
      <mention mentionpersonId="{F2268A3C-8263-471D-A5BB-8F4EDF960117}" mentionId="{A187B7BF-53F2-4EB1-B9C1-F821AB664A7D}" startIndex="0" length="16"/>
    </mentions>
  </threadedComment>
  <threadedComment ref="AB34" dT="2024-07-08T15:30:29.21" personId="{A97FB890-9E11-4C8E-A517-164566BBF5AA}" id="{620240BD-214D-4DFA-AA24-0161D1679C5B}" parentId="{0627482E-C602-40B6-B6FC-A55A6DEF21A4}">
    <text xml:space="preserve">I am not sure Waqar, but the way I see it there is no Mpy value per feedstock as it is reflected here on this table. Mpy is the sum of all mass on dry weight basis (all feedstocks and all applications) per facility. Thus, there should be just 1 number per facility, not per feedstock type.  Mpy is the sum of all production in a facility (all types of feedstocks and all types of application). It is only used in Eq 3 (high tech)  and Eq7 (low tech),  to determine project emissions. The sum of all feedstock types and applications is divided per Mpy (the sum of all per facility). </text>
  </threadedComment>
  <threadedComment ref="AB34" dT="2024-07-08T15:40:41.37" personId="{5D801C7B-01F1-427C-AE70-72FBE99F72F9}" id="{1F812F46-5A5D-4ECB-AB7E-B28321FDD2AF}" parentId="{0627482E-C602-40B6-B6FC-A55A6DEF21A4}">
    <text xml:space="preserve">@Karina Bautista i updated the formula, please check it now
</text>
    <mentions>
      <mention mentionpersonId="{F2268A3C-8263-471D-A5BB-8F4EDF960117}" mentionId="{2E6E6330-83DB-4371-B703-E594EF2F32D4}" startIndex="0" length="16"/>
    </mentions>
  </threadedComment>
  <threadedComment ref="AF35" dT="2024-07-08T16:04:48.81" personId="{A97FB890-9E11-4C8E-A517-164566BBF5AA}" id="{605BD489-4EB2-4EF5-9F05-80902E05D6DD}">
    <text>@Waqar Ashiq This is correct but Y25 should be the sum of all feedstocks (t) in all applications (k) Mtpky. All then is divided by the facility we are calculating (this equation is done per facility)</text>
    <mentions>
      <mention mentionpersonId="{BB9EFB09-633C-49C9-909E-528F39238DA3}" mentionId="{1885DEFA-E99C-4591-BF5E-D4140E45FD91}" startIndex="0" length="12"/>
    </mentions>
  </threadedComment>
  <threadedComment ref="AF35" dT="2024-07-08T16:07:43.88" personId="{5D801C7B-01F1-427C-AE70-72FBE99F72F9}" id="{117E0DB2-821D-4D7C-905D-BF756C10D391}" parentId="{605BD489-4EB2-4EF5-9F05-80902E05D6DD}">
    <text xml:space="preserve">If we modify it and sum for feedstocks, then it will be same value as Mp,y. Right? </text>
  </threadedComment>
  <threadedComment ref="AF35" dT="2024-07-08T17:06:00.71" personId="{A97FB890-9E11-4C8E-A517-164566BBF5AA}" id="{915B14A7-2BD6-47AC-B134-E7998EC382AD}" parentId="{605BD489-4EB2-4EF5-9F05-80902E05D6DD}">
    <text>In this case yes as we only have one facility and one application type</text>
  </threadedComment>
  <threadedComment ref="AF36" dT="2024-07-08T16:04:48.81" personId="{A97FB890-9E11-4C8E-A517-164566BBF5AA}" id="{C9CE89D8-72A1-4D10-A2BA-9648428022E4}">
    <text>@Waqar Ashiq This is correct but Y25 should be the sum of all feedstocks (t) in all applications (k) Mtpky. All then is divided by the facility we are calculating (this equation is done per facility)</text>
    <mentions>
      <mention mentionpersonId="{BB9EFB09-633C-49C9-909E-528F39238DA3}" mentionId="{B04AAA04-12C1-432A-92EC-6F073CA6D796}" startIndex="0" length="12"/>
    </mentions>
  </threadedComment>
  <threadedComment ref="AF36" dT="2024-07-08T16:07:43.88" personId="{5D801C7B-01F1-427C-AE70-72FBE99F72F9}" id="{977B801D-EA2F-451D-8C9C-64F7389A571A}" parentId="{C9CE89D8-72A1-4D10-A2BA-9648428022E4}">
    <text xml:space="preserve">If we modify it and sum for feedstocks, then it will be same value as Mp,y. Right? </text>
  </threadedComment>
  <threadedComment ref="AF36" dT="2024-07-08T17:06:00.71" personId="{A97FB890-9E11-4C8E-A517-164566BBF5AA}" id="{320143E6-0FFC-42B9-B446-65A949F9A6CB}" parentId="{C9CE89D8-72A1-4D10-A2BA-9648428022E4}">
    <text>In this case yes as we only have one facility and one application type</text>
  </threadedComment>
  <threadedComment ref="AF37" dT="2024-07-08T16:04:48.81" personId="{A97FB890-9E11-4C8E-A517-164566BBF5AA}" id="{8527E4AA-F083-4D3D-A81E-00C16789268D}">
    <text>@Waqar Ashiq This is correct but Y25 should be the sum of all feedstocks (t) in all applications (k) Mtpky. All then is divided by the facility we are calculating (this equation is done per facility)</text>
    <mentions>
      <mention mentionpersonId="{BB9EFB09-633C-49C9-909E-528F39238DA3}" mentionId="{CC45588B-2B8C-4DC5-94DC-72C5C84D882B}" startIndex="0" length="12"/>
    </mentions>
  </threadedComment>
  <threadedComment ref="AF37" dT="2024-07-08T16:07:43.88" personId="{5D801C7B-01F1-427C-AE70-72FBE99F72F9}" id="{37BB256A-16BB-4153-BA32-08A28D4ED5E4}" parentId="{8527E4AA-F083-4D3D-A81E-00C16789268D}">
    <text xml:space="preserve">If we modify it and sum for feedstocks, then it will be same value as Mp,y. Right? </text>
  </threadedComment>
  <threadedComment ref="AF37" dT="2024-07-08T17:06:00.71" personId="{A97FB890-9E11-4C8E-A517-164566BBF5AA}" id="{3EEE9246-EBD8-49C5-AFBD-902C444403E1}" parentId="{8527E4AA-F083-4D3D-A81E-00C16789268D}">
    <text>In this case yes as we only have one facility and one application type</text>
  </threadedComment>
  <threadedComment ref="AF39" dT="2024-07-08T16:04:48.81" personId="{A97FB890-9E11-4C8E-A517-164566BBF5AA}" id="{E6ADAF33-2861-4620-9D1F-9D73A1268CEB}">
    <text>@Waqar Ashiq This is correct but Y25 should be the sum of all feedstocks (t) in all applications (k) Mtpky. All then is divided by the facility we are calculating (this equation is done per facility)</text>
    <mentions>
      <mention mentionpersonId="{BB9EFB09-633C-49C9-909E-528F39238DA3}" mentionId="{501E864B-58D2-4BFD-8EF4-4476A0B63E98}" startIndex="0" length="12"/>
    </mentions>
  </threadedComment>
  <threadedComment ref="AF39" dT="2024-07-08T16:07:43.88" personId="{5D801C7B-01F1-427C-AE70-72FBE99F72F9}" id="{191BD5BD-2A9E-40E0-AF1F-4E373B1E52A2}" parentId="{E6ADAF33-2861-4620-9D1F-9D73A1268CEB}">
    <text xml:space="preserve">If we modify it and sum for feedstocks, then it will be same value as Mp,y. Right? </text>
  </threadedComment>
  <threadedComment ref="AF39" dT="2024-07-08T17:06:00.71" personId="{A97FB890-9E11-4C8E-A517-164566BBF5AA}" id="{45900714-93ED-48C1-84AA-08FC5EAA6C8E}" parentId="{E6ADAF33-2861-4620-9D1F-9D73A1268CEB}">
    <text>In this case yes as we only have one facility and one application type</text>
  </threadedComment>
  <threadedComment ref="AF40" dT="2024-07-08T16:04:48.81" personId="{A97FB890-9E11-4C8E-A517-164566BBF5AA}" id="{7F5EE69A-F91A-45DC-B246-49FD84AAFC0D}">
    <text>@Waqar Ashiq This is correct but Y25 should be the sum of all feedstocks (t) in all applications (k) Mtpky. All then is divided by the facility we are calculating (this equation is done per facility)</text>
    <mentions>
      <mention mentionpersonId="{BB9EFB09-633C-49C9-909E-528F39238DA3}" mentionId="{5C59B090-1D94-4A47-B606-B58F57199D93}" startIndex="0" length="12"/>
    </mentions>
  </threadedComment>
  <threadedComment ref="AF40" dT="2024-07-08T16:07:43.88" personId="{5D801C7B-01F1-427C-AE70-72FBE99F72F9}" id="{51E959F4-34FF-4689-ADD9-47430AEF28AD}" parentId="{7F5EE69A-F91A-45DC-B246-49FD84AAFC0D}">
    <text xml:space="preserve">If we modify it and sum for feedstocks, then it will be same value as Mp,y. Right? </text>
  </threadedComment>
  <threadedComment ref="AF40" dT="2024-07-08T17:06:00.71" personId="{A97FB890-9E11-4C8E-A517-164566BBF5AA}" id="{B4AEEDAB-EA60-4025-B019-26AAAAFC122A}" parentId="{7F5EE69A-F91A-45DC-B246-49FD84AAFC0D}">
    <text>In this case yes as we only have one facility and one application type</text>
  </threadedComment>
  <threadedComment ref="AF41" dT="2024-07-08T16:04:48.81" personId="{A97FB890-9E11-4C8E-A517-164566BBF5AA}" id="{A10D2BD7-ED16-4051-9FA4-0573DE04713F}">
    <text>@Waqar Ashiq This is correct but Y25 should be the sum of all feedstocks (t) in all applications (k) Mtpky. All then is divided by the facility we are calculating (this equation is done per facility)</text>
    <mentions>
      <mention mentionpersonId="{BB9EFB09-633C-49C9-909E-528F39238DA3}" mentionId="{171A6A52-DB7C-47C4-93FC-1A35E45C7D48}" startIndex="0" length="12"/>
    </mentions>
  </threadedComment>
  <threadedComment ref="AF41" dT="2024-07-08T16:07:43.88" personId="{5D801C7B-01F1-427C-AE70-72FBE99F72F9}" id="{37222065-90F1-4319-A233-5160F53B1247}" parentId="{A10D2BD7-ED16-4051-9FA4-0573DE04713F}">
    <text xml:space="preserve">If we modify it and sum for feedstocks, then it will be same value as Mp,y. Right? </text>
  </threadedComment>
  <threadedComment ref="AF41" dT="2024-07-08T17:06:00.71" personId="{A97FB890-9E11-4C8E-A517-164566BBF5AA}" id="{2E53FEE1-F877-417E-945F-A9377A6773DE}" parentId="{A10D2BD7-ED16-4051-9FA4-0573DE04713F}">
    <text>In this case yes as we only have one facility and one application type</text>
  </threadedComment>
  <threadedComment ref="AB62" dT="2024-07-05T21:38:00.74" personId="{5D801C7B-01F1-427C-AE70-72FBE99F72F9}" id="{21722E7E-5B84-46B4-9474-C9A0FF7DE2DD}">
    <text xml:space="preserve">@Karina Bautista what would be difference between Mpy and Mt,k,p,y in terms calculation. How do we treat these parameters in this data set. This is same data set as you shared and i am running test for multiple years, multiple biochar types, order change, and case sensitivity as we discussed last time. 
Mpy is total mass per facility, and Mtkpy is mass per facility per biochar type. However, when calculating in this table, how do we fix the formulas for this? </text>
    <mentions>
      <mention mentionpersonId="{F2268A3C-8263-471D-A5BB-8F4EDF960117}" mentionId="{502ABCA6-8429-4724-88E2-F99DF5B647F0}" startIndex="0" length="16"/>
    </mentions>
  </threadedComment>
  <threadedComment ref="AB62" dT="2024-07-08T15:30:29.21" personId="{A97FB890-9E11-4C8E-A517-164566BBF5AA}" id="{AAD1B6E7-755B-42D8-BD90-9E9F640DEA79}" parentId="{21722E7E-5B84-46B4-9474-C9A0FF7DE2DD}">
    <text xml:space="preserve">I am not sure Waqar, but the way I see it there is no Mpy value per feedstock as it is reflected here on this table. Mpy is the sum of all mass on dry weight basis (all feedstocks and all applications) per facility. Thus, there should be just 1 number per facility, not per feedstock type.  Mpy is the sum of all production in a facility (all types of feedstocks and all types of application). It is only used in Eq 3 (high tech)  and Eq7 (low tech),  to determine project emissions. The sum of all feedstock types and applications is divided per Mpy (the sum of all per facility). </text>
  </threadedComment>
  <threadedComment ref="AB62" dT="2024-07-08T15:40:41.37" personId="{5D801C7B-01F1-427C-AE70-72FBE99F72F9}" id="{0B6CF9EC-4E3E-41E6-AC56-77C291871BFC}" parentId="{21722E7E-5B84-46B4-9474-C9A0FF7DE2DD}">
    <text xml:space="preserve">@Karina Bautista i updated the formula, please check it now
</text>
    <mentions>
      <mention mentionpersonId="{F2268A3C-8263-471D-A5BB-8F4EDF960117}" mentionId="{F64846FB-8D77-4C3C-84E8-F692D05B0043}" startIndex="0" length="16"/>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microsoft.com/office/2019/04/relationships/documenttask" Target="../documenttasks/documenttask1.xml"/><Relationship Id="rId3" Type="http://schemas.openxmlformats.org/officeDocument/2006/relationships/hyperlink" Target="../../../../../../../../../../../../../../:x:/s/InnovationsTeam/EcXFNTEPhpZOmNBPIQslyOgB0WcO6BThRslFZ45MqWAe1w?e=ATbcKD" TargetMode="External"/><Relationship Id="rId7" Type="http://schemas.microsoft.com/office/2017/10/relationships/threadedComment" Target="../threadedComments/threadedComment2.xml"/><Relationship Id="rId2" Type="http://schemas.openxmlformats.org/officeDocument/2006/relationships/hyperlink" Target="https://projecthub-uat.verra.org/project-description/1435" TargetMode="External"/><Relationship Id="rId1" Type="http://schemas.openxmlformats.org/officeDocument/2006/relationships/hyperlink" Target="../../../../../../../../../../../../../../:x:/r/sites/InnovationsTeam/_layouts/15/Doc.aspx?sourcedoc=%7BFD916769-DFC5-44A0-8356-B78809D9980F%7D&amp;file=ER%20Sheet.xlsx&amp;action=default&amp;mobileredirect=true"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x:/s/InnovationsTeam/EcXFNTEPhpZOmNBPIQslyOgB0WcO6BThRslFZ45MqWAe1w?e=ATbcKD" TargetMode="External"/><Relationship Id="rId7" Type="http://schemas.openxmlformats.org/officeDocument/2006/relationships/hyperlink" Target="https://projecthub-uat2.verra.org/project-description/13" TargetMode="External"/><Relationship Id="rId2" Type="http://schemas.openxmlformats.org/officeDocument/2006/relationships/hyperlink" Target="https://projecthub-uat.verra.org/project-description/1435" TargetMode="External"/><Relationship Id="rId1" Type="http://schemas.openxmlformats.org/officeDocument/2006/relationships/hyperlink" Target="../../../../../../../../../../../../../../:x:/r/sites/InnovationsTeam/_layouts/15/Doc.aspx?sourcedoc=%7BFD916769-DFC5-44A0-8356-B78809D9980F%7D&amp;file=ER%20Sheet.xlsx&amp;action=default&amp;mobileredirect=true" TargetMode="External"/><Relationship Id="rId6" Type="http://schemas.openxmlformats.org/officeDocument/2006/relationships/hyperlink" Target="https://projecthub-uat2.verra.org/project-description/13" TargetMode="External"/><Relationship Id="rId5" Type="http://schemas.openxmlformats.org/officeDocument/2006/relationships/hyperlink" Target="https://projecthub-uat.verra.org/project-description/1601" TargetMode="External"/><Relationship Id="rId4" Type="http://schemas.openxmlformats.org/officeDocument/2006/relationships/hyperlink" Target="https://projecthub-uat.verra.org/project-description/160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x:/s/InnovationsTeam/EcXFNTEPhpZOmNBPIQslyOgB0WcO6BThRslFZ45MqWAe1w?e=ATbcKD" TargetMode="External"/><Relationship Id="rId7" Type="http://schemas.openxmlformats.org/officeDocument/2006/relationships/hyperlink" Target="https://projecthub-uat2.verra.org/project-description/13" TargetMode="External"/><Relationship Id="rId2" Type="http://schemas.openxmlformats.org/officeDocument/2006/relationships/hyperlink" Target="https://projecthub-uat.verra.org/project-description/1435" TargetMode="External"/><Relationship Id="rId1" Type="http://schemas.openxmlformats.org/officeDocument/2006/relationships/hyperlink" Target="../../../../../../../../../../../../../../:x:/r/sites/InnovationsTeam/_layouts/15/Doc.aspx?sourcedoc=%7BFD916769-DFC5-44A0-8356-B78809D9980F%7D&amp;file=ER%20Sheet.xlsx&amp;action=default&amp;mobileredirect=true" TargetMode="External"/><Relationship Id="rId6" Type="http://schemas.openxmlformats.org/officeDocument/2006/relationships/hyperlink" Target="https://projecthub-uat2.verra.org/project-description/13" TargetMode="External"/><Relationship Id="rId5" Type="http://schemas.openxmlformats.org/officeDocument/2006/relationships/hyperlink" Target="https://projecthub-uat.verra.org/project-description/1601" TargetMode="External"/><Relationship Id="rId4" Type="http://schemas.openxmlformats.org/officeDocument/2006/relationships/hyperlink" Target="https://projecthub-uat.verra.org/project-description/1601"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82A82-FB7F-40B0-BB1F-037027131BEA}">
  <sheetPr filterMode="1"/>
  <dimension ref="A1:I44"/>
  <sheetViews>
    <sheetView zoomScaleNormal="100" workbookViewId="0">
      <pane ySplit="1" topLeftCell="A4" activePane="bottomLeft" state="frozen"/>
      <selection pane="bottomLeft" activeCell="C23" sqref="C23"/>
    </sheetView>
  </sheetViews>
  <sheetFormatPr baseColWidth="10" defaultColWidth="9.1640625" defaultRowHeight="15"/>
  <cols>
    <col min="1" max="1" width="6.1640625" style="146" customWidth="1"/>
    <col min="2" max="2" width="77.5" style="146" customWidth="1"/>
    <col min="3" max="3" width="19.5" style="146" customWidth="1"/>
    <col min="4" max="4" width="9.1640625" style="146" bestFit="1" customWidth="1"/>
    <col min="5" max="5" width="22.6640625" style="146" customWidth="1"/>
    <col min="6" max="6" width="25.33203125" style="146" customWidth="1"/>
    <col min="7" max="7" width="32.83203125" style="146" customWidth="1"/>
    <col min="8" max="8" width="26.5" style="146" customWidth="1"/>
    <col min="9" max="9" width="20.1640625" style="146" bestFit="1" customWidth="1"/>
    <col min="10" max="16384" width="9.1640625" style="146"/>
  </cols>
  <sheetData>
    <row r="1" spans="1:9" ht="16">
      <c r="A1" s="300" t="s">
        <v>0</v>
      </c>
      <c r="B1" s="301" t="s">
        <v>1</v>
      </c>
      <c r="C1" s="301" t="s">
        <v>2</v>
      </c>
      <c r="D1" s="301" t="s">
        <v>3</v>
      </c>
      <c r="E1" s="302" t="s">
        <v>4</v>
      </c>
      <c r="F1" s="302" t="s">
        <v>5</v>
      </c>
      <c r="G1" s="300" t="s">
        <v>6</v>
      </c>
      <c r="H1" s="300" t="s">
        <v>7</v>
      </c>
      <c r="I1" s="300" t="s">
        <v>8</v>
      </c>
    </row>
    <row r="2" spans="1:9" ht="17" hidden="1">
      <c r="A2" s="248">
        <v>1</v>
      </c>
      <c r="B2" s="252" t="s">
        <v>9</v>
      </c>
      <c r="C2" s="252" t="s">
        <v>10</v>
      </c>
      <c r="D2" s="250" t="s">
        <v>11</v>
      </c>
      <c r="E2" s="248" t="s">
        <v>12</v>
      </c>
      <c r="F2" s="248" t="s">
        <v>13</v>
      </c>
      <c r="G2" s="249" t="s">
        <v>14</v>
      </c>
      <c r="H2" s="248"/>
      <c r="I2" s="248"/>
    </row>
    <row r="3" spans="1:9" ht="32" hidden="1">
      <c r="A3" s="248">
        <v>2</v>
      </c>
      <c r="B3" s="251" t="s">
        <v>15</v>
      </c>
      <c r="C3" s="250" t="s">
        <v>16</v>
      </c>
      <c r="D3" s="250" t="s">
        <v>17</v>
      </c>
      <c r="E3" s="248" t="s">
        <v>12</v>
      </c>
      <c r="F3" s="248" t="s">
        <v>13</v>
      </c>
      <c r="G3" s="249" t="s">
        <v>14</v>
      </c>
      <c r="H3" s="248"/>
      <c r="I3" s="248"/>
    </row>
    <row r="4" spans="1:9">
      <c r="A4" s="303">
        <v>4</v>
      </c>
      <c r="B4" s="303" t="s">
        <v>18</v>
      </c>
      <c r="C4" s="304">
        <f>44/12</f>
        <v>3.6666666666666665</v>
      </c>
      <c r="D4" s="305" t="s">
        <v>19</v>
      </c>
      <c r="E4" s="303" t="s">
        <v>12</v>
      </c>
      <c r="F4" s="303"/>
      <c r="G4" s="303"/>
      <c r="H4" s="303"/>
      <c r="I4" s="303"/>
    </row>
    <row r="5" spans="1:9" ht="17">
      <c r="A5" s="303">
        <v>38</v>
      </c>
      <c r="B5" s="303" t="s">
        <v>20</v>
      </c>
      <c r="C5" s="306" t="s">
        <v>21</v>
      </c>
      <c r="D5" s="305" t="s">
        <v>11</v>
      </c>
      <c r="E5" s="303" t="s">
        <v>22</v>
      </c>
      <c r="F5" s="303" t="s">
        <v>23</v>
      </c>
      <c r="G5" s="304" t="s">
        <v>14</v>
      </c>
      <c r="H5" s="303"/>
      <c r="I5" s="303"/>
    </row>
    <row r="6" spans="1:9" ht="17">
      <c r="A6" s="303">
        <v>36</v>
      </c>
      <c r="B6" s="481" t="s">
        <v>24</v>
      </c>
      <c r="C6" s="306" t="s">
        <v>25</v>
      </c>
      <c r="D6" s="305" t="s">
        <v>11</v>
      </c>
      <c r="E6" s="303" t="s">
        <v>22</v>
      </c>
      <c r="F6" s="303" t="s">
        <v>23</v>
      </c>
      <c r="G6" s="304" t="s">
        <v>14</v>
      </c>
      <c r="H6" s="303"/>
      <c r="I6" s="303"/>
    </row>
    <row r="7" spans="1:9" ht="17">
      <c r="A7" s="303"/>
      <c r="B7" s="481" t="s">
        <v>26</v>
      </c>
      <c r="C7" s="306" t="s">
        <v>27</v>
      </c>
      <c r="D7" s="305" t="s">
        <v>11</v>
      </c>
      <c r="E7" s="303"/>
      <c r="F7" s="303"/>
      <c r="G7" s="304"/>
      <c r="H7" s="303"/>
      <c r="I7" s="303"/>
    </row>
    <row r="8" spans="1:9" ht="17">
      <c r="A8" s="303">
        <v>35</v>
      </c>
      <c r="B8" s="481" t="s">
        <v>28</v>
      </c>
      <c r="C8" s="306" t="s">
        <v>29</v>
      </c>
      <c r="D8" s="305" t="s">
        <v>11</v>
      </c>
      <c r="E8" s="303" t="s">
        <v>22</v>
      </c>
      <c r="F8" s="303" t="s">
        <v>23</v>
      </c>
      <c r="G8" s="304" t="s">
        <v>14</v>
      </c>
      <c r="H8" s="303"/>
      <c r="I8" s="303"/>
    </row>
    <row r="9" spans="1:9" ht="32">
      <c r="A9" s="303">
        <v>6</v>
      </c>
      <c r="B9" s="304" t="s">
        <v>30</v>
      </c>
      <c r="C9" s="307" t="s">
        <v>31</v>
      </c>
      <c r="D9" s="303" t="s">
        <v>32</v>
      </c>
      <c r="E9" s="303" t="s">
        <v>33</v>
      </c>
      <c r="F9" s="303" t="s">
        <v>34</v>
      </c>
      <c r="G9" s="304" t="s">
        <v>14</v>
      </c>
      <c r="H9" s="303" t="s">
        <v>35</v>
      </c>
      <c r="I9" s="303" t="s">
        <v>35</v>
      </c>
    </row>
    <row r="10" spans="1:9" ht="32" hidden="1">
      <c r="A10" s="248">
        <v>9</v>
      </c>
      <c r="B10" s="249" t="s">
        <v>36</v>
      </c>
      <c r="C10" s="248" t="s">
        <v>37</v>
      </c>
      <c r="D10" s="250" t="s">
        <v>11</v>
      </c>
      <c r="E10" s="248" t="s">
        <v>38</v>
      </c>
      <c r="F10" s="248" t="s">
        <v>13</v>
      </c>
      <c r="G10" s="249" t="s">
        <v>14</v>
      </c>
      <c r="H10" s="248"/>
      <c r="I10" s="248"/>
    </row>
    <row r="11" spans="1:9" ht="32">
      <c r="A11" s="303">
        <v>17</v>
      </c>
      <c r="B11" s="304" t="s">
        <v>39</v>
      </c>
      <c r="C11" s="303" t="s">
        <v>40</v>
      </c>
      <c r="D11" s="303"/>
      <c r="E11" s="303" t="s">
        <v>41</v>
      </c>
      <c r="F11" s="303" t="s">
        <v>42</v>
      </c>
      <c r="G11" s="303" t="s">
        <v>43</v>
      </c>
      <c r="H11" s="303" t="s">
        <v>35</v>
      </c>
      <c r="I11" s="303"/>
    </row>
    <row r="12" spans="1:9" ht="32" hidden="1">
      <c r="A12" s="248">
        <v>11</v>
      </c>
      <c r="B12" s="249" t="s">
        <v>44</v>
      </c>
      <c r="C12" s="248" t="s">
        <v>45</v>
      </c>
      <c r="D12" s="250" t="s">
        <v>11</v>
      </c>
      <c r="E12" s="248" t="s">
        <v>38</v>
      </c>
      <c r="F12" s="248" t="s">
        <v>13</v>
      </c>
      <c r="G12" s="249" t="s">
        <v>14</v>
      </c>
      <c r="H12" s="248"/>
      <c r="I12" s="248"/>
    </row>
    <row r="13" spans="1:9" ht="48">
      <c r="A13" s="303">
        <v>18</v>
      </c>
      <c r="B13" s="303" t="s">
        <v>46</v>
      </c>
      <c r="C13" s="303" t="s">
        <v>47</v>
      </c>
      <c r="D13" s="303"/>
      <c r="E13" s="303" t="s">
        <v>41</v>
      </c>
      <c r="F13" s="304" t="s">
        <v>48</v>
      </c>
      <c r="G13" s="303" t="s">
        <v>43</v>
      </c>
      <c r="H13" s="303" t="s">
        <v>35</v>
      </c>
      <c r="I13" s="303"/>
    </row>
    <row r="14" spans="1:9" ht="16">
      <c r="A14" s="303">
        <v>41</v>
      </c>
      <c r="B14" s="303" t="s">
        <v>49</v>
      </c>
      <c r="C14" s="303" t="s">
        <v>50</v>
      </c>
      <c r="D14" s="303"/>
      <c r="E14" s="303"/>
      <c r="F14" s="303"/>
      <c r="G14" s="304" t="s">
        <v>14</v>
      </c>
      <c r="H14" s="303"/>
      <c r="I14" s="303" t="s">
        <v>35</v>
      </c>
    </row>
    <row r="15" spans="1:9" ht="48">
      <c r="A15" s="303">
        <v>26</v>
      </c>
      <c r="B15" s="304" t="s">
        <v>51</v>
      </c>
      <c r="C15" s="303" t="s">
        <v>52</v>
      </c>
      <c r="D15" s="305" t="s">
        <v>11</v>
      </c>
      <c r="E15" s="303" t="s">
        <v>53</v>
      </c>
      <c r="F15" s="303" t="s">
        <v>42</v>
      </c>
      <c r="G15" s="304" t="s">
        <v>14</v>
      </c>
      <c r="H15" s="303"/>
      <c r="I15" s="303"/>
    </row>
    <row r="16" spans="1:9" ht="48">
      <c r="A16" s="303">
        <v>27</v>
      </c>
      <c r="B16" s="304" t="s">
        <v>54</v>
      </c>
      <c r="C16" s="303" t="s">
        <v>55</v>
      </c>
      <c r="D16" s="305" t="s">
        <v>11</v>
      </c>
      <c r="E16" s="303" t="s">
        <v>53</v>
      </c>
      <c r="F16" s="303" t="s">
        <v>42</v>
      </c>
      <c r="G16" s="304" t="s">
        <v>14</v>
      </c>
      <c r="H16" s="303"/>
      <c r="I16" s="303"/>
    </row>
    <row r="17" spans="1:9" ht="32">
      <c r="A17" s="303">
        <v>29</v>
      </c>
      <c r="B17" s="304" t="s">
        <v>56</v>
      </c>
      <c r="C17" s="303" t="s">
        <v>57</v>
      </c>
      <c r="D17" s="305" t="s">
        <v>11</v>
      </c>
      <c r="E17" s="300" t="s">
        <v>58</v>
      </c>
      <c r="F17" s="303" t="s">
        <v>42</v>
      </c>
      <c r="G17" s="304" t="s">
        <v>14</v>
      </c>
      <c r="H17" s="303"/>
      <c r="I17" s="303"/>
    </row>
    <row r="18" spans="1:9" ht="80">
      <c r="A18" s="303">
        <v>28</v>
      </c>
      <c r="B18" s="304" t="s">
        <v>59</v>
      </c>
      <c r="C18" s="303" t="s">
        <v>60</v>
      </c>
      <c r="D18" s="305" t="s">
        <v>11</v>
      </c>
      <c r="E18" s="300" t="s">
        <v>58</v>
      </c>
      <c r="F18" s="303" t="s">
        <v>42</v>
      </c>
      <c r="G18" s="304" t="s">
        <v>14</v>
      </c>
      <c r="H18" s="303"/>
      <c r="I18" s="303"/>
    </row>
    <row r="19" spans="1:9" ht="17">
      <c r="A19" s="303">
        <v>12</v>
      </c>
      <c r="B19" s="304" t="s">
        <v>61</v>
      </c>
      <c r="C19" s="303" t="s">
        <v>62</v>
      </c>
      <c r="D19" s="303" t="s">
        <v>17</v>
      </c>
      <c r="E19" s="303" t="s">
        <v>38</v>
      </c>
      <c r="F19" s="303" t="s">
        <v>42</v>
      </c>
      <c r="G19" s="304" t="s">
        <v>14</v>
      </c>
      <c r="H19" s="303"/>
      <c r="I19" s="303" t="s">
        <v>35</v>
      </c>
    </row>
    <row r="20" spans="1:9" ht="32">
      <c r="A20" s="303">
        <v>5</v>
      </c>
      <c r="B20" s="304" t="s">
        <v>63</v>
      </c>
      <c r="C20" s="303" t="s">
        <v>64</v>
      </c>
      <c r="D20" s="303" t="s">
        <v>17</v>
      </c>
      <c r="E20" s="303" t="s">
        <v>33</v>
      </c>
      <c r="F20" s="303" t="s">
        <v>42</v>
      </c>
      <c r="G20" s="304" t="s">
        <v>14</v>
      </c>
      <c r="H20" s="303"/>
      <c r="I20" s="303" t="s">
        <v>35</v>
      </c>
    </row>
    <row r="21" spans="1:9" ht="17" hidden="1">
      <c r="A21" s="248">
        <v>20</v>
      </c>
      <c r="B21" s="248" t="s">
        <v>65</v>
      </c>
      <c r="C21" s="248" t="s">
        <v>66</v>
      </c>
      <c r="D21" s="250" t="s">
        <v>11</v>
      </c>
      <c r="E21" s="248" t="s">
        <v>67</v>
      </c>
      <c r="F21" s="248" t="s">
        <v>42</v>
      </c>
      <c r="G21" s="249" t="s">
        <v>14</v>
      </c>
      <c r="H21" s="248"/>
      <c r="I21" s="248"/>
    </row>
    <row r="22" spans="1:9" ht="17" hidden="1">
      <c r="A22" s="248">
        <v>21</v>
      </c>
      <c r="B22" s="248" t="s">
        <v>68</v>
      </c>
      <c r="C22" s="248" t="s">
        <v>69</v>
      </c>
      <c r="D22" s="250" t="s">
        <v>11</v>
      </c>
      <c r="E22" s="248" t="s">
        <v>67</v>
      </c>
      <c r="F22" s="248" t="s">
        <v>42</v>
      </c>
      <c r="G22" s="249" t="s">
        <v>14</v>
      </c>
      <c r="H22" s="248"/>
      <c r="I22" s="248"/>
    </row>
    <row r="23" spans="1:9" ht="17" hidden="1">
      <c r="A23" s="248">
        <v>22</v>
      </c>
      <c r="B23" s="249" t="s">
        <v>70</v>
      </c>
      <c r="C23" s="248" t="s">
        <v>71</v>
      </c>
      <c r="D23" s="250" t="s">
        <v>11</v>
      </c>
      <c r="E23" s="248" t="s">
        <v>72</v>
      </c>
      <c r="F23" s="248" t="s">
        <v>13</v>
      </c>
      <c r="G23" s="249" t="s">
        <v>14</v>
      </c>
      <c r="H23" s="248"/>
      <c r="I23" s="248"/>
    </row>
    <row r="24" spans="1:9" ht="17">
      <c r="A24" s="303">
        <v>19</v>
      </c>
      <c r="B24" s="300" t="s">
        <v>73</v>
      </c>
      <c r="C24" s="300" t="s">
        <v>74</v>
      </c>
      <c r="D24" s="305" t="s">
        <v>11</v>
      </c>
      <c r="E24" s="303" t="s">
        <v>75</v>
      </c>
      <c r="F24" s="303" t="s">
        <v>76</v>
      </c>
      <c r="G24" s="304" t="s">
        <v>14</v>
      </c>
      <c r="H24" s="303"/>
      <c r="I24" s="303"/>
    </row>
    <row r="25" spans="1:9" ht="32">
      <c r="A25" s="303">
        <v>15</v>
      </c>
      <c r="B25" s="304" t="s">
        <v>77</v>
      </c>
      <c r="C25" s="303" t="s">
        <v>78</v>
      </c>
      <c r="D25" s="305" t="s">
        <v>11</v>
      </c>
      <c r="E25" s="300" t="s">
        <v>79</v>
      </c>
      <c r="F25" s="303" t="s">
        <v>42</v>
      </c>
      <c r="G25" s="304" t="s">
        <v>14</v>
      </c>
      <c r="H25" s="303"/>
      <c r="I25" s="303"/>
    </row>
    <row r="26" spans="1:9" ht="17" hidden="1">
      <c r="A26" s="248">
        <v>25</v>
      </c>
      <c r="B26" s="248" t="s">
        <v>80</v>
      </c>
      <c r="C26" s="248" t="s">
        <v>81</v>
      </c>
      <c r="D26" s="250" t="s">
        <v>11</v>
      </c>
      <c r="E26" s="248" t="s">
        <v>53</v>
      </c>
      <c r="F26" s="248" t="s">
        <v>13</v>
      </c>
      <c r="G26" s="249" t="s">
        <v>14</v>
      </c>
      <c r="H26" s="248"/>
      <c r="I26" s="248"/>
    </row>
    <row r="27" spans="1:9" ht="32">
      <c r="A27" s="303">
        <v>16</v>
      </c>
      <c r="B27" s="304" t="s">
        <v>82</v>
      </c>
      <c r="C27" s="303" t="s">
        <v>83</v>
      </c>
      <c r="D27" s="305" t="s">
        <v>11</v>
      </c>
      <c r="E27" s="300" t="s">
        <v>84</v>
      </c>
      <c r="F27" s="303" t="s">
        <v>42</v>
      </c>
      <c r="G27" s="304" t="s">
        <v>14</v>
      </c>
      <c r="H27" s="303"/>
      <c r="I27" s="303"/>
    </row>
    <row r="28" spans="1:9" ht="17">
      <c r="A28" s="303">
        <v>13</v>
      </c>
      <c r="B28" s="303" t="s">
        <v>85</v>
      </c>
      <c r="C28" s="303" t="s">
        <v>86</v>
      </c>
      <c r="D28" s="305" t="s">
        <v>11</v>
      </c>
      <c r="E28" s="300" t="s">
        <v>79</v>
      </c>
      <c r="F28" s="303" t="s">
        <v>42</v>
      </c>
      <c r="G28" s="304" t="s">
        <v>14</v>
      </c>
      <c r="H28" s="303"/>
      <c r="I28" s="303"/>
    </row>
    <row r="29" spans="1:9" ht="32">
      <c r="A29" s="303">
        <v>14</v>
      </c>
      <c r="B29" s="304" t="s">
        <v>87</v>
      </c>
      <c r="C29" s="303" t="s">
        <v>88</v>
      </c>
      <c r="D29" s="305" t="s">
        <v>11</v>
      </c>
      <c r="E29" s="300" t="s">
        <v>84</v>
      </c>
      <c r="F29" s="303" t="s">
        <v>42</v>
      </c>
      <c r="G29" s="304" t="s">
        <v>14</v>
      </c>
      <c r="H29" s="303"/>
      <c r="I29" s="303"/>
    </row>
    <row r="30" spans="1:9" ht="32">
      <c r="A30" s="303">
        <v>10</v>
      </c>
      <c r="B30" s="304" t="s">
        <v>89</v>
      </c>
      <c r="C30" s="303" t="s">
        <v>90</v>
      </c>
      <c r="D30" s="305" t="s">
        <v>11</v>
      </c>
      <c r="E30" s="303" t="s">
        <v>91</v>
      </c>
      <c r="F30" s="303" t="s">
        <v>92</v>
      </c>
      <c r="G30" s="304" t="s">
        <v>14</v>
      </c>
      <c r="H30" s="303"/>
      <c r="I30" s="303"/>
    </row>
    <row r="31" spans="1:9" ht="17" hidden="1">
      <c r="A31" s="248">
        <v>30</v>
      </c>
      <c r="B31" s="249" t="s">
        <v>93</v>
      </c>
      <c r="C31" s="248" t="s">
        <v>94</v>
      </c>
      <c r="D31" s="250" t="s">
        <v>11</v>
      </c>
      <c r="E31" s="248" t="s">
        <v>95</v>
      </c>
      <c r="F31" s="248" t="s">
        <v>13</v>
      </c>
      <c r="G31" s="249" t="s">
        <v>14</v>
      </c>
      <c r="H31" s="248"/>
      <c r="I31" s="248"/>
    </row>
    <row r="32" spans="1:9" ht="17" hidden="1">
      <c r="A32" s="248">
        <v>31</v>
      </c>
      <c r="B32" s="249" t="s">
        <v>96</v>
      </c>
      <c r="C32" s="248" t="s">
        <v>97</v>
      </c>
      <c r="D32" s="250" t="s">
        <v>11</v>
      </c>
      <c r="E32" s="248" t="s">
        <v>95</v>
      </c>
      <c r="F32" s="248" t="s">
        <v>23</v>
      </c>
      <c r="G32" s="249" t="s">
        <v>14</v>
      </c>
      <c r="H32" s="248"/>
      <c r="I32" s="248"/>
    </row>
    <row r="33" spans="1:9" ht="32">
      <c r="A33" s="303">
        <v>23</v>
      </c>
      <c r="B33" s="304" t="s">
        <v>98</v>
      </c>
      <c r="C33" s="303" t="s">
        <v>99</v>
      </c>
      <c r="D33" s="305" t="s">
        <v>11</v>
      </c>
      <c r="E33" s="300" t="s">
        <v>79</v>
      </c>
      <c r="F33" s="303" t="s">
        <v>42</v>
      </c>
      <c r="G33" s="304" t="s">
        <v>14</v>
      </c>
      <c r="H33" s="303"/>
      <c r="I33" s="303"/>
    </row>
    <row r="34" spans="1:9" ht="17" hidden="1">
      <c r="A34" s="248">
        <v>33</v>
      </c>
      <c r="B34" s="248" t="s">
        <v>100</v>
      </c>
      <c r="C34" s="248" t="s">
        <v>101</v>
      </c>
      <c r="D34" s="250" t="s">
        <v>11</v>
      </c>
      <c r="E34" s="248" t="s">
        <v>102</v>
      </c>
      <c r="F34" s="248" t="s">
        <v>13</v>
      </c>
      <c r="G34" s="249" t="s">
        <v>14</v>
      </c>
      <c r="H34" s="248"/>
      <c r="I34" s="248"/>
    </row>
    <row r="35" spans="1:9" ht="32">
      <c r="A35" s="303">
        <v>24</v>
      </c>
      <c r="B35" s="304" t="s">
        <v>103</v>
      </c>
      <c r="C35" s="303" t="s">
        <v>104</v>
      </c>
      <c r="D35" s="305" t="s">
        <v>11</v>
      </c>
      <c r="E35" s="300" t="s">
        <v>84</v>
      </c>
      <c r="F35" s="303" t="s">
        <v>42</v>
      </c>
      <c r="G35" s="304" t="s">
        <v>14</v>
      </c>
      <c r="H35" s="303"/>
      <c r="I35" s="303"/>
    </row>
    <row r="36" spans="1:9" ht="32">
      <c r="A36" s="303">
        <v>8</v>
      </c>
      <c r="B36" s="482" t="s">
        <v>105</v>
      </c>
      <c r="C36" s="303" t="s">
        <v>106</v>
      </c>
      <c r="D36" s="305" t="s">
        <v>11</v>
      </c>
      <c r="E36" s="303" t="s">
        <v>38</v>
      </c>
      <c r="F36" s="303" t="s">
        <v>13</v>
      </c>
      <c r="G36" s="304" t="s">
        <v>14</v>
      </c>
      <c r="H36" s="303"/>
      <c r="I36" s="303"/>
    </row>
    <row r="37" spans="1:9" ht="32">
      <c r="A37" s="303">
        <v>39</v>
      </c>
      <c r="B37" s="482" t="s">
        <v>107</v>
      </c>
      <c r="C37" s="481" t="s">
        <v>108</v>
      </c>
      <c r="D37" s="305" t="s">
        <v>11</v>
      </c>
      <c r="E37" s="481" t="s">
        <v>12</v>
      </c>
      <c r="F37" s="303"/>
      <c r="G37" s="304" t="s">
        <v>14</v>
      </c>
      <c r="H37" s="303"/>
      <c r="I37" s="303"/>
    </row>
    <row r="38" spans="1:9" ht="32">
      <c r="A38" s="303">
        <v>32</v>
      </c>
      <c r="B38" s="304" t="s">
        <v>109</v>
      </c>
      <c r="C38" s="303" t="s">
        <v>110</v>
      </c>
      <c r="D38" s="305" t="s">
        <v>11</v>
      </c>
      <c r="E38" s="303" t="s">
        <v>95</v>
      </c>
      <c r="F38" s="303" t="s">
        <v>92</v>
      </c>
      <c r="G38" s="304" t="s">
        <v>14</v>
      </c>
      <c r="H38" s="303"/>
      <c r="I38" s="303"/>
    </row>
    <row r="39" spans="1:9" ht="17">
      <c r="A39" s="303">
        <v>7</v>
      </c>
      <c r="B39" s="304" t="s">
        <v>111</v>
      </c>
      <c r="C39" s="303" t="s">
        <v>112</v>
      </c>
      <c r="D39" s="303" t="s">
        <v>19</v>
      </c>
      <c r="E39" s="303" t="s">
        <v>33</v>
      </c>
      <c r="F39" s="303" t="s">
        <v>42</v>
      </c>
      <c r="G39" s="304" t="s">
        <v>14</v>
      </c>
      <c r="H39" s="303" t="s">
        <v>35</v>
      </c>
      <c r="I39" s="303"/>
    </row>
    <row r="40" spans="1:9" ht="16">
      <c r="A40" s="303">
        <v>40</v>
      </c>
      <c r="B40" s="303" t="s">
        <v>113</v>
      </c>
      <c r="C40" s="303" t="s">
        <v>114</v>
      </c>
      <c r="D40" s="303" t="s">
        <v>115</v>
      </c>
      <c r="E40" s="303"/>
      <c r="F40" s="303"/>
      <c r="G40" s="304" t="s">
        <v>14</v>
      </c>
      <c r="H40" s="303"/>
      <c r="I40" s="303" t="s">
        <v>35</v>
      </c>
    </row>
    <row r="41" spans="1:9">
      <c r="A41" s="477">
        <v>42</v>
      </c>
      <c r="B41" s="477" t="s">
        <v>116</v>
      </c>
      <c r="C41" s="477" t="s">
        <v>117</v>
      </c>
      <c r="D41" s="477"/>
      <c r="E41" s="477"/>
      <c r="F41" s="477"/>
      <c r="G41" s="477" t="s">
        <v>118</v>
      </c>
      <c r="H41" s="477"/>
      <c r="I41" s="477" t="s">
        <v>35</v>
      </c>
    </row>
    <row r="42" spans="1:9" ht="32">
      <c r="A42" s="478"/>
      <c r="B42" s="479" t="s">
        <v>119</v>
      </c>
      <c r="C42" s="483" t="s">
        <v>120</v>
      </c>
      <c r="D42" s="478" t="s">
        <v>121</v>
      </c>
      <c r="E42" s="478" t="s">
        <v>84</v>
      </c>
      <c r="F42" s="478"/>
      <c r="G42" s="478"/>
      <c r="H42" s="478"/>
      <c r="I42" s="478"/>
    </row>
    <row r="43" spans="1:9" ht="17">
      <c r="A43" s="478"/>
      <c r="B43" s="479" t="s">
        <v>122</v>
      </c>
      <c r="C43" s="483" t="s">
        <v>123</v>
      </c>
      <c r="D43" s="483" t="s">
        <v>124</v>
      </c>
      <c r="E43" s="478" t="s">
        <v>84</v>
      </c>
      <c r="F43" s="478"/>
      <c r="G43" s="478"/>
      <c r="H43" s="478"/>
      <c r="I43" s="478"/>
    </row>
    <row r="44" spans="1:9">
      <c r="A44" s="478"/>
      <c r="B44" s="478" t="s">
        <v>125</v>
      </c>
      <c r="C44" s="478" t="s">
        <v>126</v>
      </c>
      <c r="D44" s="478"/>
      <c r="E44" s="478" t="s">
        <v>84</v>
      </c>
      <c r="F44" s="478"/>
      <c r="G44" s="478"/>
      <c r="H44" s="478"/>
      <c r="I44" s="478"/>
    </row>
  </sheetData>
  <autoFilter ref="A1:I41" xr:uid="{F5382A82-FB7F-40B0-BB1F-037027131BEA}">
    <filterColumn colId="6">
      <colorFilter dxfId="0"/>
    </filterColumn>
    <sortState xmlns:xlrd2="http://schemas.microsoft.com/office/spreadsheetml/2017/richdata2" ref="A4:I41">
      <sortCondition ref="C1:C41"/>
    </sortState>
  </autoFilter>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F480E-66AA-4396-8454-816F379536AA}">
  <dimension ref="A1:BD81"/>
  <sheetViews>
    <sheetView zoomScale="90" zoomScaleNormal="90" workbookViewId="0">
      <selection activeCell="D17" sqref="D17"/>
    </sheetView>
  </sheetViews>
  <sheetFormatPr baseColWidth="10" defaultColWidth="9.1640625" defaultRowHeight="15"/>
  <cols>
    <col min="1" max="1" width="9.1640625" style="46"/>
    <col min="2" max="2" width="23.1640625" style="46" customWidth="1"/>
    <col min="3" max="3" width="9.1640625" style="46"/>
    <col min="4" max="4" width="9.1640625" style="53"/>
    <col min="5" max="5" width="12.5" style="53" customWidth="1"/>
    <col min="6" max="6" width="15.5" style="53" customWidth="1"/>
    <col min="7" max="7" width="7.5" style="53" customWidth="1"/>
    <col min="8" max="8" width="9.83203125" style="47" customWidth="1"/>
    <col min="9" max="9" width="8.5" style="47" customWidth="1"/>
    <col min="10" max="10" width="9" style="53" customWidth="1"/>
    <col min="11" max="11" width="7.5" style="53" customWidth="1"/>
    <col min="12" max="13" width="5.5" style="53" bestFit="1" customWidth="1"/>
    <col min="14" max="15" width="5" style="53" bestFit="1" customWidth="1"/>
    <col min="16" max="16" width="8.5" style="53" customWidth="1"/>
    <col min="17" max="17" width="10.83203125" style="53" customWidth="1"/>
    <col min="18" max="18" width="8.83203125" style="53" bestFit="1" customWidth="1"/>
    <col min="19" max="20" width="7.83203125" style="53" bestFit="1" customWidth="1"/>
    <col min="21" max="21" width="9" style="53" customWidth="1"/>
    <col min="22" max="22" width="7.83203125" style="53" bestFit="1" customWidth="1"/>
    <col min="23" max="23" width="8.5" style="53" customWidth="1"/>
    <col min="24" max="24" width="11.5" style="53" bestFit="1" customWidth="1"/>
    <col min="25" max="25" width="12.5" style="53" bestFit="1" customWidth="1"/>
    <col min="26" max="26" width="8.5" style="53" customWidth="1"/>
    <col min="27" max="27" width="10" style="47" customWidth="1"/>
    <col min="28" max="28" width="12" style="53" customWidth="1"/>
    <col min="29" max="29" width="11.5" style="53" bestFit="1" customWidth="1"/>
    <col min="30" max="30" width="11.83203125" style="53" bestFit="1" customWidth="1"/>
    <col min="31" max="31" width="8.83203125" style="47" customWidth="1"/>
    <col min="32" max="32" width="9.5" style="53" customWidth="1"/>
    <col min="33" max="33" width="12.5" style="53" customWidth="1"/>
    <col min="34" max="34" width="8.5" style="55" customWidth="1"/>
    <col min="35" max="35" width="12.5" style="55" bestFit="1" customWidth="1"/>
    <col min="36" max="36" width="9.5" style="55" customWidth="1"/>
    <col min="37" max="37" width="6.83203125" style="48" customWidth="1"/>
    <col min="38" max="38" width="9" style="48" customWidth="1"/>
    <col min="39" max="39" width="5.5" style="48" bestFit="1" customWidth="1"/>
    <col min="40" max="40" width="4.83203125" style="48" customWidth="1"/>
    <col min="41" max="41" width="11.5" style="48" customWidth="1"/>
    <col min="42" max="42" width="13.5" style="48" customWidth="1"/>
    <col min="43" max="43" width="11.5" style="48" bestFit="1" customWidth="1"/>
    <col min="44" max="44" width="12.1640625" style="48" bestFit="1" customWidth="1"/>
    <col min="45" max="45" width="14.5" style="48" customWidth="1"/>
    <col min="46" max="46" width="11.5" style="48" bestFit="1" customWidth="1"/>
    <col min="47" max="16384" width="9.1640625" style="48"/>
  </cols>
  <sheetData>
    <row r="1" spans="1:56" s="46" customFormat="1">
      <c r="A1" s="484"/>
      <c r="B1" s="484"/>
      <c r="C1" s="484"/>
      <c r="D1" s="485"/>
      <c r="E1" s="485"/>
      <c r="F1" s="485"/>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6"/>
      <c r="AI1" s="486"/>
      <c r="AJ1" s="486"/>
      <c r="AK1" s="484"/>
      <c r="AL1" s="484"/>
      <c r="AM1" s="484"/>
      <c r="AN1" s="484"/>
      <c r="AO1" s="484"/>
      <c r="AP1" s="484"/>
      <c r="AQ1" s="484"/>
      <c r="AR1" s="484"/>
      <c r="AS1" s="484"/>
      <c r="AT1" s="484"/>
      <c r="AU1" s="484"/>
      <c r="AV1" s="484"/>
      <c r="AW1" s="484"/>
      <c r="AX1" s="484"/>
      <c r="AY1" s="484"/>
      <c r="AZ1" s="484"/>
      <c r="BA1" s="484"/>
      <c r="BB1" s="484"/>
      <c r="BC1" s="484"/>
      <c r="BD1" s="484"/>
    </row>
    <row r="2" spans="1:56" s="46" customFormat="1">
      <c r="A2" s="484"/>
      <c r="B2" s="484"/>
      <c r="C2" s="484"/>
      <c r="D2" s="485"/>
      <c r="E2" s="485"/>
      <c r="F2" s="485"/>
      <c r="G2" s="485"/>
      <c r="H2" s="485"/>
      <c r="I2" s="485"/>
      <c r="J2" s="485"/>
      <c r="K2" s="485"/>
      <c r="L2" s="485"/>
      <c r="M2" s="485"/>
      <c r="N2" s="485"/>
      <c r="O2" s="485"/>
      <c r="P2" s="485"/>
      <c r="Q2" s="485"/>
      <c r="R2" s="485"/>
      <c r="S2" s="485"/>
      <c r="T2" s="485"/>
      <c r="U2" s="485"/>
      <c r="V2" s="485"/>
      <c r="W2" s="485"/>
      <c r="X2" s="485"/>
      <c r="Y2" s="485"/>
      <c r="Z2" s="485"/>
      <c r="AA2" s="485"/>
      <c r="AB2" s="485"/>
      <c r="AC2" s="485"/>
      <c r="AD2" s="485"/>
      <c r="AE2" s="485"/>
      <c r="AF2" s="485"/>
      <c r="AG2" s="485"/>
      <c r="AH2" s="486"/>
      <c r="AI2" s="486"/>
      <c r="AJ2" s="486"/>
      <c r="AK2" s="484"/>
      <c r="AL2" s="484"/>
      <c r="AM2" s="484"/>
      <c r="AN2" s="484"/>
      <c r="AO2" s="484"/>
      <c r="AP2" s="484"/>
      <c r="AQ2" s="484"/>
      <c r="AR2" s="484"/>
      <c r="AS2" s="484"/>
      <c r="AT2" s="484"/>
      <c r="AU2" s="484"/>
      <c r="AV2" s="484"/>
      <c r="AW2" s="484"/>
      <c r="AX2" s="484"/>
      <c r="AY2" s="484"/>
      <c r="AZ2" s="484"/>
      <c r="BA2" s="484"/>
      <c r="BB2" s="484"/>
      <c r="BC2" s="484"/>
      <c r="BD2" s="484"/>
    </row>
    <row r="3" spans="1:56" s="46" customFormat="1">
      <c r="A3" s="484"/>
      <c r="B3" s="484"/>
      <c r="C3" s="484"/>
      <c r="D3" s="485"/>
      <c r="E3" s="485"/>
      <c r="F3" s="485"/>
      <c r="G3" s="485"/>
      <c r="H3" s="485"/>
      <c r="I3" s="485"/>
      <c r="J3" s="485"/>
      <c r="K3" s="485"/>
      <c r="L3" s="485"/>
      <c r="M3" s="485"/>
      <c r="N3" s="485"/>
      <c r="O3" s="485"/>
      <c r="P3" s="485"/>
      <c r="Q3" s="485"/>
      <c r="R3" s="485"/>
      <c r="S3" s="485"/>
      <c r="T3" s="485"/>
      <c r="U3" s="485"/>
      <c r="V3" s="485"/>
      <c r="W3" s="485"/>
      <c r="X3" s="485"/>
      <c r="Y3" s="485"/>
      <c r="Z3" s="485"/>
      <c r="AA3" s="485"/>
      <c r="AB3" s="485"/>
      <c r="AC3" s="485"/>
      <c r="AD3" s="485"/>
      <c r="AE3" s="485"/>
      <c r="AF3" s="485"/>
      <c r="AG3" s="485"/>
      <c r="AH3" s="486"/>
      <c r="AI3" s="486"/>
      <c r="AJ3" s="486"/>
      <c r="AK3" s="484"/>
      <c r="AL3" s="484"/>
      <c r="AM3" s="484"/>
      <c r="AN3" s="484"/>
      <c r="AO3" s="484"/>
      <c r="AP3" s="484"/>
      <c r="AQ3" s="484"/>
      <c r="AR3" s="484"/>
      <c r="AS3" s="484"/>
      <c r="AT3" s="484"/>
      <c r="AU3" s="484"/>
      <c r="AV3" s="484"/>
      <c r="AW3" s="484"/>
      <c r="AX3" s="484"/>
      <c r="AY3" s="484"/>
      <c r="AZ3" s="484"/>
      <c r="BA3" s="484"/>
      <c r="BB3" s="484"/>
      <c r="BC3" s="484"/>
      <c r="BD3" s="484"/>
    </row>
    <row r="4" spans="1:56" s="46" customFormat="1">
      <c r="A4" s="484"/>
      <c r="B4" s="484"/>
      <c r="C4" s="484"/>
      <c r="D4" s="485"/>
      <c r="E4" s="485"/>
      <c r="F4" s="485"/>
      <c r="G4" s="485"/>
      <c r="H4" s="485"/>
      <c r="I4" s="485"/>
      <c r="J4" s="485"/>
      <c r="K4" s="485"/>
      <c r="L4" s="485"/>
      <c r="M4" s="485"/>
      <c r="N4" s="485"/>
      <c r="O4" s="485"/>
      <c r="P4" s="485"/>
      <c r="Q4" s="485"/>
      <c r="R4" s="485"/>
      <c r="S4" s="485"/>
      <c r="T4" s="485"/>
      <c r="U4" s="485"/>
      <c r="V4" s="485"/>
      <c r="W4" s="485"/>
      <c r="X4" s="485"/>
      <c r="Y4" s="485"/>
      <c r="Z4" s="485"/>
      <c r="AA4" s="485"/>
      <c r="AB4" s="485"/>
      <c r="AC4" s="485"/>
      <c r="AD4" s="485"/>
      <c r="AE4" s="485"/>
      <c r="AF4" s="485"/>
      <c r="AG4" s="485"/>
      <c r="AH4" s="486"/>
      <c r="AI4" s="486"/>
      <c r="AJ4" s="486"/>
      <c r="AK4" s="484"/>
      <c r="AL4" s="484"/>
      <c r="AM4" s="484"/>
      <c r="AN4" s="484"/>
      <c r="AO4" s="484"/>
      <c r="AP4" s="484"/>
      <c r="AQ4" s="484"/>
      <c r="AR4" s="484"/>
      <c r="AS4" s="484"/>
      <c r="AT4" s="484"/>
      <c r="AU4" s="484"/>
      <c r="AV4" s="484"/>
      <c r="AW4" s="484"/>
      <c r="AX4" s="484"/>
      <c r="AY4" s="484"/>
      <c r="AZ4" s="484"/>
      <c r="BA4" s="484"/>
      <c r="BB4" s="484"/>
      <c r="BC4" s="484"/>
      <c r="BD4" s="484"/>
    </row>
    <row r="5" spans="1:56" s="46" customFormat="1">
      <c r="A5" s="484"/>
      <c r="B5" s="484"/>
      <c r="C5" s="484"/>
      <c r="D5" s="485"/>
      <c r="E5" s="485"/>
      <c r="F5" s="485"/>
      <c r="G5" s="485"/>
      <c r="H5" s="485"/>
      <c r="I5" s="485"/>
      <c r="J5" s="485"/>
      <c r="K5" s="485"/>
      <c r="L5" s="485"/>
      <c r="M5" s="485"/>
      <c r="N5" s="485"/>
      <c r="O5" s="485"/>
      <c r="P5" s="485"/>
      <c r="Q5" s="485"/>
      <c r="R5" s="485"/>
      <c r="S5" s="485"/>
      <c r="T5" s="485"/>
      <c r="U5" s="485"/>
      <c r="V5" s="485"/>
      <c r="W5" s="485"/>
      <c r="X5" s="485"/>
      <c r="Y5" s="485"/>
      <c r="Z5" s="485"/>
      <c r="AA5" s="485"/>
      <c r="AB5" s="485"/>
      <c r="AC5" s="485"/>
      <c r="AD5" s="485"/>
      <c r="AE5" s="485"/>
      <c r="AF5" s="485"/>
      <c r="AG5" s="485"/>
      <c r="AH5" s="486"/>
      <c r="AI5" s="486"/>
      <c r="AJ5" s="486"/>
      <c r="AK5" s="484"/>
      <c r="AL5" s="484"/>
      <c r="AM5" s="484"/>
      <c r="AN5" s="484"/>
      <c r="AO5" s="484"/>
      <c r="AP5" s="484"/>
      <c r="AQ5" s="484"/>
      <c r="AR5" s="484"/>
      <c r="AS5" s="484"/>
      <c r="AT5" s="484"/>
      <c r="AU5" s="484"/>
      <c r="AV5" s="484"/>
      <c r="AW5" s="484"/>
      <c r="AX5" s="484"/>
      <c r="AY5" s="484"/>
      <c r="AZ5" s="484"/>
      <c r="BA5" s="484"/>
      <c r="BB5" s="484"/>
      <c r="BC5" s="484"/>
      <c r="BD5" s="484"/>
    </row>
    <row r="6" spans="1:56">
      <c r="A6" s="484"/>
      <c r="B6" s="484"/>
      <c r="C6" s="484"/>
      <c r="D6" s="485"/>
      <c r="E6" s="485"/>
      <c r="F6" s="485"/>
      <c r="G6" s="485"/>
      <c r="H6" s="485"/>
      <c r="I6" s="485"/>
      <c r="J6" s="485"/>
      <c r="K6" s="485"/>
      <c r="L6" s="485"/>
      <c r="M6" s="487"/>
      <c r="N6" s="487"/>
      <c r="O6" s="487"/>
      <c r="P6" s="487"/>
      <c r="Q6" s="485"/>
      <c r="R6" s="485"/>
      <c r="S6" s="485"/>
      <c r="T6" s="485"/>
      <c r="U6" s="485"/>
      <c r="V6" s="485"/>
      <c r="W6" s="485"/>
      <c r="X6" s="485"/>
      <c r="Y6" s="485"/>
      <c r="Z6" s="485"/>
      <c r="AA6" s="485"/>
      <c r="AB6" s="485"/>
      <c r="AC6" s="485"/>
      <c r="AD6" s="485"/>
      <c r="AE6" s="485"/>
      <c r="AF6" s="485"/>
      <c r="AG6" s="485"/>
      <c r="AH6" s="486"/>
      <c r="AI6" s="486"/>
      <c r="AJ6" s="486"/>
      <c r="AK6" s="484"/>
      <c r="AL6" s="484"/>
      <c r="AM6" s="484"/>
      <c r="AN6" s="484"/>
      <c r="AO6" s="484"/>
      <c r="AP6" s="484"/>
      <c r="AQ6" s="484"/>
      <c r="AR6" s="484"/>
      <c r="AS6" s="484"/>
      <c r="AT6" s="484"/>
      <c r="AU6" s="484"/>
      <c r="AV6" s="484"/>
      <c r="AW6" s="484"/>
      <c r="AX6" s="484"/>
      <c r="AY6" s="484"/>
      <c r="AZ6" s="484"/>
      <c r="BA6" s="484"/>
      <c r="BB6" s="484"/>
      <c r="BC6" s="484"/>
      <c r="BD6" s="484"/>
    </row>
    <row r="7" spans="1:56" ht="16" thickBot="1">
      <c r="A7" s="484"/>
      <c r="B7" s="484"/>
      <c r="C7" s="484"/>
      <c r="D7" s="485"/>
      <c r="E7" s="485"/>
      <c r="F7" s="485" t="s">
        <v>127</v>
      </c>
      <c r="G7" s="485"/>
      <c r="H7" s="485"/>
      <c r="I7" s="485"/>
      <c r="J7" s="485"/>
      <c r="K7" s="485"/>
      <c r="L7" s="485"/>
      <c r="M7" s="485"/>
      <c r="N7" s="485"/>
      <c r="O7" s="485"/>
      <c r="P7" s="485"/>
      <c r="Q7" s="487"/>
      <c r="R7" s="485"/>
      <c r="S7" s="485"/>
      <c r="T7" s="485"/>
      <c r="U7" s="485"/>
      <c r="V7" s="485"/>
      <c r="W7" s="485"/>
      <c r="X7" s="485"/>
      <c r="Y7" s="485"/>
      <c r="Z7" s="485"/>
      <c r="AA7" s="485"/>
      <c r="AB7" s="485"/>
      <c r="AC7" s="485"/>
      <c r="AD7" s="485"/>
      <c r="AE7" s="485"/>
      <c r="AF7" s="485"/>
      <c r="AG7" s="485"/>
      <c r="AH7" s="486"/>
      <c r="AI7" s="486"/>
      <c r="AJ7" s="486"/>
      <c r="AK7" s="484"/>
      <c r="AL7" s="484"/>
      <c r="AM7" s="484"/>
      <c r="AN7" s="484"/>
      <c r="AO7" s="484"/>
      <c r="AP7" s="484"/>
      <c r="AQ7" s="484"/>
      <c r="AR7" s="484"/>
      <c r="AS7" s="484"/>
      <c r="AT7" s="484"/>
      <c r="AU7" s="484"/>
      <c r="AV7" s="484"/>
      <c r="AW7" s="484"/>
      <c r="AX7" s="484"/>
      <c r="AY7" s="484"/>
      <c r="AZ7" s="484"/>
      <c r="BA7" s="484"/>
      <c r="BB7" s="484"/>
      <c r="BC7" s="484"/>
      <c r="BD7" s="484"/>
    </row>
    <row r="8" spans="1:56">
      <c r="A8" s="484"/>
      <c r="B8" s="484"/>
      <c r="C8" s="484"/>
      <c r="D8" s="485"/>
      <c r="E8" s="485"/>
      <c r="F8" s="93"/>
      <c r="G8" s="94"/>
      <c r="H8" s="94"/>
      <c r="I8" s="94"/>
      <c r="J8" s="94"/>
      <c r="K8" s="94"/>
      <c r="L8" s="94"/>
      <c r="M8" s="94"/>
      <c r="N8" s="15"/>
      <c r="O8" s="15"/>
      <c r="P8" s="16"/>
      <c r="Q8" s="15"/>
      <c r="R8" s="15"/>
      <c r="S8" s="15"/>
      <c r="T8" s="15"/>
      <c r="U8" s="16"/>
      <c r="V8" s="15"/>
      <c r="W8" s="15"/>
      <c r="X8" s="16"/>
      <c r="Y8" s="16"/>
      <c r="Z8" s="15"/>
      <c r="AA8" s="15"/>
      <c r="AB8" s="16"/>
      <c r="AC8" s="16"/>
      <c r="AD8" s="16"/>
      <c r="AE8" s="15"/>
      <c r="AF8" s="15"/>
      <c r="AG8" s="16"/>
      <c r="AH8" s="15"/>
      <c r="AI8" s="16"/>
      <c r="AJ8" s="15"/>
      <c r="AK8" s="17"/>
      <c r="AL8" s="17"/>
      <c r="AM8" s="17"/>
      <c r="AN8" s="18"/>
      <c r="AO8" s="18"/>
      <c r="AP8" s="19"/>
      <c r="AQ8" s="486"/>
      <c r="AR8" s="486"/>
      <c r="AS8" s="484"/>
      <c r="AT8" s="484"/>
      <c r="AU8" s="484"/>
      <c r="AV8" s="484"/>
      <c r="AW8" s="484"/>
      <c r="AX8" s="484"/>
      <c r="AY8" s="484"/>
      <c r="AZ8" s="484"/>
      <c r="BA8" s="484"/>
      <c r="BB8" s="484"/>
      <c r="BC8" s="484"/>
      <c r="BD8" s="484"/>
    </row>
    <row r="9" spans="1:56" s="103" customFormat="1" ht="48">
      <c r="A9" s="488"/>
      <c r="B9" s="488"/>
      <c r="C9" s="488"/>
      <c r="D9" s="487"/>
      <c r="E9" s="487"/>
      <c r="F9" s="489" t="s">
        <v>128</v>
      </c>
      <c r="G9" s="95" t="s">
        <v>129</v>
      </c>
      <c r="H9" s="95" t="s">
        <v>130</v>
      </c>
      <c r="I9" s="95" t="s">
        <v>131</v>
      </c>
      <c r="J9" s="95" t="s">
        <v>132</v>
      </c>
      <c r="K9" s="95" t="s">
        <v>133</v>
      </c>
      <c r="L9" s="95"/>
      <c r="M9" s="95"/>
      <c r="N9" s="95"/>
      <c r="O9" s="95"/>
      <c r="P9" s="98"/>
      <c r="Q9" s="95"/>
      <c r="R9" s="95"/>
      <c r="S9" s="95"/>
      <c r="T9" s="95"/>
      <c r="U9" s="98" t="s">
        <v>33</v>
      </c>
      <c r="V9" s="95"/>
      <c r="W9" s="95"/>
      <c r="X9" s="98" t="s">
        <v>134</v>
      </c>
      <c r="Y9" s="99" t="s">
        <v>135</v>
      </c>
      <c r="Z9" s="95"/>
      <c r="AA9" s="95"/>
      <c r="AB9" s="98" t="s">
        <v>136</v>
      </c>
      <c r="AC9" s="98" t="s">
        <v>38</v>
      </c>
      <c r="AD9" s="98" t="s">
        <v>12</v>
      </c>
      <c r="AE9" s="95"/>
      <c r="AF9" s="95"/>
      <c r="AG9" s="98" t="s">
        <v>72</v>
      </c>
      <c r="AH9" s="95"/>
      <c r="AI9" s="98" t="s">
        <v>67</v>
      </c>
      <c r="AJ9" s="95"/>
      <c r="AK9" s="100"/>
      <c r="AL9" s="100"/>
      <c r="AM9" s="100"/>
      <c r="AN9" s="101" t="s">
        <v>53</v>
      </c>
      <c r="AO9" s="101" t="s">
        <v>95</v>
      </c>
      <c r="AP9" s="102" t="s">
        <v>102</v>
      </c>
      <c r="AQ9" s="490"/>
      <c r="AR9" s="490"/>
      <c r="AS9" s="488"/>
      <c r="AT9" s="488"/>
      <c r="AU9" s="488"/>
      <c r="AV9" s="488"/>
      <c r="AW9" s="488"/>
      <c r="AX9" s="488"/>
      <c r="AY9" s="488"/>
      <c r="AZ9" s="488"/>
      <c r="BA9" s="488"/>
      <c r="BB9" s="488"/>
      <c r="BC9" s="488"/>
      <c r="BD9" s="488"/>
    </row>
    <row r="10" spans="1:56" ht="18">
      <c r="A10" s="484"/>
      <c r="B10" s="484"/>
      <c r="C10" s="484"/>
      <c r="D10" s="485"/>
      <c r="E10" s="485"/>
      <c r="F10" s="32" t="s">
        <v>137</v>
      </c>
      <c r="G10" s="95" t="s">
        <v>138</v>
      </c>
      <c r="H10" s="95" t="s">
        <v>139</v>
      </c>
      <c r="I10" s="95" t="s">
        <v>140</v>
      </c>
      <c r="J10" s="95"/>
      <c r="K10" s="95"/>
      <c r="L10" s="96" t="s">
        <v>141</v>
      </c>
      <c r="M10" s="97" t="s">
        <v>142</v>
      </c>
      <c r="N10" s="49" t="s">
        <v>143</v>
      </c>
      <c r="O10" s="49" t="s">
        <v>144</v>
      </c>
      <c r="P10" s="34" t="s">
        <v>145</v>
      </c>
      <c r="Q10" s="12" t="s">
        <v>146</v>
      </c>
      <c r="R10" s="12" t="s">
        <v>147</v>
      </c>
      <c r="S10" s="12" t="s">
        <v>148</v>
      </c>
      <c r="T10" s="12" t="s">
        <v>149</v>
      </c>
      <c r="U10" s="13" t="s">
        <v>150</v>
      </c>
      <c r="V10" s="12" t="s">
        <v>151</v>
      </c>
      <c r="W10" s="12" t="s">
        <v>152</v>
      </c>
      <c r="X10" s="13" t="s">
        <v>153</v>
      </c>
      <c r="Y10" s="13" t="s">
        <v>154</v>
      </c>
      <c r="Z10" s="12" t="s">
        <v>155</v>
      </c>
      <c r="AA10" s="12" t="s">
        <v>156</v>
      </c>
      <c r="AB10" s="13" t="s">
        <v>157</v>
      </c>
      <c r="AC10" s="13" t="s">
        <v>158</v>
      </c>
      <c r="AD10" s="50" t="s">
        <v>159</v>
      </c>
      <c r="AE10" s="12" t="s">
        <v>160</v>
      </c>
      <c r="AF10" s="12" t="s">
        <v>161</v>
      </c>
      <c r="AG10" s="13" t="s">
        <v>162</v>
      </c>
      <c r="AH10" s="12" t="s">
        <v>163</v>
      </c>
      <c r="AI10" s="50" t="s">
        <v>164</v>
      </c>
      <c r="AJ10" s="33" t="s">
        <v>165</v>
      </c>
      <c r="AK10" s="33" t="s">
        <v>166</v>
      </c>
      <c r="AL10" s="33" t="s">
        <v>167</v>
      </c>
      <c r="AM10" s="33" t="s">
        <v>168</v>
      </c>
      <c r="AN10" s="34" t="s">
        <v>169</v>
      </c>
      <c r="AO10" s="34" t="s">
        <v>170</v>
      </c>
      <c r="AP10" s="35" t="s">
        <v>171</v>
      </c>
      <c r="AQ10" s="486"/>
      <c r="AR10" s="486"/>
      <c r="AS10" s="484"/>
      <c r="AT10" s="484"/>
      <c r="AU10" s="484"/>
      <c r="AV10" s="484"/>
      <c r="AW10" s="484"/>
      <c r="AX10" s="484"/>
      <c r="AY10" s="484"/>
      <c r="AZ10" s="484"/>
      <c r="BA10" s="484"/>
      <c r="BB10" s="484"/>
      <c r="BC10" s="484"/>
      <c r="BD10" s="484"/>
    </row>
    <row r="11" spans="1:56">
      <c r="A11" s="484"/>
      <c r="B11" s="484"/>
      <c r="C11" s="484"/>
      <c r="D11" s="485"/>
      <c r="E11" s="485"/>
      <c r="F11" s="36"/>
      <c r="G11" s="15"/>
      <c r="H11" s="15"/>
      <c r="I11" s="15"/>
      <c r="J11" s="15"/>
      <c r="K11" s="15"/>
      <c r="L11" s="37"/>
      <c r="M11" s="37"/>
      <c r="N11" s="37"/>
      <c r="O11" s="37"/>
      <c r="P11" s="38"/>
      <c r="Q11" s="491"/>
      <c r="R11" s="491"/>
      <c r="S11" s="492"/>
      <c r="T11" s="492"/>
      <c r="U11" s="39"/>
      <c r="V11" s="37"/>
      <c r="W11" s="37"/>
      <c r="X11" s="38"/>
      <c r="Y11" s="38"/>
      <c r="Z11" s="37"/>
      <c r="AA11" s="37"/>
      <c r="AB11" s="38"/>
      <c r="AC11" s="39"/>
      <c r="AD11" s="39"/>
      <c r="AE11" s="40"/>
      <c r="AF11" s="40"/>
      <c r="AG11" s="41"/>
      <c r="AH11" s="37"/>
      <c r="AI11" s="39"/>
      <c r="AJ11" s="37"/>
      <c r="AK11" s="42"/>
      <c r="AL11" s="43"/>
      <c r="AM11" s="43"/>
      <c r="AN11" s="44"/>
      <c r="AO11" s="44"/>
      <c r="AP11" s="45"/>
      <c r="AQ11" s="486"/>
      <c r="AR11" s="486"/>
      <c r="AS11" s="484"/>
      <c r="AT11" s="484"/>
      <c r="AU11" s="484"/>
      <c r="AV11" s="484"/>
      <c r="AW11" s="484"/>
      <c r="AX11" s="484"/>
      <c r="AY11" s="484"/>
      <c r="AZ11" s="484"/>
      <c r="BA11" s="484"/>
      <c r="BB11" s="484"/>
      <c r="BC11" s="484"/>
      <c r="BD11" s="484"/>
    </row>
    <row r="12" spans="1:56" s="46" customFormat="1">
      <c r="A12" s="484"/>
      <c r="B12" s="484"/>
      <c r="C12" s="484"/>
      <c r="D12" s="485"/>
      <c r="E12" s="485"/>
      <c r="F12" s="20" t="s">
        <v>172</v>
      </c>
      <c r="G12" s="12">
        <v>1</v>
      </c>
      <c r="H12" s="12" t="s">
        <v>173</v>
      </c>
      <c r="I12" s="12" t="s">
        <v>174</v>
      </c>
      <c r="J12" s="12">
        <v>44</v>
      </c>
      <c r="K12" s="12">
        <v>12</v>
      </c>
      <c r="L12" s="12"/>
      <c r="M12" s="12"/>
      <c r="N12" s="12"/>
      <c r="O12" s="12"/>
      <c r="P12" s="23">
        <f>N12+O12</f>
        <v>0</v>
      </c>
      <c r="Q12" s="493">
        <f>2*5000</f>
        <v>10000</v>
      </c>
      <c r="R12" s="493">
        <f t="shared" ref="R12:R18" si="0">Q12</f>
        <v>10000</v>
      </c>
      <c r="S12" s="494">
        <v>0.77</v>
      </c>
      <c r="T12" s="485">
        <v>0.89</v>
      </c>
      <c r="U12" s="24">
        <f>(Q12*S12*T12)</f>
        <v>6853</v>
      </c>
      <c r="V12" s="22"/>
      <c r="W12" s="22"/>
      <c r="X12" s="23">
        <f t="shared" ref="X12:X18" si="1">V12+W12</f>
        <v>0</v>
      </c>
      <c r="Y12" s="23">
        <v>0</v>
      </c>
      <c r="Z12" s="22"/>
      <c r="AA12" s="22"/>
      <c r="AB12" s="23">
        <f t="shared" ref="AB12:AB18" si="2">Z12+AA12</f>
        <v>0</v>
      </c>
      <c r="AC12" s="24">
        <f>(X12+Y12+AB12)*(Q12/R12)</f>
        <v>0</v>
      </c>
      <c r="AD12" s="24">
        <f t="shared" ref="AD12:AD18" si="3">(U12*J12/K12)-AC12</f>
        <v>25127.666666666668</v>
      </c>
      <c r="AE12" s="25"/>
      <c r="AF12" s="25"/>
      <c r="AG12" s="26">
        <f t="shared" ref="AG12:AG18" si="4">AF12+AE12</f>
        <v>0</v>
      </c>
      <c r="AH12" s="12"/>
      <c r="AI12" s="24">
        <f t="shared" ref="AI12:AI18" si="5">(AG12+AH12)</f>
        <v>0</v>
      </c>
      <c r="AJ12" s="12"/>
      <c r="AK12" s="14"/>
      <c r="AL12" s="14"/>
      <c r="AM12" s="14"/>
      <c r="AN12" s="29">
        <f t="shared" ref="AN12:AN18" si="6">AJ12+AK12+AL12+AM12</f>
        <v>0</v>
      </c>
      <c r="AO12" s="29">
        <f t="shared" ref="AO12:AO18" si="7">P11-M11</f>
        <v>0</v>
      </c>
      <c r="AP12" s="21">
        <f t="shared" ref="AP12:AP18" si="8">AO12+AD12-AI12-AN12</f>
        <v>25127.666666666668</v>
      </c>
      <c r="AQ12" s="486"/>
      <c r="AR12" s="486"/>
      <c r="AS12" s="484"/>
      <c r="AT12" s="484"/>
      <c r="AU12" s="484"/>
      <c r="AV12" s="484"/>
      <c r="AW12" s="484"/>
      <c r="AX12" s="484"/>
      <c r="AY12" s="484"/>
      <c r="AZ12" s="484"/>
      <c r="BA12" s="484"/>
      <c r="BB12" s="484"/>
      <c r="BC12" s="484"/>
      <c r="BD12" s="484"/>
    </row>
    <row r="13" spans="1:56" s="46" customFormat="1">
      <c r="A13" s="484"/>
      <c r="B13" s="484"/>
      <c r="C13" s="484"/>
      <c r="D13" s="485"/>
      <c r="E13" s="485"/>
      <c r="F13" s="56" t="s">
        <v>175</v>
      </c>
      <c r="G13" s="12">
        <v>1</v>
      </c>
      <c r="H13" s="12" t="s">
        <v>173</v>
      </c>
      <c r="I13" s="12" t="s">
        <v>174</v>
      </c>
      <c r="J13" s="12">
        <v>44</v>
      </c>
      <c r="K13" s="12">
        <v>12</v>
      </c>
      <c r="L13" s="22"/>
      <c r="M13" s="22"/>
      <c r="N13" s="22"/>
      <c r="O13" s="22"/>
      <c r="P13" s="23">
        <f>N13+O13</f>
        <v>0</v>
      </c>
      <c r="Q13" s="493">
        <f>9.5*5000</f>
        <v>47500</v>
      </c>
      <c r="R13" s="493">
        <f t="shared" si="0"/>
        <v>47500</v>
      </c>
      <c r="S13" s="494">
        <v>0.49</v>
      </c>
      <c r="T13" s="494">
        <v>0.89</v>
      </c>
      <c r="U13" s="24">
        <f>(Q13*S13*T13)</f>
        <v>20714.75</v>
      </c>
      <c r="V13" s="22"/>
      <c r="W13" s="22"/>
      <c r="X13" s="23">
        <f>V13+W13</f>
        <v>0</v>
      </c>
      <c r="Y13" s="23">
        <v>0</v>
      </c>
      <c r="Z13" s="22"/>
      <c r="AA13" s="22"/>
      <c r="AB13" s="23">
        <f>Z13+AA13</f>
        <v>0</v>
      </c>
      <c r="AC13" s="24">
        <f t="shared" ref="AC13:AC14" si="9">(X13+Y13+AB13)*(Q13/R13)</f>
        <v>0</v>
      </c>
      <c r="AD13" s="24">
        <f t="shared" ref="AD13:AD14" si="10">(U13*J13/K13)-AC13</f>
        <v>75954.083333333328</v>
      </c>
      <c r="AE13" s="25"/>
      <c r="AF13" s="25"/>
      <c r="AG13" s="26">
        <f>AF13+AE13</f>
        <v>0</v>
      </c>
      <c r="AH13" s="22"/>
      <c r="AI13" s="24">
        <f>(AG13+AH13)</f>
        <v>0</v>
      </c>
      <c r="AJ13" s="22"/>
      <c r="AK13" s="27"/>
      <c r="AL13" s="31"/>
      <c r="AM13" s="31"/>
      <c r="AN13" s="29">
        <f>AJ13+AK13+AL13+AM13</f>
        <v>0</v>
      </c>
      <c r="AO13" s="29">
        <f>P12-M12</f>
        <v>0</v>
      </c>
      <c r="AP13" s="21">
        <f>AO13+AD13-AI13-AN13</f>
        <v>75954.083333333328</v>
      </c>
      <c r="AQ13" s="486"/>
      <c r="AR13" s="486"/>
      <c r="AS13" s="484"/>
      <c r="AT13" s="484"/>
      <c r="AU13" s="484"/>
      <c r="AV13" s="484"/>
      <c r="AW13" s="484"/>
      <c r="AX13" s="484"/>
      <c r="AY13" s="484"/>
      <c r="AZ13" s="484"/>
      <c r="BA13" s="484"/>
      <c r="BB13" s="484"/>
      <c r="BC13" s="484"/>
      <c r="BD13" s="484"/>
    </row>
    <row r="14" spans="1:56" s="46" customFormat="1">
      <c r="A14" s="484"/>
      <c r="B14" s="484"/>
      <c r="C14" s="484"/>
      <c r="D14" s="485"/>
      <c r="E14" s="485"/>
      <c r="F14" s="20" t="s">
        <v>176</v>
      </c>
      <c r="G14" s="12">
        <v>1</v>
      </c>
      <c r="H14" s="12" t="s">
        <v>173</v>
      </c>
      <c r="I14" s="12" t="s">
        <v>174</v>
      </c>
      <c r="J14" s="12">
        <v>44</v>
      </c>
      <c r="K14" s="12">
        <v>12</v>
      </c>
      <c r="L14" s="22"/>
      <c r="M14" s="22"/>
      <c r="N14" s="22"/>
      <c r="O14" s="22"/>
      <c r="P14" s="23">
        <f>N14+O14</f>
        <v>0</v>
      </c>
      <c r="Q14" s="493">
        <f>1*5000</f>
        <v>5000</v>
      </c>
      <c r="R14" s="493">
        <f t="shared" si="0"/>
        <v>5000</v>
      </c>
      <c r="S14" s="494">
        <v>0.77</v>
      </c>
      <c r="T14" s="494">
        <v>0.89</v>
      </c>
      <c r="U14" s="24">
        <f t="shared" ref="U14" si="11">(Q14*S14*T14)</f>
        <v>3426.5</v>
      </c>
      <c r="V14" s="22"/>
      <c r="W14" s="22"/>
      <c r="X14" s="23">
        <f t="shared" ref="X14" si="12">V14+W14</f>
        <v>0</v>
      </c>
      <c r="Y14" s="23">
        <v>0</v>
      </c>
      <c r="Z14" s="22"/>
      <c r="AA14" s="22"/>
      <c r="AB14" s="23">
        <f t="shared" ref="AB14" si="13">Z14+AA14</f>
        <v>0</v>
      </c>
      <c r="AC14" s="24">
        <f t="shared" si="9"/>
        <v>0</v>
      </c>
      <c r="AD14" s="24">
        <f t="shared" si="10"/>
        <v>12563.833333333334</v>
      </c>
      <c r="AE14" s="25"/>
      <c r="AF14" s="25"/>
      <c r="AG14" s="26">
        <f t="shared" ref="AG14" si="14">AF14+AE14</f>
        <v>0</v>
      </c>
      <c r="AH14" s="22"/>
      <c r="AI14" s="24">
        <f t="shared" ref="AI14" si="15">(AG14+AH14)</f>
        <v>0</v>
      </c>
      <c r="AJ14" s="22"/>
      <c r="AK14" s="27"/>
      <c r="AL14" s="31"/>
      <c r="AM14" s="31"/>
      <c r="AN14" s="29">
        <f>AJ14+AK14+AL14+AM14</f>
        <v>0</v>
      </c>
      <c r="AO14" s="29">
        <f>P13-M13</f>
        <v>0</v>
      </c>
      <c r="AP14" s="21">
        <f>AO14+AD14-AI14-AN14</f>
        <v>12563.833333333334</v>
      </c>
      <c r="AQ14" s="486"/>
      <c r="AR14" s="486"/>
      <c r="AS14" s="484"/>
      <c r="AT14" s="484"/>
      <c r="AU14" s="484"/>
      <c r="AV14" s="484"/>
      <c r="AW14" s="484"/>
      <c r="AX14" s="484"/>
      <c r="AY14" s="484"/>
      <c r="AZ14" s="484"/>
      <c r="BA14" s="484"/>
      <c r="BB14" s="484"/>
      <c r="BC14" s="484"/>
      <c r="BD14" s="484"/>
    </row>
    <row r="15" spans="1:56" s="46" customFormat="1">
      <c r="A15" s="484"/>
      <c r="B15" s="484"/>
      <c r="C15" s="484"/>
      <c r="D15" s="485"/>
      <c r="E15" s="485"/>
      <c r="F15" s="20"/>
      <c r="G15" s="12"/>
      <c r="H15" s="12"/>
      <c r="I15" s="12"/>
      <c r="J15" s="12"/>
      <c r="K15" s="12"/>
      <c r="L15" s="22"/>
      <c r="M15" s="22"/>
      <c r="N15" s="22"/>
      <c r="O15" s="22"/>
      <c r="P15" s="23"/>
      <c r="Q15" s="493"/>
      <c r="R15" s="58">
        <f>SUM(Q12:Q14)</f>
        <v>62500</v>
      </c>
      <c r="S15" s="494"/>
      <c r="T15" s="494"/>
      <c r="U15" s="24"/>
      <c r="V15" s="22"/>
      <c r="W15" s="22"/>
      <c r="X15" s="23"/>
      <c r="Y15" s="23"/>
      <c r="Z15" s="22"/>
      <c r="AA15" s="22"/>
      <c r="AB15" s="23"/>
      <c r="AC15" s="24"/>
      <c r="AD15" s="24"/>
      <c r="AE15" s="25"/>
      <c r="AF15" s="25"/>
      <c r="AG15" s="26"/>
      <c r="AH15" s="22"/>
      <c r="AI15" s="24"/>
      <c r="AJ15" s="22"/>
      <c r="AK15" s="27"/>
      <c r="AL15" s="31"/>
      <c r="AM15" s="31"/>
      <c r="AN15" s="29"/>
      <c r="AO15" s="29"/>
      <c r="AP15" s="21"/>
      <c r="AQ15" s="486"/>
      <c r="AR15" s="486"/>
      <c r="AS15" s="484"/>
      <c r="AT15" s="484"/>
      <c r="AU15" s="484"/>
      <c r="AV15" s="484"/>
      <c r="AW15" s="484"/>
      <c r="AX15" s="484"/>
      <c r="AY15" s="484"/>
      <c r="AZ15" s="484"/>
      <c r="BA15" s="484"/>
      <c r="BB15" s="484"/>
      <c r="BC15" s="484"/>
      <c r="BD15" s="484"/>
    </row>
    <row r="16" spans="1:56" s="46" customFormat="1">
      <c r="A16" s="484"/>
      <c r="B16" s="484"/>
      <c r="C16" s="484"/>
      <c r="D16" s="485"/>
      <c r="E16" s="485"/>
      <c r="F16" s="56" t="s">
        <v>175</v>
      </c>
      <c r="G16" s="12">
        <v>2</v>
      </c>
      <c r="H16" s="12" t="s">
        <v>173</v>
      </c>
      <c r="I16" s="12" t="s">
        <v>174</v>
      </c>
      <c r="J16" s="12">
        <v>44</v>
      </c>
      <c r="K16" s="12">
        <v>12</v>
      </c>
      <c r="L16" s="12"/>
      <c r="M16" s="12"/>
      <c r="N16" s="12"/>
      <c r="O16" s="12"/>
      <c r="P16" s="23">
        <f t="shared" ref="P16:P18" si="16">N16+O16</f>
        <v>0</v>
      </c>
      <c r="Q16" s="493">
        <f>9.5*5000</f>
        <v>47500</v>
      </c>
      <c r="R16" s="493">
        <f t="shared" si="0"/>
        <v>47500</v>
      </c>
      <c r="S16" s="494">
        <v>0.49</v>
      </c>
      <c r="T16" s="494">
        <v>0.89</v>
      </c>
      <c r="U16" s="24">
        <f t="shared" ref="U16:U18" si="17">(Q16*S16*T16)</f>
        <v>20714.75</v>
      </c>
      <c r="V16" s="22"/>
      <c r="W16" s="22"/>
      <c r="X16" s="23">
        <f t="shared" si="1"/>
        <v>0</v>
      </c>
      <c r="Y16" s="23">
        <v>0</v>
      </c>
      <c r="Z16" s="22"/>
      <c r="AA16" s="22"/>
      <c r="AB16" s="23">
        <f t="shared" si="2"/>
        <v>0</v>
      </c>
      <c r="AC16" s="24">
        <f t="shared" ref="AC16:AC18" si="18">(X16+Y16+AB16)*(Q16/R16)</f>
        <v>0</v>
      </c>
      <c r="AD16" s="24">
        <f t="shared" si="3"/>
        <v>75954.083333333328</v>
      </c>
      <c r="AE16" s="25"/>
      <c r="AF16" s="25"/>
      <c r="AG16" s="26">
        <f t="shared" si="4"/>
        <v>0</v>
      </c>
      <c r="AH16" s="12"/>
      <c r="AI16" s="24">
        <f t="shared" si="5"/>
        <v>0</v>
      </c>
      <c r="AJ16" s="30"/>
      <c r="AK16" s="30"/>
      <c r="AL16" s="30"/>
      <c r="AM16" s="30"/>
      <c r="AN16" s="29">
        <f t="shared" si="6"/>
        <v>0</v>
      </c>
      <c r="AO16" s="29">
        <f>P12-M12</f>
        <v>0</v>
      </c>
      <c r="AP16" s="21">
        <f t="shared" si="8"/>
        <v>75954.083333333328</v>
      </c>
      <c r="AQ16" s="486"/>
      <c r="AR16" s="486"/>
      <c r="AS16" s="484"/>
      <c r="AT16" s="484"/>
      <c r="AU16" s="484"/>
      <c r="AV16" s="484"/>
      <c r="AW16" s="484"/>
      <c r="AX16" s="484"/>
      <c r="AY16" s="484"/>
      <c r="AZ16" s="484"/>
      <c r="BA16" s="484"/>
      <c r="BB16" s="484"/>
      <c r="BC16" s="484"/>
      <c r="BD16" s="484"/>
    </row>
    <row r="17" spans="1:56" s="46" customFormat="1">
      <c r="A17" s="484"/>
      <c r="B17" s="484"/>
      <c r="C17" s="484"/>
      <c r="D17" s="485"/>
      <c r="E17" s="485"/>
      <c r="F17" s="20" t="s">
        <v>176</v>
      </c>
      <c r="G17" s="12">
        <v>2</v>
      </c>
      <c r="H17" s="12" t="s">
        <v>173</v>
      </c>
      <c r="I17" s="12" t="s">
        <v>174</v>
      </c>
      <c r="J17" s="12">
        <v>44</v>
      </c>
      <c r="K17" s="12">
        <v>12</v>
      </c>
      <c r="L17" s="12"/>
      <c r="M17" s="12"/>
      <c r="N17" s="12"/>
      <c r="O17" s="12"/>
      <c r="P17" s="23">
        <f t="shared" si="16"/>
        <v>0</v>
      </c>
      <c r="Q17" s="493">
        <f>1*5000</f>
        <v>5000</v>
      </c>
      <c r="R17" s="493">
        <f t="shared" si="0"/>
        <v>5000</v>
      </c>
      <c r="S17" s="494">
        <v>0.77</v>
      </c>
      <c r="T17" s="494">
        <v>0.89</v>
      </c>
      <c r="U17" s="24">
        <f t="shared" si="17"/>
        <v>3426.5</v>
      </c>
      <c r="V17" s="22"/>
      <c r="W17" s="22"/>
      <c r="X17" s="23">
        <f t="shared" si="1"/>
        <v>0</v>
      </c>
      <c r="Y17" s="23">
        <v>0</v>
      </c>
      <c r="Z17" s="22"/>
      <c r="AA17" s="22"/>
      <c r="AB17" s="23">
        <f t="shared" si="2"/>
        <v>0</v>
      </c>
      <c r="AC17" s="24">
        <f t="shared" si="18"/>
        <v>0</v>
      </c>
      <c r="AD17" s="24">
        <f t="shared" si="3"/>
        <v>12563.833333333334</v>
      </c>
      <c r="AE17" s="25"/>
      <c r="AF17" s="25"/>
      <c r="AG17" s="26">
        <f t="shared" si="4"/>
        <v>0</v>
      </c>
      <c r="AH17" s="12"/>
      <c r="AI17" s="24">
        <f t="shared" si="5"/>
        <v>0</v>
      </c>
      <c r="AJ17" s="22"/>
      <c r="AK17" s="27"/>
      <c r="AL17" s="31"/>
      <c r="AM17" s="31"/>
      <c r="AN17" s="29">
        <f t="shared" si="6"/>
        <v>0</v>
      </c>
      <c r="AO17" s="29">
        <f t="shared" si="7"/>
        <v>0</v>
      </c>
      <c r="AP17" s="21">
        <f t="shared" si="8"/>
        <v>12563.833333333334</v>
      </c>
      <c r="AQ17" s="486"/>
      <c r="AR17" s="486"/>
      <c r="AS17" s="484"/>
      <c r="AT17" s="484"/>
      <c r="AU17" s="484"/>
      <c r="AV17" s="484"/>
      <c r="AW17" s="484"/>
      <c r="AX17" s="484"/>
      <c r="AY17" s="484"/>
      <c r="AZ17" s="484"/>
      <c r="BA17" s="484"/>
      <c r="BB17" s="484"/>
      <c r="BC17" s="484"/>
      <c r="BD17" s="484"/>
    </row>
    <row r="18" spans="1:56" s="46" customFormat="1" ht="17.25" customHeight="1">
      <c r="A18" s="484"/>
      <c r="B18" s="484"/>
      <c r="C18" s="484"/>
      <c r="D18" s="485"/>
      <c r="E18" s="485"/>
      <c r="F18" s="20" t="s">
        <v>172</v>
      </c>
      <c r="G18" s="12">
        <v>2</v>
      </c>
      <c r="H18" s="12" t="s">
        <v>173</v>
      </c>
      <c r="I18" s="12" t="s">
        <v>174</v>
      </c>
      <c r="J18" s="12">
        <v>44</v>
      </c>
      <c r="K18" s="12">
        <v>12</v>
      </c>
      <c r="L18" s="12"/>
      <c r="M18" s="12"/>
      <c r="N18" s="12"/>
      <c r="O18" s="12"/>
      <c r="P18" s="23">
        <f t="shared" si="16"/>
        <v>0</v>
      </c>
      <c r="Q18" s="493">
        <f>2*5000</f>
        <v>10000</v>
      </c>
      <c r="R18" s="493">
        <f t="shared" si="0"/>
        <v>10000</v>
      </c>
      <c r="S18" s="494">
        <v>0.77</v>
      </c>
      <c r="T18" s="485">
        <v>0.89</v>
      </c>
      <c r="U18" s="24">
        <f t="shared" si="17"/>
        <v>6853</v>
      </c>
      <c r="V18" s="22"/>
      <c r="W18" s="22"/>
      <c r="X18" s="23">
        <f t="shared" si="1"/>
        <v>0</v>
      </c>
      <c r="Y18" s="23">
        <v>0</v>
      </c>
      <c r="Z18" s="22"/>
      <c r="AA18" s="22"/>
      <c r="AB18" s="23">
        <f t="shared" si="2"/>
        <v>0</v>
      </c>
      <c r="AC18" s="24">
        <f t="shared" si="18"/>
        <v>0</v>
      </c>
      <c r="AD18" s="24">
        <f t="shared" si="3"/>
        <v>25127.666666666668</v>
      </c>
      <c r="AE18" s="25"/>
      <c r="AF18" s="25"/>
      <c r="AG18" s="26">
        <f t="shared" si="4"/>
        <v>0</v>
      </c>
      <c r="AH18" s="12"/>
      <c r="AI18" s="24">
        <f t="shared" si="5"/>
        <v>0</v>
      </c>
      <c r="AJ18" s="22"/>
      <c r="AK18" s="27"/>
      <c r="AL18" s="28"/>
      <c r="AM18" s="28"/>
      <c r="AN18" s="29">
        <f t="shared" si="6"/>
        <v>0</v>
      </c>
      <c r="AO18" s="29">
        <f t="shared" si="7"/>
        <v>0</v>
      </c>
      <c r="AP18" s="21">
        <f t="shared" si="8"/>
        <v>25127.666666666668</v>
      </c>
      <c r="AQ18" s="486"/>
      <c r="AR18" s="486"/>
      <c r="AS18" s="484"/>
      <c r="AT18" s="484"/>
      <c r="AU18" s="484"/>
      <c r="AV18" s="484"/>
      <c r="AW18" s="484"/>
      <c r="AX18" s="484"/>
      <c r="AY18" s="484"/>
      <c r="AZ18" s="484"/>
      <c r="BA18" s="484"/>
      <c r="BB18" s="484"/>
      <c r="BC18" s="484"/>
      <c r="BD18" s="484"/>
    </row>
    <row r="19" spans="1:56" ht="16" thickBot="1">
      <c r="A19" s="484"/>
      <c r="B19" s="484"/>
      <c r="C19" s="484"/>
      <c r="D19" s="485"/>
      <c r="E19" s="485"/>
      <c r="F19" s="495"/>
      <c r="G19" s="496"/>
      <c r="H19" s="496"/>
      <c r="I19" s="496"/>
      <c r="J19" s="496"/>
      <c r="K19" s="496"/>
      <c r="L19" s="496"/>
      <c r="M19" s="496"/>
      <c r="N19" s="496"/>
      <c r="O19" s="496"/>
      <c r="P19" s="496"/>
      <c r="Q19" s="496"/>
      <c r="R19" s="59">
        <f>SUM(Q16:Q18)</f>
        <v>62500</v>
      </c>
      <c r="S19" s="496"/>
      <c r="T19" s="496"/>
      <c r="U19" s="496"/>
      <c r="V19" s="496"/>
      <c r="W19" s="496"/>
      <c r="X19" s="496"/>
      <c r="Y19" s="496"/>
      <c r="Z19" s="496"/>
      <c r="AA19" s="496"/>
      <c r="AB19" s="496"/>
      <c r="AC19" s="496"/>
      <c r="AD19" s="496"/>
      <c r="AE19" s="496"/>
      <c r="AF19" s="496"/>
      <c r="AG19" s="496"/>
      <c r="AH19" s="496"/>
      <c r="AI19" s="496"/>
      <c r="AJ19" s="497"/>
      <c r="AK19" s="60"/>
      <c r="AL19" s="61"/>
      <c r="AM19" s="61"/>
      <c r="AN19" s="61"/>
      <c r="AO19" s="62"/>
      <c r="AP19" s="498"/>
      <c r="AQ19" s="11"/>
      <c r="AR19" s="499"/>
      <c r="AS19" s="484"/>
      <c r="AT19" s="484"/>
      <c r="AU19" s="484"/>
      <c r="AV19" s="484"/>
      <c r="AW19" s="484"/>
      <c r="AX19" s="484"/>
      <c r="AY19" s="484"/>
      <c r="AZ19" s="484"/>
      <c r="BA19" s="484"/>
      <c r="BB19" s="484"/>
      <c r="BC19" s="484"/>
      <c r="BD19" s="484"/>
    </row>
    <row r="20" spans="1:56" s="46" customFormat="1">
      <c r="A20" s="484"/>
      <c r="B20" s="484"/>
      <c r="C20" s="484"/>
      <c r="D20" s="485"/>
      <c r="E20" s="485"/>
      <c r="F20" s="485" t="s">
        <v>177</v>
      </c>
      <c r="G20" s="485"/>
      <c r="H20" s="485"/>
      <c r="I20" s="485"/>
      <c r="J20" s="485"/>
      <c r="K20" s="485"/>
      <c r="L20" s="485"/>
      <c r="M20" s="485"/>
      <c r="N20" s="485"/>
      <c r="O20" s="485"/>
      <c r="P20" s="485"/>
      <c r="Q20" s="485"/>
      <c r="R20" s="485"/>
      <c r="S20" s="485"/>
      <c r="T20" s="485"/>
      <c r="U20" s="485"/>
      <c r="V20" s="485"/>
      <c r="W20" s="485"/>
      <c r="X20" s="485"/>
      <c r="Y20" s="485"/>
      <c r="Z20" s="485"/>
      <c r="AA20" s="485"/>
      <c r="AB20" s="485"/>
      <c r="AC20" s="485"/>
      <c r="AD20" s="485"/>
      <c r="AE20" s="485"/>
      <c r="AF20" s="485"/>
      <c r="AG20" s="485"/>
      <c r="AH20" s="485"/>
      <c r="AI20" s="485"/>
      <c r="AJ20" s="486"/>
      <c r="AK20" s="8"/>
      <c r="AL20" s="9"/>
      <c r="AM20" s="10"/>
      <c r="AN20" s="10"/>
      <c r="AO20" s="7"/>
      <c r="AP20" s="57">
        <f>SUM(AP12:AP18)</f>
        <v>227291.16666666666</v>
      </c>
      <c r="AQ20" s="6"/>
      <c r="AR20" s="484"/>
      <c r="AS20" s="484"/>
      <c r="AT20" s="484"/>
      <c r="AU20" s="484"/>
      <c r="AV20" s="484"/>
      <c r="AW20" s="484"/>
      <c r="AX20" s="484"/>
      <c r="AY20" s="484"/>
      <c r="AZ20" s="484"/>
      <c r="BA20" s="484"/>
      <c r="BB20" s="484"/>
      <c r="BC20" s="484"/>
      <c r="BD20" s="484"/>
    </row>
    <row r="21" spans="1:56" s="46" customFormat="1">
      <c r="A21" s="484"/>
      <c r="B21" s="484"/>
      <c r="C21" s="484"/>
      <c r="D21" s="485"/>
      <c r="E21" s="485"/>
      <c r="F21" s="485"/>
      <c r="G21" s="485"/>
      <c r="H21" s="485"/>
      <c r="I21" s="485"/>
      <c r="J21" s="485"/>
      <c r="K21" s="485"/>
      <c r="L21" s="485"/>
      <c r="M21" s="485"/>
      <c r="N21" s="485"/>
      <c r="O21" s="485"/>
      <c r="P21" s="485"/>
      <c r="Q21" s="485"/>
      <c r="R21" s="485"/>
      <c r="S21" s="485"/>
      <c r="T21" s="485"/>
      <c r="U21" s="485"/>
      <c r="V21" s="485"/>
      <c r="W21" s="485"/>
      <c r="X21" s="485"/>
      <c r="Y21" s="485"/>
      <c r="Z21" s="485"/>
      <c r="AA21" s="485"/>
      <c r="AB21" s="485"/>
      <c r="AC21" s="485"/>
      <c r="AD21" s="485"/>
      <c r="AE21" s="485"/>
      <c r="AF21" s="485"/>
      <c r="AG21" s="485"/>
      <c r="AH21" s="485"/>
      <c r="AI21" s="485"/>
      <c r="AJ21" s="486"/>
      <c r="AK21" s="485"/>
      <c r="AL21" s="486"/>
      <c r="AM21" s="486"/>
      <c r="AN21" s="486"/>
      <c r="AO21" s="500"/>
      <c r="AP21" s="500"/>
      <c r="AQ21" s="6"/>
      <c r="AR21" s="484"/>
      <c r="AS21" s="484"/>
      <c r="AT21" s="484"/>
      <c r="AU21" s="484"/>
      <c r="AV21" s="484"/>
      <c r="AW21" s="484"/>
      <c r="AX21" s="484"/>
      <c r="AY21" s="484"/>
      <c r="AZ21" s="484"/>
      <c r="BA21" s="484"/>
      <c r="BB21" s="484"/>
      <c r="BC21" s="484"/>
      <c r="BD21" s="484"/>
    </row>
    <row r="22" spans="1:56" s="46" customFormat="1">
      <c r="A22" s="484"/>
      <c r="B22" s="484"/>
      <c r="C22" s="484"/>
      <c r="D22" s="485"/>
      <c r="E22" s="485"/>
      <c r="F22" s="485"/>
      <c r="G22" s="485"/>
      <c r="H22" s="485"/>
      <c r="I22" s="485"/>
      <c r="J22" s="485"/>
      <c r="K22" s="485"/>
      <c r="L22" s="485"/>
      <c r="M22" s="485"/>
      <c r="N22" s="485"/>
      <c r="O22" s="485"/>
      <c r="P22" s="485"/>
      <c r="Q22" s="485"/>
      <c r="R22" s="485"/>
      <c r="S22" s="485"/>
      <c r="T22" s="485"/>
      <c r="U22" s="485"/>
      <c r="V22" s="485"/>
      <c r="W22" s="485"/>
      <c r="X22" s="485"/>
      <c r="Y22" s="485"/>
      <c r="Z22" s="485"/>
      <c r="AA22" s="485"/>
      <c r="AB22" s="485"/>
      <c r="AC22" s="485"/>
      <c r="AD22" s="485"/>
      <c r="AE22" s="485"/>
      <c r="AF22" s="485"/>
      <c r="AG22" s="485"/>
      <c r="AH22" s="485"/>
      <c r="AI22" s="485"/>
      <c r="AJ22" s="486"/>
      <c r="AK22" s="486"/>
      <c r="AL22" s="486"/>
      <c r="AM22" s="484"/>
      <c r="AN22" s="484"/>
      <c r="AO22" s="484"/>
      <c r="AP22" s="484"/>
      <c r="AQ22" s="484"/>
      <c r="AR22" s="484"/>
      <c r="AS22" s="484"/>
      <c r="AT22" s="484"/>
      <c r="AU22" s="484"/>
      <c r="AV22" s="484"/>
      <c r="AW22" s="484"/>
      <c r="AX22" s="484"/>
      <c r="AY22" s="484"/>
      <c r="AZ22" s="484"/>
      <c r="BA22" s="484"/>
      <c r="BB22" s="484"/>
      <c r="BC22" s="484"/>
      <c r="BD22" s="484"/>
    </row>
    <row r="23" spans="1:56" s="46" customFormat="1">
      <c r="A23" s="484"/>
      <c r="B23" s="484"/>
      <c r="C23" s="484"/>
      <c r="D23" s="485"/>
      <c r="E23" s="485"/>
      <c r="F23" s="485"/>
      <c r="G23" s="485"/>
      <c r="H23" s="485"/>
      <c r="I23" s="485"/>
      <c r="J23" s="485"/>
      <c r="K23" s="485"/>
      <c r="L23" s="485"/>
      <c r="M23" s="485"/>
      <c r="N23" s="485"/>
      <c r="O23" s="485"/>
      <c r="P23" s="485"/>
      <c r="Q23" s="485"/>
      <c r="R23" s="485"/>
      <c r="S23" s="485"/>
      <c r="T23" s="485"/>
      <c r="U23" s="485"/>
      <c r="V23" s="485"/>
      <c r="W23" s="485"/>
      <c r="X23" s="485"/>
      <c r="Y23" s="485"/>
      <c r="Z23" s="485"/>
      <c r="AA23" s="485"/>
      <c r="AB23" s="485"/>
      <c r="AC23" s="485"/>
      <c r="AD23" s="485"/>
      <c r="AE23" s="485"/>
      <c r="AF23" s="485"/>
      <c r="AG23" s="485"/>
      <c r="AH23" s="485"/>
      <c r="AI23" s="485"/>
      <c r="AJ23" s="486"/>
      <c r="AK23" s="486"/>
      <c r="AL23" s="486"/>
      <c r="AM23" s="484"/>
      <c r="AN23" s="484"/>
      <c r="AO23" s="484"/>
      <c r="AP23" s="484"/>
      <c r="AQ23" s="484"/>
      <c r="AR23" s="484"/>
      <c r="AS23" s="484"/>
      <c r="AT23" s="484"/>
      <c r="AU23" s="484"/>
      <c r="AV23" s="484"/>
      <c r="AW23" s="484"/>
      <c r="AX23" s="484"/>
      <c r="AY23" s="484"/>
      <c r="AZ23" s="484"/>
      <c r="BA23" s="484"/>
      <c r="BB23" s="484"/>
      <c r="BC23" s="484"/>
      <c r="BD23" s="484"/>
    </row>
    <row r="24" spans="1:56" s="46" customFormat="1">
      <c r="A24" s="484"/>
      <c r="B24" s="484"/>
      <c r="C24" s="484"/>
      <c r="D24" s="485"/>
      <c r="E24" s="485"/>
      <c r="F24" s="485"/>
      <c r="G24" s="485"/>
      <c r="H24" s="485"/>
      <c r="I24" s="485"/>
      <c r="J24" s="485"/>
      <c r="K24" s="485"/>
      <c r="L24" s="485"/>
      <c r="M24" s="485"/>
      <c r="N24" s="485"/>
      <c r="O24" s="485"/>
      <c r="P24" s="485"/>
      <c r="Q24" s="485"/>
      <c r="R24" s="485"/>
      <c r="S24" s="485"/>
      <c r="T24" s="485"/>
      <c r="U24" s="485"/>
      <c r="V24" s="485"/>
      <c r="W24" s="485"/>
      <c r="X24" s="485"/>
      <c r="Y24" s="485"/>
      <c r="Z24" s="485"/>
      <c r="AA24" s="485"/>
      <c r="AB24" s="485"/>
      <c r="AC24" s="485"/>
      <c r="AD24" s="485"/>
      <c r="AE24" s="485"/>
      <c r="AF24" s="485"/>
      <c r="AG24" s="485"/>
      <c r="AH24" s="485"/>
      <c r="AI24" s="485"/>
      <c r="AJ24" s="486"/>
      <c r="AK24" s="486"/>
      <c r="AL24" s="486"/>
      <c r="AM24" s="484"/>
      <c r="AN24" s="484"/>
      <c r="AO24" s="484"/>
      <c r="AP24" s="484"/>
      <c r="AQ24" s="484"/>
      <c r="AR24" s="484"/>
      <c r="AS24" s="484"/>
      <c r="AT24" s="484"/>
      <c r="AU24" s="484"/>
      <c r="AV24" s="484"/>
      <c r="AW24" s="484"/>
      <c r="AX24" s="484"/>
      <c r="AY24" s="484"/>
      <c r="AZ24" s="484"/>
      <c r="BA24" s="484"/>
      <c r="BB24" s="484"/>
      <c r="BC24" s="484"/>
      <c r="BD24" s="484"/>
    </row>
    <row r="25" spans="1:56" s="46" customFormat="1">
      <c r="A25" s="484"/>
      <c r="B25" s="484"/>
      <c r="C25" s="484"/>
      <c r="D25" s="485"/>
      <c r="E25" s="485"/>
      <c r="F25" s="485"/>
      <c r="G25" s="485"/>
      <c r="H25" s="485"/>
      <c r="I25" s="485"/>
      <c r="J25" s="485"/>
      <c r="K25" s="485"/>
      <c r="L25" s="485"/>
      <c r="M25" s="485"/>
      <c r="N25" s="485"/>
      <c r="O25" s="485"/>
      <c r="P25" s="485"/>
      <c r="Q25" s="485"/>
      <c r="R25" s="485"/>
      <c r="S25" s="485"/>
      <c r="T25" s="485"/>
      <c r="U25" s="485"/>
      <c r="V25" s="485"/>
      <c r="W25" s="485"/>
      <c r="X25" s="485"/>
      <c r="Y25" s="485"/>
      <c r="Z25" s="485"/>
      <c r="AA25" s="485"/>
      <c r="AB25" s="485"/>
      <c r="AC25" s="485"/>
      <c r="AD25" s="485"/>
      <c r="AE25" s="485"/>
      <c r="AF25" s="485"/>
      <c r="AG25" s="485"/>
      <c r="AH25" s="485"/>
      <c r="AI25" s="485"/>
      <c r="AJ25" s="486"/>
      <c r="AK25" s="486"/>
      <c r="AL25" s="486"/>
      <c r="AM25" s="484"/>
      <c r="AN25" s="484"/>
      <c r="AO25" s="484"/>
      <c r="AP25" s="484"/>
      <c r="AQ25" s="484"/>
      <c r="AR25" s="484"/>
      <c r="AS25" s="484"/>
      <c r="AT25" s="484"/>
      <c r="AU25" s="484"/>
      <c r="AV25" s="484"/>
      <c r="AW25" s="484"/>
      <c r="AX25" s="484"/>
      <c r="AY25" s="484"/>
      <c r="AZ25" s="484"/>
      <c r="BA25" s="484"/>
      <c r="BB25" s="484"/>
      <c r="BC25" s="484"/>
      <c r="BD25" s="484"/>
    </row>
    <row r="26" spans="1:56" s="46" customFormat="1">
      <c r="A26" s="484"/>
      <c r="B26" s="484"/>
      <c r="C26" s="484"/>
      <c r="D26" s="485"/>
      <c r="E26" s="485"/>
      <c r="F26" s="485"/>
      <c r="G26" s="485"/>
      <c r="H26" s="485"/>
      <c r="I26" s="485"/>
      <c r="J26" s="485"/>
      <c r="K26" s="485"/>
      <c r="L26" s="485"/>
      <c r="M26" s="485"/>
      <c r="N26" s="485"/>
      <c r="O26" s="485"/>
      <c r="P26" s="485"/>
      <c r="Q26" s="485"/>
      <c r="R26" s="485"/>
      <c r="S26" s="485"/>
      <c r="T26" s="485"/>
      <c r="U26" s="485"/>
      <c r="V26" s="485"/>
      <c r="W26" s="485"/>
      <c r="X26" s="485"/>
      <c r="Y26" s="485"/>
      <c r="Z26" s="485"/>
      <c r="AA26" s="485"/>
      <c r="AB26" s="485"/>
      <c r="AC26" s="485"/>
      <c r="AD26" s="485"/>
      <c r="AE26" s="485"/>
      <c r="AF26" s="485"/>
      <c r="AG26" s="485"/>
      <c r="AH26" s="485"/>
      <c r="AI26" s="485"/>
      <c r="AJ26" s="486"/>
      <c r="AK26" s="486"/>
      <c r="AL26" s="486"/>
      <c r="AM26" s="484"/>
      <c r="AN26" s="484"/>
      <c r="AO26" s="484"/>
      <c r="AP26" s="484"/>
      <c r="AQ26" s="484"/>
      <c r="AR26" s="484"/>
      <c r="AS26" s="484"/>
      <c r="AT26" s="484"/>
      <c r="AU26" s="484"/>
      <c r="AV26" s="484"/>
      <c r="AW26" s="484"/>
      <c r="AX26" s="484"/>
      <c r="AY26" s="484"/>
      <c r="AZ26" s="484"/>
      <c r="BA26" s="484"/>
      <c r="BB26" s="484"/>
      <c r="BC26" s="484"/>
      <c r="BD26" s="484"/>
    </row>
    <row r="27" spans="1:56">
      <c r="A27" s="484"/>
      <c r="B27" s="484"/>
      <c r="C27" s="484"/>
      <c r="D27" s="485"/>
      <c r="E27" s="485"/>
      <c r="F27" s="485"/>
      <c r="G27" s="485"/>
      <c r="H27" s="485"/>
      <c r="I27" s="485"/>
      <c r="J27" s="485"/>
      <c r="K27" s="485"/>
      <c r="L27" s="485"/>
      <c r="M27" s="485"/>
      <c r="N27" s="485"/>
      <c r="O27" s="485"/>
      <c r="P27" s="485"/>
      <c r="Q27" s="485"/>
      <c r="R27" s="485"/>
      <c r="S27" s="485"/>
      <c r="T27" s="485"/>
      <c r="U27" s="485"/>
      <c r="V27" s="485"/>
      <c r="W27" s="485"/>
      <c r="X27" s="485"/>
      <c r="Y27" s="485"/>
      <c r="Z27" s="485"/>
      <c r="AA27" s="485"/>
      <c r="AB27" s="485"/>
      <c r="AC27" s="485"/>
      <c r="AD27" s="485"/>
      <c r="AE27" s="485"/>
      <c r="AF27" s="485"/>
      <c r="AG27" s="485"/>
      <c r="AH27" s="486"/>
      <c r="AI27" s="486"/>
      <c r="AJ27" s="486"/>
      <c r="AK27" s="484"/>
      <c r="AL27" s="484"/>
      <c r="AM27" s="484"/>
      <c r="AN27" s="484"/>
      <c r="AO27" s="484"/>
      <c r="AP27" s="484"/>
      <c r="AQ27" s="484"/>
      <c r="AR27" s="484"/>
      <c r="AS27" s="484"/>
      <c r="AT27" s="484"/>
      <c r="AU27" s="484"/>
      <c r="AV27" s="484"/>
      <c r="AW27" s="484"/>
      <c r="AX27" s="484"/>
      <c r="AY27" s="484"/>
      <c r="AZ27" s="484"/>
      <c r="BA27" s="484"/>
      <c r="BB27" s="484"/>
      <c r="BC27" s="484"/>
      <c r="BD27" s="484"/>
    </row>
    <row r="28" spans="1:56" ht="35.25" customHeight="1">
      <c r="A28" s="484" t="s">
        <v>178</v>
      </c>
      <c r="B28" s="484" t="s">
        <v>179</v>
      </c>
      <c r="C28" s="484"/>
      <c r="D28" s="485"/>
      <c r="E28" s="485"/>
      <c r="F28" s="485"/>
      <c r="G28" s="485"/>
      <c r="H28" s="485"/>
      <c r="I28" s="485"/>
      <c r="J28" s="485"/>
      <c r="K28" s="485"/>
      <c r="L28" s="485"/>
      <c r="M28" s="485"/>
      <c r="N28" s="485"/>
      <c r="O28" s="485"/>
      <c r="P28" s="485"/>
      <c r="Q28" s="485"/>
      <c r="R28" s="485"/>
      <c r="S28" s="485"/>
      <c r="T28" s="485"/>
      <c r="U28" s="485"/>
      <c r="V28" s="485"/>
      <c r="W28" s="485"/>
      <c r="X28" s="485"/>
      <c r="Y28" s="485"/>
      <c r="Z28" s="485"/>
      <c r="AA28" s="485"/>
      <c r="AB28" s="485"/>
      <c r="AC28" s="485"/>
      <c r="AD28" s="485"/>
      <c r="AE28" s="485"/>
      <c r="AF28" s="485"/>
      <c r="AG28" s="485"/>
      <c r="AH28" s="486"/>
      <c r="AI28" s="486"/>
      <c r="AJ28" s="486"/>
      <c r="AK28" s="484"/>
      <c r="AL28" s="484"/>
      <c r="AM28" s="484"/>
      <c r="AN28" s="484"/>
      <c r="AO28" s="484"/>
      <c r="AP28" s="484"/>
      <c r="AQ28" s="484"/>
      <c r="AR28" s="484"/>
      <c r="AS28" s="484"/>
      <c r="AT28" s="484"/>
      <c r="AU28" s="484"/>
      <c r="AV28" s="484"/>
      <c r="AW28" s="484"/>
      <c r="AX28" s="484"/>
      <c r="AY28" s="484"/>
      <c r="AZ28" s="484"/>
      <c r="BA28" s="484"/>
      <c r="BB28" s="484"/>
      <c r="BC28" s="484"/>
      <c r="BD28" s="484"/>
    </row>
    <row r="29" spans="1:56">
      <c r="A29" s="484" t="s">
        <v>180</v>
      </c>
      <c r="B29" s="51" t="s">
        <v>181</v>
      </c>
      <c r="C29" s="484"/>
      <c r="D29" s="485"/>
      <c r="E29" s="485"/>
      <c r="F29" s="485"/>
      <c r="G29" s="485"/>
      <c r="H29" s="485"/>
      <c r="I29" s="485"/>
      <c r="J29" s="485"/>
      <c r="K29" s="485"/>
      <c r="L29" s="485"/>
      <c r="M29" s="485"/>
      <c r="N29" s="485"/>
      <c r="O29" s="485"/>
      <c r="P29" s="485"/>
      <c r="Q29" s="485"/>
      <c r="R29" s="485"/>
      <c r="S29" s="485"/>
      <c r="T29" s="485"/>
      <c r="U29" s="485"/>
      <c r="V29" s="485"/>
      <c r="W29" s="485"/>
      <c r="X29" s="485"/>
      <c r="Y29" s="485"/>
      <c r="Z29" s="485"/>
      <c r="AA29" s="485"/>
      <c r="AB29" s="485"/>
      <c r="AC29" s="485"/>
      <c r="AD29" s="485"/>
      <c r="AE29" s="485"/>
      <c r="AF29" s="485"/>
      <c r="AG29" s="485"/>
      <c r="AH29" s="486"/>
      <c r="AI29" s="486"/>
      <c r="AJ29" s="486"/>
      <c r="AK29" s="484"/>
      <c r="AL29" s="484"/>
      <c r="AM29" s="484"/>
      <c r="AN29" s="484"/>
      <c r="AO29" s="484"/>
      <c r="AP29" s="484"/>
      <c r="AQ29" s="484"/>
      <c r="AR29" s="484"/>
      <c r="AS29" s="484"/>
      <c r="AT29" s="484"/>
      <c r="AU29" s="484"/>
      <c r="AV29" s="484"/>
      <c r="AW29" s="484"/>
      <c r="AX29" s="484"/>
      <c r="AY29" s="484"/>
      <c r="AZ29" s="484"/>
      <c r="BA29" s="484"/>
      <c r="BB29" s="484"/>
      <c r="BC29" s="484"/>
      <c r="BD29" s="484"/>
    </row>
    <row r="30" spans="1:56">
      <c r="A30" s="484" t="s">
        <v>182</v>
      </c>
      <c r="B30" s="484" t="s">
        <v>183</v>
      </c>
      <c r="C30" s="484"/>
      <c r="D30" s="485"/>
      <c r="E30" s="485"/>
      <c r="F30" s="485" t="s">
        <v>184</v>
      </c>
      <c r="G30" s="485"/>
      <c r="H30" s="485"/>
      <c r="I30" s="485"/>
      <c r="J30" s="485"/>
      <c r="K30" s="485"/>
      <c r="L30" s="485"/>
      <c r="M30" s="485"/>
      <c r="N30" s="485"/>
      <c r="O30" s="485"/>
      <c r="P30" s="485"/>
      <c r="Q30" s="485"/>
      <c r="R30" s="485"/>
      <c r="S30" s="485"/>
      <c r="T30" s="485"/>
      <c r="U30" s="485"/>
      <c r="V30" s="485"/>
      <c r="W30" s="485"/>
      <c r="X30" s="485"/>
      <c r="Y30" s="485"/>
      <c r="Z30" s="485"/>
      <c r="AA30" s="485"/>
      <c r="AB30" s="485"/>
      <c r="AC30" s="485"/>
      <c r="AD30" s="485"/>
      <c r="AE30" s="485"/>
      <c r="AF30" s="485"/>
      <c r="AG30" s="485"/>
      <c r="AH30" s="486"/>
      <c r="AI30" s="486"/>
      <c r="AJ30" s="486"/>
      <c r="AK30" s="484"/>
      <c r="AL30" s="484"/>
      <c r="AM30" s="484"/>
      <c r="AN30" s="484"/>
      <c r="AO30" s="484"/>
      <c r="AP30" s="484"/>
      <c r="AQ30" s="484"/>
      <c r="AR30" s="484"/>
      <c r="AS30" s="484"/>
      <c r="AT30" s="484"/>
      <c r="AU30" s="484"/>
      <c r="AV30" s="484"/>
      <c r="AW30" s="484"/>
      <c r="AX30" s="484"/>
      <c r="AY30" s="484"/>
      <c r="AZ30" s="484"/>
      <c r="BA30" s="484"/>
      <c r="BB30" s="484"/>
      <c r="BC30" s="484"/>
      <c r="BD30" s="484"/>
    </row>
    <row r="31" spans="1:56" ht="16" thickBot="1">
      <c r="A31" s="484" t="s">
        <v>185</v>
      </c>
      <c r="B31" s="501">
        <v>45478</v>
      </c>
      <c r="C31" s="484"/>
      <c r="D31" s="485"/>
      <c r="E31" s="485"/>
      <c r="F31" s="485"/>
      <c r="G31" s="485"/>
      <c r="H31" s="485"/>
      <c r="I31" s="485"/>
      <c r="J31" s="485"/>
      <c r="K31" s="485"/>
      <c r="L31" s="485"/>
      <c r="M31" s="653"/>
      <c r="N31" s="653"/>
      <c r="O31" s="653"/>
      <c r="P31" s="653"/>
      <c r="Q31" s="653"/>
      <c r="R31" s="485"/>
      <c r="S31" s="485"/>
      <c r="T31" s="485"/>
      <c r="U31" s="485"/>
      <c r="V31" s="485"/>
      <c r="W31" s="485"/>
      <c r="X31" s="485"/>
      <c r="Y31" s="485"/>
      <c r="Z31" s="654"/>
      <c r="AA31" s="654"/>
      <c r="AB31" s="654"/>
      <c r="AC31" s="654"/>
      <c r="AD31" s="654"/>
      <c r="AE31" s="654"/>
      <c r="AF31" s="654"/>
      <c r="AG31" s="655"/>
      <c r="AH31" s="655"/>
      <c r="AI31" s="655"/>
      <c r="AJ31" s="655"/>
      <c r="AK31" s="655"/>
      <c r="AL31" s="484"/>
      <c r="AM31" s="484"/>
      <c r="AN31" s="484"/>
      <c r="AO31" s="484"/>
      <c r="AP31" s="484"/>
      <c r="AQ31" s="484"/>
      <c r="AR31" s="484"/>
      <c r="AS31" s="484"/>
      <c r="AT31" s="484"/>
      <c r="AU31" s="484"/>
      <c r="AV31" s="484"/>
      <c r="AW31" s="484"/>
      <c r="AX31" s="484"/>
      <c r="AY31" s="484"/>
      <c r="AZ31" s="484"/>
      <c r="BA31" s="484"/>
      <c r="BB31" s="484"/>
      <c r="BC31" s="484"/>
      <c r="BD31" s="484"/>
    </row>
    <row r="32" spans="1:56">
      <c r="A32" s="484" t="s">
        <v>186</v>
      </c>
      <c r="B32" s="51" t="s">
        <v>187</v>
      </c>
      <c r="C32" s="484"/>
      <c r="D32" s="485"/>
      <c r="E32" s="485"/>
      <c r="F32" s="502"/>
      <c r="G32" s="503"/>
      <c r="H32" s="503"/>
      <c r="I32" s="503"/>
      <c r="J32" s="503"/>
      <c r="K32" s="503"/>
      <c r="L32" s="503"/>
      <c r="M32" s="503"/>
      <c r="N32" s="503"/>
      <c r="O32" s="503"/>
      <c r="P32" s="503"/>
      <c r="Q32" s="504"/>
      <c r="R32" s="503"/>
      <c r="S32" s="503"/>
      <c r="T32" s="503"/>
      <c r="U32" s="503"/>
      <c r="V32" s="503"/>
      <c r="W32" s="503"/>
      <c r="X32" s="504"/>
      <c r="Y32" s="504"/>
      <c r="Z32" s="504"/>
      <c r="AA32" s="503"/>
      <c r="AB32" s="505"/>
      <c r="AC32" s="503"/>
      <c r="AD32" s="503"/>
      <c r="AE32" s="504"/>
      <c r="AF32" s="504"/>
      <c r="AG32" s="504"/>
      <c r="AH32" s="503"/>
      <c r="AI32" s="503"/>
      <c r="AJ32" s="504"/>
      <c r="AK32" s="503"/>
      <c r="AL32" s="504"/>
      <c r="AM32" s="503"/>
      <c r="AN32" s="506"/>
      <c r="AO32" s="506"/>
      <c r="AP32" s="506"/>
      <c r="AQ32" s="507"/>
      <c r="AR32" s="507"/>
      <c r="AS32" s="508"/>
      <c r="AT32" s="484"/>
      <c r="AU32" s="484"/>
      <c r="AV32" s="484"/>
      <c r="AW32" s="484"/>
      <c r="AX32" s="484"/>
      <c r="AY32" s="484"/>
      <c r="AZ32" s="484"/>
      <c r="BA32" s="484"/>
      <c r="BB32" s="484"/>
      <c r="BC32" s="484"/>
      <c r="BD32" s="484"/>
    </row>
    <row r="33" spans="1:56" ht="16">
      <c r="A33" s="484" t="s">
        <v>188</v>
      </c>
      <c r="B33" s="52" t="s">
        <v>189</v>
      </c>
      <c r="C33" s="484"/>
      <c r="D33" s="485"/>
      <c r="E33" s="485"/>
      <c r="F33" s="489" t="s">
        <v>128</v>
      </c>
      <c r="G33" s="485" t="s">
        <v>129</v>
      </c>
      <c r="H33" s="485" t="s">
        <v>130</v>
      </c>
      <c r="I33" s="485" t="s">
        <v>131</v>
      </c>
      <c r="J33" s="485" t="s">
        <v>190</v>
      </c>
      <c r="K33" s="485" t="s">
        <v>132</v>
      </c>
      <c r="L33" s="485" t="s">
        <v>133</v>
      </c>
      <c r="M33" s="485"/>
      <c r="N33" s="485"/>
      <c r="O33" s="485"/>
      <c r="P33" s="485"/>
      <c r="Q33" s="509"/>
      <c r="R33" s="485"/>
      <c r="S33" s="485"/>
      <c r="T33" s="485"/>
      <c r="U33" s="485"/>
      <c r="V33" s="485"/>
      <c r="W33" s="485"/>
      <c r="X33" s="509" t="s">
        <v>191</v>
      </c>
      <c r="Y33" s="509" t="s">
        <v>41</v>
      </c>
      <c r="Z33" s="509" t="s">
        <v>192</v>
      </c>
      <c r="AA33" s="485"/>
      <c r="AB33" s="487"/>
      <c r="AC33" s="485"/>
      <c r="AD33" s="485"/>
      <c r="AE33" s="509" t="s">
        <v>193</v>
      </c>
      <c r="AF33" s="509" t="s">
        <v>194</v>
      </c>
      <c r="AG33" s="509" t="s">
        <v>12</v>
      </c>
      <c r="AH33" s="485"/>
      <c r="AI33" s="485"/>
      <c r="AJ33" s="509" t="s">
        <v>72</v>
      </c>
      <c r="AK33" s="485"/>
      <c r="AL33" s="509" t="s">
        <v>67</v>
      </c>
      <c r="AM33" s="485"/>
      <c r="AN33" s="486"/>
      <c r="AO33" s="486"/>
      <c r="AP33" s="486"/>
      <c r="AQ33" s="510" t="s">
        <v>53</v>
      </c>
      <c r="AR33" s="510" t="s">
        <v>95</v>
      </c>
      <c r="AS33" s="511" t="s">
        <v>102</v>
      </c>
      <c r="AT33" s="484"/>
      <c r="AU33" s="484"/>
      <c r="AV33" s="484"/>
      <c r="AW33" s="484"/>
      <c r="AX33" s="484"/>
      <c r="AY33" s="484"/>
      <c r="AZ33" s="484"/>
      <c r="BA33" s="484"/>
      <c r="BB33" s="484"/>
      <c r="BC33" s="484"/>
      <c r="BD33" s="484"/>
    </row>
    <row r="34" spans="1:56" ht="18" thickBot="1">
      <c r="A34" s="484"/>
      <c r="B34" s="484"/>
      <c r="C34" s="484"/>
      <c r="D34" s="485"/>
      <c r="E34" s="485"/>
      <c r="F34" s="512" t="s">
        <v>137</v>
      </c>
      <c r="G34" s="485" t="s">
        <v>138</v>
      </c>
      <c r="H34" s="485" t="s">
        <v>139</v>
      </c>
      <c r="I34" s="485" t="s">
        <v>140</v>
      </c>
      <c r="J34" s="485"/>
      <c r="K34" s="485"/>
      <c r="L34" s="485"/>
      <c r="M34" s="63" t="s">
        <v>195</v>
      </c>
      <c r="N34" s="513" t="s">
        <v>110</v>
      </c>
      <c r="O34" s="63" t="s">
        <v>196</v>
      </c>
      <c r="P34" s="63" t="s">
        <v>197</v>
      </c>
      <c r="Q34" s="514" t="s">
        <v>97</v>
      </c>
      <c r="R34" s="485" t="s">
        <v>40</v>
      </c>
      <c r="S34" s="485" t="s">
        <v>47</v>
      </c>
      <c r="T34" s="485" t="s">
        <v>83</v>
      </c>
      <c r="U34" s="485" t="s">
        <v>198</v>
      </c>
      <c r="V34" s="485" t="s">
        <v>199</v>
      </c>
      <c r="W34" s="485" t="s">
        <v>200</v>
      </c>
      <c r="X34" s="509" t="s">
        <v>37</v>
      </c>
      <c r="Y34" s="509" t="s">
        <v>90</v>
      </c>
      <c r="Z34" s="509" t="s">
        <v>45</v>
      </c>
      <c r="AA34" s="485" t="s">
        <v>64</v>
      </c>
      <c r="AB34" s="485" t="s">
        <v>62</v>
      </c>
      <c r="AC34" s="3" t="s">
        <v>201</v>
      </c>
      <c r="AD34" s="485" t="s">
        <v>112</v>
      </c>
      <c r="AE34" s="64" t="s">
        <v>202</v>
      </c>
      <c r="AF34" s="64" t="s">
        <v>203</v>
      </c>
      <c r="AG34" s="65" t="s">
        <v>204</v>
      </c>
      <c r="AH34" s="485" t="s">
        <v>104</v>
      </c>
      <c r="AI34" s="485" t="s">
        <v>99</v>
      </c>
      <c r="AJ34" s="509" t="s">
        <v>66</v>
      </c>
      <c r="AK34" s="485" t="s">
        <v>69</v>
      </c>
      <c r="AL34" s="66" t="s">
        <v>74</v>
      </c>
      <c r="AM34" s="513" t="s">
        <v>52</v>
      </c>
      <c r="AN34" s="513" t="s">
        <v>55</v>
      </c>
      <c r="AO34" s="513" t="s">
        <v>60</v>
      </c>
      <c r="AP34" s="513" t="s">
        <v>57</v>
      </c>
      <c r="AQ34" s="514" t="s">
        <v>81</v>
      </c>
      <c r="AR34" s="514" t="s">
        <v>94</v>
      </c>
      <c r="AS34" s="515" t="s">
        <v>101</v>
      </c>
      <c r="AT34" s="484"/>
      <c r="AU34" s="484"/>
      <c r="AV34" s="484"/>
      <c r="AW34" s="484"/>
      <c r="AX34" s="484"/>
      <c r="AY34" s="484"/>
      <c r="AZ34" s="484"/>
      <c r="BA34" s="484"/>
      <c r="BB34" s="484"/>
      <c r="BC34" s="484"/>
      <c r="BD34" s="484"/>
    </row>
    <row r="35" spans="1:56">
      <c r="A35" s="484"/>
      <c r="B35" s="484"/>
      <c r="C35" s="484"/>
      <c r="D35" s="485"/>
      <c r="E35" s="485"/>
      <c r="F35" s="73" t="s">
        <v>175</v>
      </c>
      <c r="G35" s="516">
        <v>1</v>
      </c>
      <c r="H35" s="516" t="s">
        <v>173</v>
      </c>
      <c r="I35" s="516" t="s">
        <v>174</v>
      </c>
      <c r="J35" s="516" t="s">
        <v>174</v>
      </c>
      <c r="K35" s="516">
        <v>44</v>
      </c>
      <c r="L35" s="516">
        <v>12</v>
      </c>
      <c r="M35" s="492"/>
      <c r="N35" s="492"/>
      <c r="O35" s="492"/>
      <c r="P35" s="492"/>
      <c r="Q35" s="517">
        <f>O35+P35</f>
        <v>0</v>
      </c>
      <c r="R35" s="518">
        <v>4.9000000000000002E-2</v>
      </c>
      <c r="S35" s="491">
        <v>28</v>
      </c>
      <c r="T35" s="519">
        <v>0</v>
      </c>
      <c r="U35" s="520"/>
      <c r="V35" s="521"/>
      <c r="W35" s="521"/>
      <c r="X35" s="522">
        <f>W35+V35</f>
        <v>0</v>
      </c>
      <c r="Y35" s="523">
        <f>(R35*S35*AA35)</f>
        <v>65170.000000000007</v>
      </c>
      <c r="Z35" s="522">
        <f t="shared" ref="Z35:Z37" si="19">U35+T35</f>
        <v>0</v>
      </c>
      <c r="AA35" s="491">
        <f>9.5*5000</f>
        <v>47500</v>
      </c>
      <c r="AB35" s="491">
        <f>AA35</f>
        <v>47500</v>
      </c>
      <c r="AC35" s="492">
        <v>0.49</v>
      </c>
      <c r="AD35" s="492">
        <v>0.89</v>
      </c>
      <c r="AE35" s="523">
        <f>(AA35*AC35*AD35)</f>
        <v>20714.75</v>
      </c>
      <c r="AF35" s="523">
        <f>($X$38+$Y$38+$Z$38)*(AA35/$AB$38)</f>
        <v>65170.000000000015</v>
      </c>
      <c r="AG35" s="523">
        <f>(AE35*K35/L35)-AF35</f>
        <v>10784.083333333314</v>
      </c>
      <c r="AH35" s="492"/>
      <c r="AI35" s="520"/>
      <c r="AJ35" s="524">
        <f>AI35+AH35</f>
        <v>0</v>
      </c>
      <c r="AK35" s="492"/>
      <c r="AL35" s="517">
        <f>(AJ35+AK35)</f>
        <v>0</v>
      </c>
      <c r="AM35" s="492"/>
      <c r="AN35" s="525"/>
      <c r="AO35" s="526"/>
      <c r="AP35" s="526"/>
      <c r="AQ35" s="527">
        <f t="shared" ref="AQ35:AQ37" si="20">AM35+AN35+AO35+AP35</f>
        <v>0</v>
      </c>
      <c r="AR35" s="527">
        <f>Q35-N35</f>
        <v>0</v>
      </c>
      <c r="AS35" s="528">
        <f>AR35+AG35-AL35-AQ35</f>
        <v>10784.083333333314</v>
      </c>
      <c r="AT35" s="484"/>
      <c r="AU35" s="484"/>
      <c r="AV35" s="484"/>
      <c r="AW35" s="484"/>
      <c r="AX35" s="484"/>
      <c r="AY35" s="484"/>
      <c r="AZ35" s="484"/>
      <c r="BA35" s="484"/>
      <c r="BB35" s="484"/>
      <c r="BC35" s="484"/>
      <c r="BD35" s="484"/>
    </row>
    <row r="36" spans="1:56">
      <c r="A36" s="484"/>
      <c r="B36" s="484"/>
      <c r="C36" s="484"/>
      <c r="D36" s="485"/>
      <c r="E36" s="485"/>
      <c r="F36" s="529" t="s">
        <v>176</v>
      </c>
      <c r="G36" s="485">
        <v>1</v>
      </c>
      <c r="H36" s="485" t="s">
        <v>173</v>
      </c>
      <c r="I36" s="485" t="s">
        <v>174</v>
      </c>
      <c r="J36" s="485" t="s">
        <v>174</v>
      </c>
      <c r="K36" s="485">
        <v>44</v>
      </c>
      <c r="L36" s="485">
        <v>12</v>
      </c>
      <c r="M36" s="494"/>
      <c r="N36" s="494"/>
      <c r="O36" s="494"/>
      <c r="P36" s="494"/>
      <c r="Q36" s="530">
        <f>O36+P36</f>
        <v>0</v>
      </c>
      <c r="R36" s="531">
        <v>4.9000000000000002E-2</v>
      </c>
      <c r="S36" s="493">
        <v>28</v>
      </c>
      <c r="T36" s="532">
        <v>0</v>
      </c>
      <c r="U36" s="494"/>
      <c r="V36" s="494"/>
      <c r="W36" s="531"/>
      <c r="X36" s="533">
        <f>W36+V36</f>
        <v>0</v>
      </c>
      <c r="Y36" s="534">
        <f>(R36*S36*AA36)</f>
        <v>6860.0000000000009</v>
      </c>
      <c r="Z36" s="533">
        <f t="shared" si="19"/>
        <v>0</v>
      </c>
      <c r="AA36" s="493">
        <f>1*5000</f>
        <v>5000</v>
      </c>
      <c r="AB36" s="493">
        <f>AA36</f>
        <v>5000</v>
      </c>
      <c r="AC36" s="494">
        <v>0.77</v>
      </c>
      <c r="AD36" s="494">
        <v>0.89</v>
      </c>
      <c r="AE36" s="534">
        <f>(AA36*AC36*AD36)</f>
        <v>3426.5</v>
      </c>
      <c r="AF36" s="534">
        <f>($X$38+$Y$38+$Z$38)*(AA36/$AB$38)</f>
        <v>6860.0000000000009</v>
      </c>
      <c r="AG36" s="534">
        <f>(AE36*K36/L36)-AF36</f>
        <v>5703.833333333333</v>
      </c>
      <c r="AH36" s="494"/>
      <c r="AI36" s="494"/>
      <c r="AJ36" s="535">
        <f t="shared" ref="AJ36:AJ37" si="21">AI36+AH36</f>
        <v>0</v>
      </c>
      <c r="AK36" s="494"/>
      <c r="AL36" s="530">
        <f t="shared" ref="AL36:AL37" si="22">(AJ36+AK36)</f>
        <v>0</v>
      </c>
      <c r="AM36" s="494"/>
      <c r="AN36" s="536"/>
      <c r="AO36" s="537"/>
      <c r="AP36" s="537"/>
      <c r="AQ36" s="538">
        <f t="shared" si="20"/>
        <v>0</v>
      </c>
      <c r="AR36" s="538">
        <f>Q36-N36</f>
        <v>0</v>
      </c>
      <c r="AS36" s="539">
        <f>AR36+AG36-AL36-AQ36</f>
        <v>5703.833333333333</v>
      </c>
      <c r="AT36" s="484"/>
      <c r="AU36" s="484"/>
      <c r="AV36" s="484"/>
      <c r="AW36" s="484"/>
      <c r="AX36" s="484"/>
      <c r="AY36" s="484"/>
      <c r="AZ36" s="484"/>
      <c r="BA36" s="484"/>
      <c r="BB36" s="484"/>
      <c r="BC36" s="484"/>
      <c r="BD36" s="484"/>
    </row>
    <row r="37" spans="1:56">
      <c r="A37" s="484"/>
      <c r="B37" s="484"/>
      <c r="C37" s="484"/>
      <c r="D37" s="485"/>
      <c r="E37" s="485"/>
      <c r="F37" s="529" t="s">
        <v>172</v>
      </c>
      <c r="G37" s="485">
        <v>1</v>
      </c>
      <c r="H37" s="485" t="s">
        <v>173</v>
      </c>
      <c r="I37" s="485" t="s">
        <v>174</v>
      </c>
      <c r="J37" s="485" t="s">
        <v>174</v>
      </c>
      <c r="K37" s="485">
        <v>44</v>
      </c>
      <c r="L37" s="485">
        <v>12</v>
      </c>
      <c r="M37" s="485"/>
      <c r="N37" s="485"/>
      <c r="O37" s="485"/>
      <c r="P37" s="485"/>
      <c r="Q37" s="530">
        <f>O37+P37</f>
        <v>0</v>
      </c>
      <c r="R37" s="531">
        <v>4.9000000000000002E-2</v>
      </c>
      <c r="S37" s="493">
        <v>28</v>
      </c>
      <c r="T37" s="532">
        <v>0</v>
      </c>
      <c r="U37" s="485"/>
      <c r="V37" s="485"/>
      <c r="W37" s="485"/>
      <c r="X37" s="533">
        <f>W37+V37</f>
        <v>0</v>
      </c>
      <c r="Y37" s="534">
        <f>(R37*S37*AA37)</f>
        <v>13720.000000000002</v>
      </c>
      <c r="Z37" s="533">
        <f t="shared" si="19"/>
        <v>0</v>
      </c>
      <c r="AA37" s="493">
        <f>2*5000</f>
        <v>10000</v>
      </c>
      <c r="AB37" s="493">
        <f>AA37</f>
        <v>10000</v>
      </c>
      <c r="AC37" s="494">
        <v>0.77</v>
      </c>
      <c r="AD37" s="485">
        <v>0.89</v>
      </c>
      <c r="AE37" s="534">
        <f>(AA37*AC37*AD37)</f>
        <v>6853</v>
      </c>
      <c r="AF37" s="534">
        <f>($X$38+$Y$38+$Z$38)*(AA37/$AB$38)</f>
        <v>13720.000000000002</v>
      </c>
      <c r="AG37" s="534">
        <f>(AE37*K37/L37)-AF37</f>
        <v>11407.666666666666</v>
      </c>
      <c r="AH37" s="485"/>
      <c r="AI37" s="485"/>
      <c r="AJ37" s="535">
        <f t="shared" si="21"/>
        <v>0</v>
      </c>
      <c r="AK37" s="485"/>
      <c r="AL37" s="530">
        <f t="shared" si="22"/>
        <v>0</v>
      </c>
      <c r="AM37" s="485"/>
      <c r="AN37" s="486"/>
      <c r="AO37" s="486"/>
      <c r="AP37" s="486"/>
      <c r="AQ37" s="538">
        <f t="shared" si="20"/>
        <v>0</v>
      </c>
      <c r="AR37" s="538">
        <f>Q37-N37</f>
        <v>0</v>
      </c>
      <c r="AS37" s="539">
        <f>AR37+AG37-AL37-AQ37</f>
        <v>11407.666666666666</v>
      </c>
      <c r="AT37" s="484"/>
      <c r="AU37" s="484"/>
      <c r="AV37" s="484"/>
      <c r="AW37" s="484"/>
      <c r="AX37" s="484"/>
      <c r="AY37" s="484"/>
      <c r="AZ37" s="484"/>
      <c r="BA37" s="484"/>
      <c r="BB37" s="484"/>
      <c r="BC37" s="484"/>
      <c r="BD37" s="484"/>
    </row>
    <row r="38" spans="1:56" s="2" customFormat="1">
      <c r="A38" s="4"/>
      <c r="B38" s="4"/>
      <c r="C38" s="4"/>
      <c r="D38" s="3"/>
      <c r="E38" s="3"/>
      <c r="F38" s="74" t="s">
        <v>205</v>
      </c>
      <c r="G38" s="3"/>
      <c r="H38" s="3"/>
      <c r="I38" s="3"/>
      <c r="J38" s="3"/>
      <c r="K38" s="3"/>
      <c r="L38" s="3"/>
      <c r="M38" s="3"/>
      <c r="N38" s="3"/>
      <c r="O38" s="3"/>
      <c r="P38" s="3"/>
      <c r="Q38" s="67"/>
      <c r="R38" s="68"/>
      <c r="S38" s="83"/>
      <c r="T38" s="69"/>
      <c r="U38" s="3"/>
      <c r="V38" s="3"/>
      <c r="W38" s="3"/>
      <c r="X38" s="90">
        <f>SUM(X35:X37)</f>
        <v>0</v>
      </c>
      <c r="Y38" s="90">
        <f>SUM(Y35:Y37)</f>
        <v>85750.000000000015</v>
      </c>
      <c r="Z38" s="90">
        <f>SUM(Z35:Z37)</f>
        <v>0</v>
      </c>
      <c r="AA38" s="92">
        <f>SUM(AA35:AA37)</f>
        <v>62500</v>
      </c>
      <c r="AB38" s="92">
        <f>SUM(AB35:AB37)</f>
        <v>62500</v>
      </c>
      <c r="AC38" s="92"/>
      <c r="AD38" s="92"/>
      <c r="AE38" s="90">
        <f>SUM(AE35:AE37)</f>
        <v>30994.25</v>
      </c>
      <c r="AF38" s="90">
        <f>SUM(AF35:AF37)</f>
        <v>85750.000000000015</v>
      </c>
      <c r="AG38" s="91"/>
      <c r="AH38" s="70"/>
      <c r="AI38" s="70"/>
      <c r="AJ38" s="71"/>
      <c r="AK38" s="4"/>
      <c r="AL38" s="67"/>
      <c r="AM38" s="4"/>
      <c r="AN38" s="4"/>
      <c r="AO38" s="4"/>
      <c r="AP38" s="4"/>
      <c r="AQ38" s="72"/>
      <c r="AR38" s="72"/>
      <c r="AS38" s="80">
        <f>SUM(AS35:AS37)</f>
        <v>27895.583333333314</v>
      </c>
      <c r="AT38" s="4"/>
      <c r="AU38" s="4"/>
      <c r="AV38" s="4"/>
      <c r="AW38" s="4"/>
      <c r="AX38" s="4"/>
      <c r="AY38" s="4"/>
      <c r="AZ38" s="4"/>
      <c r="BA38" s="4"/>
      <c r="BB38" s="4"/>
      <c r="BC38" s="4"/>
      <c r="BD38" s="4"/>
    </row>
    <row r="39" spans="1:56">
      <c r="A39" s="484"/>
      <c r="B39" s="484"/>
      <c r="C39" s="484"/>
      <c r="D39" s="485"/>
      <c r="E39" s="485"/>
      <c r="F39" s="75" t="s">
        <v>175</v>
      </c>
      <c r="G39" s="485">
        <v>2</v>
      </c>
      <c r="H39" s="485" t="s">
        <v>173</v>
      </c>
      <c r="I39" s="485" t="s">
        <v>174</v>
      </c>
      <c r="J39" s="485" t="s">
        <v>174</v>
      </c>
      <c r="K39" s="485">
        <v>44</v>
      </c>
      <c r="L39" s="485">
        <v>12</v>
      </c>
      <c r="M39" s="494"/>
      <c r="N39" s="494"/>
      <c r="O39" s="494"/>
      <c r="P39" s="494"/>
      <c r="Q39" s="530">
        <f>O39+P39</f>
        <v>0</v>
      </c>
      <c r="R39" s="531">
        <v>4.9000000000000002E-2</v>
      </c>
      <c r="S39" s="493">
        <v>28</v>
      </c>
      <c r="T39" s="532">
        <v>0</v>
      </c>
      <c r="U39" s="540"/>
      <c r="V39" s="541"/>
      <c r="W39" s="541"/>
      <c r="X39" s="533">
        <f>W39+V39</f>
        <v>0</v>
      </c>
      <c r="Y39" s="534">
        <f>(R39*S39*AA39)</f>
        <v>65170.000000000007</v>
      </c>
      <c r="Z39" s="533">
        <f>U39+T39</f>
        <v>0</v>
      </c>
      <c r="AA39" s="493">
        <f>9.5*5000</f>
        <v>47500</v>
      </c>
      <c r="AB39" s="493">
        <f>AA39</f>
        <v>47500</v>
      </c>
      <c r="AC39" s="494">
        <v>0.49</v>
      </c>
      <c r="AD39" s="494">
        <v>0.89</v>
      </c>
      <c r="AE39" s="534">
        <f>(AA39*AC39*AD39)</f>
        <v>20714.75</v>
      </c>
      <c r="AF39" s="534">
        <f>($X$42+$Y$42+$Z$42)*(AA39/$AB$42)</f>
        <v>65170.000000000015</v>
      </c>
      <c r="AG39" s="534">
        <f>(AE39*K39/L39)-AF39</f>
        <v>10784.083333333314</v>
      </c>
      <c r="AH39" s="494"/>
      <c r="AI39" s="540"/>
      <c r="AJ39" s="535">
        <f>AI39+AH39</f>
        <v>0</v>
      </c>
      <c r="AK39" s="494"/>
      <c r="AL39" s="530">
        <f>(AJ39+AK39)</f>
        <v>0</v>
      </c>
      <c r="AM39" s="494"/>
      <c r="AN39" s="536"/>
      <c r="AO39" s="542"/>
      <c r="AP39" s="542"/>
      <c r="AQ39" s="538">
        <f>AM39+AN39+AO39+AP39</f>
        <v>0</v>
      </c>
      <c r="AR39" s="538">
        <f>Q39-N39</f>
        <v>0</v>
      </c>
      <c r="AS39" s="539">
        <f>AR39+AG39-AL39-AQ39</f>
        <v>10784.083333333314</v>
      </c>
      <c r="AT39" s="484"/>
      <c r="AU39" s="484"/>
      <c r="AV39" s="484"/>
      <c r="AW39" s="484"/>
      <c r="AX39" s="484"/>
      <c r="AY39" s="484"/>
      <c r="AZ39" s="484"/>
      <c r="BA39" s="484"/>
      <c r="BB39" s="484"/>
      <c r="BC39" s="484"/>
      <c r="BD39" s="484"/>
    </row>
    <row r="40" spans="1:56">
      <c r="A40" s="484"/>
      <c r="B40" s="484"/>
      <c r="C40" s="484"/>
      <c r="D40" s="485"/>
      <c r="E40" s="485"/>
      <c r="F40" s="529" t="s">
        <v>176</v>
      </c>
      <c r="G40" s="485">
        <v>2</v>
      </c>
      <c r="H40" s="485" t="s">
        <v>173</v>
      </c>
      <c r="I40" s="485" t="s">
        <v>174</v>
      </c>
      <c r="J40" s="485" t="s">
        <v>174</v>
      </c>
      <c r="K40" s="485">
        <v>44</v>
      </c>
      <c r="L40" s="485">
        <v>12</v>
      </c>
      <c r="M40" s="494"/>
      <c r="N40" s="494"/>
      <c r="O40" s="494"/>
      <c r="P40" s="494"/>
      <c r="Q40" s="530">
        <f>O40+P40</f>
        <v>0</v>
      </c>
      <c r="R40" s="531">
        <v>4.9000000000000002E-2</v>
      </c>
      <c r="S40" s="493">
        <v>28</v>
      </c>
      <c r="T40" s="532">
        <v>0</v>
      </c>
      <c r="U40" s="494"/>
      <c r="V40" s="494"/>
      <c r="W40" s="531"/>
      <c r="X40" s="533">
        <f>W40+V40</f>
        <v>0</v>
      </c>
      <c r="Y40" s="534">
        <f>(R40*S40*AA40)</f>
        <v>6860.0000000000009</v>
      </c>
      <c r="Z40" s="533">
        <f>U40+T40</f>
        <v>0</v>
      </c>
      <c r="AA40" s="493">
        <f>1*5000</f>
        <v>5000</v>
      </c>
      <c r="AB40" s="493">
        <f>AA40</f>
        <v>5000</v>
      </c>
      <c r="AC40" s="494">
        <v>0.77</v>
      </c>
      <c r="AD40" s="494">
        <v>0.89</v>
      </c>
      <c r="AE40" s="534">
        <f>(AA40*AC40*AD40)</f>
        <v>3426.5</v>
      </c>
      <c r="AF40" s="534">
        <f>($X$42+$Y$42+$Z$42)*(AA40/$AB$42)</f>
        <v>6860.0000000000009</v>
      </c>
      <c r="AG40" s="534">
        <f>(AE40*K40/L40)-AF40</f>
        <v>5703.833333333333</v>
      </c>
      <c r="AH40" s="494"/>
      <c r="AI40" s="494"/>
      <c r="AJ40" s="535">
        <f>AI40+AH40</f>
        <v>0</v>
      </c>
      <c r="AK40" s="494"/>
      <c r="AL40" s="530">
        <f>(AJ40+AK40)</f>
        <v>0</v>
      </c>
      <c r="AM40" s="494"/>
      <c r="AN40" s="536"/>
      <c r="AO40" s="537"/>
      <c r="AP40" s="537"/>
      <c r="AQ40" s="538">
        <f>AM40+AN40+AO40+AP40</f>
        <v>0</v>
      </c>
      <c r="AR40" s="538">
        <f>Q40-N40</f>
        <v>0</v>
      </c>
      <c r="AS40" s="539">
        <f>AR40+AG40-AL40-AQ40</f>
        <v>5703.833333333333</v>
      </c>
      <c r="AT40" s="484"/>
      <c r="AU40" s="484"/>
      <c r="AV40" s="484"/>
      <c r="AW40" s="484"/>
      <c r="AX40" s="484"/>
      <c r="AY40" s="484"/>
      <c r="AZ40" s="484"/>
      <c r="BA40" s="484"/>
      <c r="BB40" s="484"/>
      <c r="BC40" s="484"/>
      <c r="BD40" s="484"/>
    </row>
    <row r="41" spans="1:56" s="46" customFormat="1">
      <c r="A41" s="484"/>
      <c r="B41" s="484"/>
      <c r="C41" s="484"/>
      <c r="D41" s="485"/>
      <c r="E41" s="485"/>
      <c r="F41" s="529" t="s">
        <v>172</v>
      </c>
      <c r="G41" s="485">
        <v>2</v>
      </c>
      <c r="H41" s="485" t="s">
        <v>173</v>
      </c>
      <c r="I41" s="485" t="s">
        <v>174</v>
      </c>
      <c r="J41" s="485" t="s">
        <v>174</v>
      </c>
      <c r="K41" s="485">
        <v>44</v>
      </c>
      <c r="L41" s="485">
        <v>12</v>
      </c>
      <c r="M41" s="485"/>
      <c r="N41" s="485"/>
      <c r="O41" s="485"/>
      <c r="P41" s="485"/>
      <c r="Q41" s="530">
        <f>O41+P41</f>
        <v>0</v>
      </c>
      <c r="R41" s="531">
        <v>4.9000000000000002E-2</v>
      </c>
      <c r="S41" s="493">
        <v>28</v>
      </c>
      <c r="T41" s="532">
        <v>0</v>
      </c>
      <c r="U41" s="485"/>
      <c r="V41" s="485"/>
      <c r="W41" s="485"/>
      <c r="X41" s="533">
        <f>W41+V41</f>
        <v>0</v>
      </c>
      <c r="Y41" s="534">
        <f>(R41*S41*AA41)</f>
        <v>13720.000000000002</v>
      </c>
      <c r="Z41" s="533">
        <f>U41+T41</f>
        <v>0</v>
      </c>
      <c r="AA41" s="493">
        <f>2*5000</f>
        <v>10000</v>
      </c>
      <c r="AB41" s="493">
        <f>AA41</f>
        <v>10000</v>
      </c>
      <c r="AC41" s="494">
        <v>0.77</v>
      </c>
      <c r="AD41" s="485">
        <v>0.89</v>
      </c>
      <c r="AE41" s="534">
        <f>(AA41*AC41*AD41)</f>
        <v>6853</v>
      </c>
      <c r="AF41" s="534">
        <f>($X$42+$Y$42+$Z$42)*(AA41/$AB$42)</f>
        <v>13720.000000000002</v>
      </c>
      <c r="AG41" s="534">
        <f>(AE41*K41/L41)-AF41</f>
        <v>11407.666666666666</v>
      </c>
      <c r="AH41" s="485"/>
      <c r="AI41" s="485"/>
      <c r="AJ41" s="535">
        <f>AI41+AH41</f>
        <v>0</v>
      </c>
      <c r="AK41" s="485"/>
      <c r="AL41" s="530">
        <f>(AJ41+AK41)</f>
        <v>0</v>
      </c>
      <c r="AM41" s="485"/>
      <c r="AN41" s="486"/>
      <c r="AO41" s="486"/>
      <c r="AP41" s="486"/>
      <c r="AQ41" s="538">
        <f>AM41+AN41+AO41+AP41</f>
        <v>0</v>
      </c>
      <c r="AR41" s="538">
        <f>Q41-N41</f>
        <v>0</v>
      </c>
      <c r="AS41" s="539">
        <f>AR41+AG41-AL41-AQ41</f>
        <v>11407.666666666666</v>
      </c>
      <c r="AT41" s="484"/>
      <c r="AU41" s="484"/>
      <c r="AV41" s="484"/>
      <c r="AW41" s="484"/>
      <c r="AX41" s="484"/>
      <c r="AY41" s="484"/>
      <c r="AZ41" s="484"/>
      <c r="BA41" s="484"/>
      <c r="BB41" s="484"/>
      <c r="BC41" s="484"/>
      <c r="BD41" s="484"/>
    </row>
    <row r="42" spans="1:56" s="46" customFormat="1" ht="16" thickBot="1">
      <c r="A42" s="484"/>
      <c r="B42" s="484"/>
      <c r="C42" s="484"/>
      <c r="D42" s="485"/>
      <c r="E42" s="485"/>
      <c r="F42" s="76" t="s">
        <v>205</v>
      </c>
      <c r="G42" s="496"/>
      <c r="H42" s="496"/>
      <c r="I42" s="496"/>
      <c r="J42" s="496"/>
      <c r="K42" s="496"/>
      <c r="L42" s="496"/>
      <c r="M42" s="543"/>
      <c r="N42" s="543"/>
      <c r="O42" s="543"/>
      <c r="P42" s="543"/>
      <c r="Q42" s="544"/>
      <c r="R42" s="545"/>
      <c r="S42" s="546"/>
      <c r="T42" s="547"/>
      <c r="U42" s="543"/>
      <c r="V42" s="543"/>
      <c r="W42" s="545"/>
      <c r="X42" s="77">
        <f>SUM(X39:X41)</f>
        <v>0</v>
      </c>
      <c r="Y42" s="78">
        <f>SUM(Y39:Y41)</f>
        <v>85750.000000000015</v>
      </c>
      <c r="Z42" s="79">
        <f>SUM(Z39:Z41)</f>
        <v>0</v>
      </c>
      <c r="AA42" s="78">
        <f>SUM(AA39:AA41)</f>
        <v>62500</v>
      </c>
      <c r="AB42" s="78">
        <f>SUM(AB39:AB41)</f>
        <v>62500</v>
      </c>
      <c r="AC42" s="78"/>
      <c r="AD42" s="78"/>
      <c r="AE42" s="78">
        <f>SUM(AE39:AE41)</f>
        <v>30994.25</v>
      </c>
      <c r="AF42" s="78">
        <f>SUM(AF39:AF41)</f>
        <v>85750.000000000015</v>
      </c>
      <c r="AG42" s="548"/>
      <c r="AH42" s="543"/>
      <c r="AI42" s="543"/>
      <c r="AJ42" s="544"/>
      <c r="AK42" s="543"/>
      <c r="AL42" s="544"/>
      <c r="AM42" s="543"/>
      <c r="AN42" s="549"/>
      <c r="AO42" s="550"/>
      <c r="AP42" s="550"/>
      <c r="AQ42" s="551"/>
      <c r="AR42" s="551"/>
      <c r="AS42" s="81">
        <f>SUM(AS39:AS41)</f>
        <v>27895.583333333314</v>
      </c>
      <c r="AT42" s="484"/>
      <c r="AU42" s="484"/>
      <c r="AV42" s="484"/>
      <c r="AW42" s="484"/>
      <c r="AX42" s="484"/>
      <c r="AY42" s="484"/>
      <c r="AZ42" s="484"/>
      <c r="BA42" s="484"/>
      <c r="BB42" s="484"/>
      <c r="BC42" s="484"/>
      <c r="BD42" s="484"/>
    </row>
    <row r="43" spans="1:56" ht="16" thickBot="1">
      <c r="A43" s="484"/>
      <c r="B43" s="484"/>
      <c r="C43" s="484"/>
      <c r="D43" s="485"/>
      <c r="E43" s="485"/>
      <c r="F43" s="5" t="s">
        <v>206</v>
      </c>
      <c r="G43" s="552"/>
      <c r="H43" s="552"/>
      <c r="I43" s="552"/>
      <c r="J43" s="552"/>
      <c r="K43" s="552"/>
      <c r="L43" s="552"/>
      <c r="M43" s="552"/>
      <c r="N43" s="552"/>
      <c r="O43" s="552"/>
      <c r="P43" s="552"/>
      <c r="Q43" s="553"/>
      <c r="R43" s="554"/>
      <c r="S43" s="552"/>
      <c r="T43" s="555"/>
      <c r="U43" s="552"/>
      <c r="V43" s="552"/>
      <c r="W43" s="552"/>
      <c r="X43" s="554"/>
      <c r="Y43" s="556"/>
      <c r="Z43" s="554"/>
      <c r="AA43" s="552"/>
      <c r="AB43" s="553"/>
      <c r="AC43" s="553"/>
      <c r="AD43" s="552"/>
      <c r="AE43" s="553"/>
      <c r="AF43" s="556"/>
      <c r="AG43" s="556"/>
      <c r="AH43" s="552"/>
      <c r="AI43" s="552"/>
      <c r="AJ43" s="552"/>
      <c r="AK43" s="552"/>
      <c r="AL43" s="553"/>
      <c r="AM43" s="552"/>
      <c r="AN43" s="557"/>
      <c r="AO43" s="557"/>
      <c r="AP43" s="557"/>
      <c r="AQ43" s="558"/>
      <c r="AR43" s="558"/>
      <c r="AS43" s="82">
        <f>SUM(AS42,AS38)</f>
        <v>55791.166666666628</v>
      </c>
      <c r="AT43" s="484"/>
      <c r="AU43" s="484"/>
      <c r="AV43" s="484"/>
      <c r="AW43" s="484"/>
      <c r="AX43" s="484"/>
      <c r="AY43" s="484"/>
      <c r="AZ43" s="484"/>
      <c r="BA43" s="484"/>
      <c r="BB43" s="484"/>
      <c r="BC43" s="484"/>
      <c r="BD43" s="484"/>
    </row>
    <row r="44" spans="1:56">
      <c r="A44" s="484"/>
      <c r="B44" s="1"/>
      <c r="C44" s="484"/>
      <c r="D44" s="485"/>
      <c r="E44" s="485"/>
      <c r="F44" s="485" t="s">
        <v>207</v>
      </c>
      <c r="G44" s="54"/>
      <c r="H44" s="485"/>
      <c r="I44" s="485"/>
      <c r="J44" s="485"/>
      <c r="K44" s="485"/>
      <c r="L44" s="485"/>
      <c r="M44" s="485"/>
      <c r="N44" s="485"/>
      <c r="O44" s="485"/>
      <c r="P44" s="485"/>
      <c r="Q44" s="485"/>
      <c r="R44" s="485"/>
      <c r="S44" s="485"/>
      <c r="T44" s="485"/>
      <c r="U44" s="485"/>
      <c r="V44" s="485"/>
      <c r="W44" s="485"/>
      <c r="X44" s="485"/>
      <c r="Y44" s="485"/>
      <c r="Z44" s="485"/>
      <c r="AA44" s="485"/>
      <c r="AB44" s="485"/>
      <c r="AC44" s="485"/>
      <c r="AD44" s="485"/>
      <c r="AE44" s="485"/>
      <c r="AF44" s="485"/>
      <c r="AG44" s="485"/>
      <c r="AH44" s="486"/>
      <c r="AI44" s="486"/>
      <c r="AJ44" s="486"/>
      <c r="AK44" s="484"/>
      <c r="AL44" s="484"/>
      <c r="AM44" s="484"/>
      <c r="AN44" s="484"/>
      <c r="AO44" s="484"/>
      <c r="AP44" s="484"/>
      <c r="AQ44" s="484"/>
      <c r="AR44" s="484"/>
      <c r="AS44" s="484"/>
      <c r="AT44" s="484"/>
      <c r="AU44" s="484"/>
      <c r="AV44" s="484"/>
      <c r="AW44" s="484"/>
      <c r="AX44" s="484"/>
      <c r="AY44" s="484"/>
      <c r="AZ44" s="484"/>
      <c r="BA44" s="484"/>
      <c r="BB44" s="484"/>
      <c r="BC44" s="484"/>
      <c r="BD44" s="484"/>
    </row>
    <row r="45" spans="1:56" s="46" customFormat="1">
      <c r="A45" s="484"/>
      <c r="B45" s="1"/>
      <c r="C45" s="484"/>
      <c r="D45" s="485"/>
      <c r="E45" s="485"/>
      <c r="F45" s="485"/>
      <c r="G45" s="485"/>
      <c r="H45" s="485"/>
      <c r="I45" s="485"/>
      <c r="J45" s="485"/>
      <c r="K45" s="485"/>
      <c r="L45" s="485"/>
      <c r="M45" s="485"/>
      <c r="N45" s="485"/>
      <c r="O45" s="485"/>
      <c r="P45" s="485"/>
      <c r="Q45" s="485"/>
      <c r="R45" s="485"/>
      <c r="S45" s="485"/>
      <c r="T45" s="485"/>
      <c r="U45" s="485"/>
      <c r="V45" s="485"/>
      <c r="W45" s="485"/>
      <c r="X45" s="485"/>
      <c r="Y45" s="485"/>
      <c r="Z45" s="485"/>
      <c r="AA45" s="485"/>
      <c r="AB45" s="485"/>
      <c r="AC45" s="485"/>
      <c r="AD45" s="485"/>
      <c r="AE45" s="485"/>
      <c r="AF45" s="485"/>
      <c r="AG45" s="485"/>
      <c r="AH45" s="486"/>
      <c r="AI45" s="486"/>
      <c r="AJ45" s="486"/>
      <c r="AK45" s="484"/>
      <c r="AL45" s="484"/>
      <c r="AM45" s="484"/>
      <c r="AN45" s="484"/>
      <c r="AO45" s="484"/>
      <c r="AP45" s="484"/>
      <c r="AQ45" s="484"/>
      <c r="AR45" s="499"/>
      <c r="AS45" s="484"/>
      <c r="AT45" s="484"/>
      <c r="AU45" s="484"/>
      <c r="AV45" s="484"/>
      <c r="AW45" s="484"/>
      <c r="AX45" s="484"/>
      <c r="AY45" s="484"/>
      <c r="AZ45" s="484"/>
      <c r="BA45" s="484"/>
      <c r="BB45" s="484"/>
      <c r="BC45" s="484"/>
      <c r="BD45" s="484"/>
    </row>
    <row r="46" spans="1:56" s="46" customFormat="1">
      <c r="A46" s="484"/>
      <c r="B46" s="1"/>
      <c r="C46" s="484"/>
      <c r="D46" s="485"/>
      <c r="E46" s="485"/>
      <c r="F46" s="485"/>
      <c r="G46" s="485"/>
      <c r="H46" s="485"/>
      <c r="I46" s="485"/>
      <c r="J46" s="485"/>
      <c r="K46" s="485"/>
      <c r="L46" s="485"/>
      <c r="M46" s="485"/>
      <c r="N46" s="485"/>
      <c r="O46" s="485"/>
      <c r="P46" s="485"/>
      <c r="Q46" s="485"/>
      <c r="R46" s="485"/>
      <c r="S46" s="485"/>
      <c r="T46" s="485"/>
      <c r="U46" s="485"/>
      <c r="V46" s="485"/>
      <c r="W46" s="485"/>
      <c r="X46" s="485"/>
      <c r="Y46" s="485"/>
      <c r="Z46" s="485"/>
      <c r="AA46" s="485"/>
      <c r="AB46" s="485"/>
      <c r="AC46" s="485"/>
      <c r="AD46" s="485"/>
      <c r="AE46" s="485"/>
      <c r="AF46" s="485"/>
      <c r="AG46" s="485"/>
      <c r="AH46" s="486"/>
      <c r="AI46" s="486"/>
      <c r="AJ46" s="486"/>
      <c r="AK46" s="484"/>
      <c r="AL46" s="484"/>
      <c r="AM46" s="484"/>
      <c r="AN46" s="484"/>
      <c r="AO46" s="484"/>
      <c r="AP46" s="484"/>
      <c r="AQ46" s="484"/>
      <c r="AR46" s="484"/>
      <c r="AS46" s="484"/>
      <c r="AT46" s="484"/>
      <c r="AU46" s="484"/>
      <c r="AV46" s="484"/>
      <c r="AW46" s="484"/>
      <c r="AX46" s="484"/>
      <c r="AY46" s="484"/>
      <c r="AZ46" s="484"/>
      <c r="BA46" s="484"/>
      <c r="BB46" s="484"/>
      <c r="BC46" s="484"/>
      <c r="BD46" s="484"/>
    </row>
    <row r="47" spans="1:56" s="46" customFormat="1">
      <c r="A47" s="484"/>
      <c r="B47" s="1"/>
      <c r="C47" s="484"/>
      <c r="D47" s="485"/>
      <c r="E47" s="485"/>
      <c r="F47" s="485"/>
      <c r="G47" s="485"/>
      <c r="H47" s="485"/>
      <c r="I47" s="485"/>
      <c r="J47" s="485"/>
      <c r="K47" s="485"/>
      <c r="L47" s="485"/>
      <c r="M47" s="485"/>
      <c r="N47" s="485"/>
      <c r="O47" s="485"/>
      <c r="P47" s="485"/>
      <c r="Q47" s="485"/>
      <c r="R47" s="485"/>
      <c r="S47" s="485"/>
      <c r="T47" s="485"/>
      <c r="U47" s="485"/>
      <c r="V47" s="485"/>
      <c r="W47" s="485"/>
      <c r="X47" s="485"/>
      <c r="Y47" s="485"/>
      <c r="Z47" s="485"/>
      <c r="AA47" s="485"/>
      <c r="AB47" s="485"/>
      <c r="AC47" s="485"/>
      <c r="AD47" s="485"/>
      <c r="AE47" s="485"/>
      <c r="AF47" s="485"/>
      <c r="AG47" s="485"/>
      <c r="AH47" s="486"/>
      <c r="AI47" s="486"/>
      <c r="AJ47" s="486"/>
      <c r="AK47" s="484"/>
      <c r="AL47" s="484"/>
      <c r="AM47" s="484"/>
      <c r="AN47" s="484"/>
      <c r="AO47" s="484"/>
      <c r="AP47" s="484"/>
      <c r="AQ47" s="484"/>
      <c r="AR47" s="484"/>
      <c r="AS47" s="559">
        <f>AS43*4</f>
        <v>223164.66666666651</v>
      </c>
      <c r="AT47" s="484"/>
      <c r="AU47" s="484"/>
      <c r="AV47" s="484"/>
      <c r="AW47" s="484"/>
      <c r="AX47" s="484"/>
      <c r="AY47" s="484"/>
      <c r="AZ47" s="484"/>
      <c r="BA47" s="484"/>
      <c r="BB47" s="484"/>
      <c r="BC47" s="484"/>
      <c r="BD47" s="484"/>
    </row>
    <row r="48" spans="1:56" s="46" customFormat="1">
      <c r="A48" s="484"/>
      <c r="B48" s="1"/>
      <c r="C48" s="484"/>
      <c r="D48" s="485"/>
      <c r="E48" s="485"/>
      <c r="F48" s="485"/>
      <c r="G48" s="485"/>
      <c r="H48" s="485"/>
      <c r="I48" s="485"/>
      <c r="J48" s="485"/>
      <c r="K48" s="485"/>
      <c r="L48" s="485"/>
      <c r="M48" s="485"/>
      <c r="N48" s="485"/>
      <c r="O48" s="485"/>
      <c r="P48" s="485"/>
      <c r="Q48" s="485"/>
      <c r="R48" s="485"/>
      <c r="S48" s="485"/>
      <c r="T48" s="485"/>
      <c r="U48" s="485"/>
      <c r="V48" s="485"/>
      <c r="W48" s="485"/>
      <c r="X48" s="485"/>
      <c r="Y48" s="485"/>
      <c r="Z48" s="485"/>
      <c r="AA48" s="485"/>
      <c r="AB48" s="485"/>
      <c r="AC48" s="485"/>
      <c r="AD48" s="485"/>
      <c r="AE48" s="485"/>
      <c r="AF48" s="485"/>
      <c r="AG48" s="485"/>
      <c r="AH48" s="486"/>
      <c r="AI48" s="486"/>
      <c r="AJ48" s="486"/>
      <c r="AK48" s="484"/>
      <c r="AL48" s="484"/>
      <c r="AM48" s="484"/>
      <c r="AN48" s="484"/>
      <c r="AO48" s="484"/>
      <c r="AP48" s="484"/>
      <c r="AQ48" s="484"/>
      <c r="AR48" s="484"/>
      <c r="AS48" s="484"/>
      <c r="AT48" s="484"/>
      <c r="AU48" s="484"/>
      <c r="AV48" s="484"/>
      <c r="AW48" s="484"/>
      <c r="AX48" s="484"/>
      <c r="AY48" s="484"/>
      <c r="AZ48" s="484"/>
      <c r="BA48" s="484"/>
      <c r="BB48" s="484"/>
      <c r="BC48" s="484"/>
      <c r="BD48" s="484"/>
    </row>
    <row r="49" spans="1:56" s="46" customFormat="1">
      <c r="A49" s="484"/>
      <c r="B49" s="1"/>
      <c r="C49" s="484"/>
      <c r="D49" s="485"/>
      <c r="E49" s="485"/>
      <c r="F49" s="485"/>
      <c r="G49" s="485"/>
      <c r="H49" s="485"/>
      <c r="I49" s="485"/>
      <c r="J49" s="485"/>
      <c r="K49" s="485"/>
      <c r="L49" s="485"/>
      <c r="M49" s="485"/>
      <c r="N49" s="485"/>
      <c r="O49" s="485"/>
      <c r="P49" s="485"/>
      <c r="Q49" s="485"/>
      <c r="R49" s="485"/>
      <c r="S49" s="485"/>
      <c r="T49" s="485"/>
      <c r="U49" s="485"/>
      <c r="V49" s="485"/>
      <c r="W49" s="485"/>
      <c r="X49" s="485"/>
      <c r="Y49" s="485"/>
      <c r="Z49" s="485"/>
      <c r="AA49" s="485"/>
      <c r="AB49" s="485"/>
      <c r="AC49" s="485"/>
      <c r="AD49" s="485"/>
      <c r="AE49" s="485"/>
      <c r="AF49" s="485"/>
      <c r="AG49" s="485"/>
      <c r="AH49" s="486"/>
      <c r="AI49" s="486"/>
      <c r="AJ49" s="486"/>
      <c r="AK49" s="484"/>
      <c r="AL49" s="484"/>
      <c r="AM49" s="484"/>
      <c r="AN49" s="484"/>
      <c r="AO49" s="484"/>
      <c r="AP49" s="484"/>
      <c r="AQ49" s="484"/>
      <c r="AR49" s="484"/>
      <c r="AS49" s="484"/>
      <c r="AT49" s="484"/>
      <c r="AU49" s="484"/>
      <c r="AV49" s="484"/>
      <c r="AW49" s="484"/>
      <c r="AX49" s="484"/>
      <c r="AY49" s="484"/>
      <c r="AZ49" s="484"/>
      <c r="BA49" s="484"/>
      <c r="BB49" s="484"/>
      <c r="BC49" s="484"/>
      <c r="BD49" s="484"/>
    </row>
    <row r="50" spans="1:56" s="46" customFormat="1">
      <c r="A50" s="484"/>
      <c r="B50" s="1"/>
      <c r="C50" s="484"/>
      <c r="D50" s="485"/>
      <c r="E50" s="485"/>
      <c r="F50" s="485"/>
      <c r="G50" s="485"/>
      <c r="H50" s="485"/>
      <c r="I50" s="485"/>
      <c r="J50" s="485"/>
      <c r="K50" s="485"/>
      <c r="L50" s="485"/>
      <c r="M50" s="485"/>
      <c r="N50" s="485"/>
      <c r="O50" s="485"/>
      <c r="P50" s="485"/>
      <c r="Q50" s="485"/>
      <c r="R50" s="485"/>
      <c r="S50" s="485"/>
      <c r="T50" s="485"/>
      <c r="U50" s="485"/>
      <c r="V50" s="485"/>
      <c r="W50" s="485"/>
      <c r="X50" s="485"/>
      <c r="Y50" s="485"/>
      <c r="Z50" s="485"/>
      <c r="AA50" s="485"/>
      <c r="AB50" s="485"/>
      <c r="AC50" s="485"/>
      <c r="AD50" s="485"/>
      <c r="AE50" s="485"/>
      <c r="AF50" s="485"/>
      <c r="AG50" s="485"/>
      <c r="AH50" s="486"/>
      <c r="AI50" s="486"/>
      <c r="AJ50" s="486"/>
      <c r="AK50" s="484"/>
      <c r="AL50" s="484"/>
      <c r="AM50" s="484"/>
      <c r="AN50" s="484"/>
      <c r="AO50" s="484"/>
      <c r="AP50" s="484"/>
      <c r="AQ50" s="484"/>
      <c r="AR50" s="484"/>
      <c r="AS50" s="484"/>
      <c r="AT50" s="484"/>
      <c r="AU50" s="484"/>
      <c r="AV50" s="484"/>
      <c r="AW50" s="484"/>
      <c r="AX50" s="484"/>
      <c r="AY50" s="484"/>
      <c r="AZ50" s="484"/>
      <c r="BA50" s="484"/>
      <c r="BB50" s="484"/>
      <c r="BC50" s="484"/>
      <c r="BD50" s="484"/>
    </row>
    <row r="51" spans="1:56" s="46" customFormat="1">
      <c r="A51" s="484"/>
      <c r="B51" s="1"/>
      <c r="C51" s="484"/>
      <c r="D51" s="485"/>
      <c r="E51" s="485"/>
      <c r="F51" s="485"/>
      <c r="G51" s="485"/>
      <c r="H51" s="485"/>
      <c r="I51" s="485"/>
      <c r="J51" s="485"/>
      <c r="K51" s="485"/>
      <c r="L51" s="485"/>
      <c r="M51" s="485"/>
      <c r="N51" s="485"/>
      <c r="O51" s="485"/>
      <c r="P51" s="485"/>
      <c r="Q51" s="485"/>
      <c r="R51" s="485"/>
      <c r="S51" s="485"/>
      <c r="T51" s="485"/>
      <c r="U51" s="485"/>
      <c r="V51" s="485"/>
      <c r="W51" s="485"/>
      <c r="X51" s="485"/>
      <c r="Y51" s="485"/>
      <c r="Z51" s="485"/>
      <c r="AA51" s="485"/>
      <c r="AB51" s="485"/>
      <c r="AC51" s="485"/>
      <c r="AD51" s="485"/>
      <c r="AE51" s="485"/>
      <c r="AF51" s="485"/>
      <c r="AG51" s="485"/>
      <c r="AH51" s="486"/>
      <c r="AI51" s="486"/>
      <c r="AJ51" s="486"/>
      <c r="AK51" s="484"/>
      <c r="AL51" s="484"/>
      <c r="AM51" s="484"/>
      <c r="AN51" s="484"/>
      <c r="AO51" s="484"/>
      <c r="AP51" s="484"/>
      <c r="AQ51" s="484"/>
      <c r="AR51" s="484"/>
      <c r="AS51" s="484"/>
      <c r="AT51" s="484"/>
      <c r="AU51" s="484"/>
      <c r="AV51" s="484"/>
      <c r="AW51" s="484"/>
      <c r="AX51" s="484"/>
      <c r="AY51" s="484"/>
      <c r="AZ51" s="484"/>
      <c r="BA51" s="484"/>
      <c r="BB51" s="484"/>
      <c r="BC51" s="484"/>
      <c r="BD51" s="484"/>
    </row>
    <row r="52" spans="1:56" s="46" customFormat="1">
      <c r="A52" s="484"/>
      <c r="B52" s="1"/>
      <c r="C52" s="484"/>
      <c r="D52" s="485"/>
      <c r="E52" s="485"/>
      <c r="F52" s="485"/>
      <c r="G52" s="485"/>
      <c r="H52" s="485"/>
      <c r="I52" s="485"/>
      <c r="J52" s="485"/>
      <c r="K52" s="485"/>
      <c r="L52" s="485"/>
      <c r="M52" s="485"/>
      <c r="N52" s="485"/>
      <c r="O52" s="485"/>
      <c r="P52" s="485"/>
      <c r="Q52" s="485"/>
      <c r="R52" s="485"/>
      <c r="S52" s="485"/>
      <c r="T52" s="485"/>
      <c r="U52" s="485"/>
      <c r="V52" s="485"/>
      <c r="W52" s="485"/>
      <c r="X52" s="485"/>
      <c r="Y52" s="485"/>
      <c r="Z52" s="485"/>
      <c r="AA52" s="485"/>
      <c r="AB52" s="485"/>
      <c r="AC52" s="485"/>
      <c r="AD52" s="485"/>
      <c r="AE52" s="485"/>
      <c r="AF52" s="485"/>
      <c r="AG52" s="485"/>
      <c r="AH52" s="486"/>
      <c r="AI52" s="486"/>
      <c r="AJ52" s="486"/>
      <c r="AK52" s="484"/>
      <c r="AL52" s="484"/>
      <c r="AM52" s="484"/>
      <c r="AN52" s="484"/>
      <c r="AO52" s="484"/>
      <c r="AP52" s="484"/>
      <c r="AQ52" s="484"/>
      <c r="AR52" s="484"/>
      <c r="AS52" s="484"/>
      <c r="AT52" s="484"/>
      <c r="AU52" s="484"/>
      <c r="AV52" s="484"/>
      <c r="AW52" s="484"/>
      <c r="AX52" s="484"/>
      <c r="AY52" s="484"/>
      <c r="AZ52" s="484"/>
      <c r="BA52" s="484"/>
      <c r="BB52" s="484"/>
      <c r="BC52" s="484"/>
      <c r="BD52" s="484"/>
    </row>
    <row r="53" spans="1:56" s="46" customFormat="1">
      <c r="A53" s="484"/>
      <c r="B53" s="1"/>
      <c r="C53" s="484"/>
      <c r="D53" s="485"/>
      <c r="E53" s="485"/>
      <c r="F53" s="485"/>
      <c r="G53" s="485"/>
      <c r="H53" s="485"/>
      <c r="I53" s="485"/>
      <c r="J53" s="485"/>
      <c r="K53" s="485"/>
      <c r="L53" s="485"/>
      <c r="M53" s="485"/>
      <c r="N53" s="485"/>
      <c r="O53" s="485"/>
      <c r="P53" s="485"/>
      <c r="Q53" s="485"/>
      <c r="R53" s="485"/>
      <c r="S53" s="485"/>
      <c r="T53" s="485"/>
      <c r="U53" s="485"/>
      <c r="V53" s="485"/>
      <c r="W53" s="485"/>
      <c r="X53" s="485"/>
      <c r="Y53" s="485"/>
      <c r="Z53" s="485"/>
      <c r="AA53" s="485"/>
      <c r="AB53" s="485"/>
      <c r="AC53" s="485"/>
      <c r="AD53" s="485"/>
      <c r="AE53" s="485"/>
      <c r="AF53" s="485"/>
      <c r="AG53" s="485"/>
      <c r="AH53" s="486"/>
      <c r="AI53" s="486"/>
      <c r="AJ53" s="486"/>
      <c r="AK53" s="484"/>
      <c r="AL53" s="484"/>
      <c r="AM53" s="484"/>
      <c r="AN53" s="484"/>
      <c r="AO53" s="484"/>
      <c r="AP53" s="484"/>
      <c r="AQ53" s="484"/>
      <c r="AR53" s="484"/>
      <c r="AS53" s="484"/>
      <c r="AT53" s="484"/>
      <c r="AU53" s="484"/>
      <c r="AV53" s="484"/>
      <c r="AW53" s="484"/>
      <c r="AX53" s="484"/>
      <c r="AY53" s="484"/>
      <c r="AZ53" s="484"/>
      <c r="BA53" s="484"/>
      <c r="BB53" s="484"/>
      <c r="BC53" s="484"/>
      <c r="BD53" s="484"/>
    </row>
    <row r="54" spans="1:56" s="46" customFormat="1">
      <c r="A54" s="484"/>
      <c r="B54" s="1"/>
      <c r="C54" s="484"/>
      <c r="D54" s="485"/>
      <c r="E54" s="485"/>
      <c r="F54" s="485"/>
      <c r="G54" s="485"/>
      <c r="H54" s="485"/>
      <c r="I54" s="485"/>
      <c r="J54" s="485"/>
      <c r="K54" s="485"/>
      <c r="L54" s="485"/>
      <c r="M54" s="485"/>
      <c r="N54" s="485"/>
      <c r="O54" s="485"/>
      <c r="P54" s="485"/>
      <c r="Q54" s="485"/>
      <c r="R54" s="485"/>
      <c r="S54" s="485"/>
      <c r="T54" s="485"/>
      <c r="U54" s="485"/>
      <c r="V54" s="485"/>
      <c r="W54" s="485"/>
      <c r="X54" s="485"/>
      <c r="Y54" s="485"/>
      <c r="Z54" s="485"/>
      <c r="AA54" s="485"/>
      <c r="AB54" s="485"/>
      <c r="AC54" s="485"/>
      <c r="AD54" s="485"/>
      <c r="AE54" s="485"/>
      <c r="AF54" s="485"/>
      <c r="AG54" s="485"/>
      <c r="AH54" s="486"/>
      <c r="AI54" s="486"/>
      <c r="AJ54" s="486"/>
      <c r="AK54" s="484"/>
      <c r="AL54" s="484"/>
      <c r="AM54" s="484"/>
      <c r="AN54" s="484"/>
      <c r="AO54" s="484"/>
      <c r="AP54" s="484"/>
      <c r="AQ54" s="484"/>
      <c r="AR54" s="484"/>
      <c r="AS54" s="484"/>
      <c r="AT54" s="484"/>
      <c r="AU54" s="484"/>
      <c r="AV54" s="484"/>
      <c r="AW54" s="484"/>
      <c r="AX54" s="484"/>
      <c r="AY54" s="484"/>
      <c r="AZ54" s="484"/>
      <c r="BA54" s="484"/>
      <c r="BB54" s="484"/>
      <c r="BC54" s="484"/>
      <c r="BD54" s="484"/>
    </row>
    <row r="55" spans="1:56" s="46" customFormat="1">
      <c r="A55" s="484"/>
      <c r="B55" s="1"/>
      <c r="C55" s="484"/>
      <c r="D55" s="485"/>
      <c r="E55" s="485"/>
      <c r="F55" s="485"/>
      <c r="G55" s="485"/>
      <c r="H55" s="485"/>
      <c r="I55" s="485"/>
      <c r="J55" s="485"/>
      <c r="K55" s="485"/>
      <c r="L55" s="485"/>
      <c r="M55" s="485"/>
      <c r="N55" s="485"/>
      <c r="O55" s="485"/>
      <c r="P55" s="485"/>
      <c r="Q55" s="485"/>
      <c r="R55" s="485"/>
      <c r="S55" s="485"/>
      <c r="T55" s="485"/>
      <c r="U55" s="485"/>
      <c r="V55" s="485"/>
      <c r="W55" s="485"/>
      <c r="X55" s="485"/>
      <c r="Y55" s="485"/>
      <c r="Z55" s="485"/>
      <c r="AA55" s="485"/>
      <c r="AB55" s="485"/>
      <c r="AC55" s="485"/>
      <c r="AD55" s="485"/>
      <c r="AE55" s="485"/>
      <c r="AF55" s="485"/>
      <c r="AG55" s="485"/>
      <c r="AH55" s="486"/>
      <c r="AI55" s="486"/>
      <c r="AJ55" s="486"/>
      <c r="AK55" s="484"/>
      <c r="AL55" s="484"/>
      <c r="AM55" s="484"/>
      <c r="AN55" s="484"/>
      <c r="AO55" s="484"/>
      <c r="AP55" s="484"/>
      <c r="AQ55" s="484"/>
      <c r="AR55" s="484"/>
      <c r="AS55" s="484"/>
      <c r="AT55" s="484"/>
      <c r="AU55" s="484"/>
      <c r="AV55" s="484"/>
      <c r="AW55" s="484"/>
      <c r="AX55" s="484"/>
      <c r="AY55" s="484"/>
      <c r="AZ55" s="484"/>
      <c r="BA55" s="484"/>
      <c r="BB55" s="484"/>
      <c r="BC55" s="484"/>
      <c r="BD55" s="484"/>
    </row>
    <row r="56" spans="1:56" s="46" customFormat="1">
      <c r="A56" s="484"/>
      <c r="B56" s="1"/>
      <c r="C56" s="484"/>
      <c r="D56" s="485"/>
      <c r="E56" s="485"/>
      <c r="F56" s="485"/>
      <c r="G56" s="485"/>
      <c r="H56" s="485"/>
      <c r="I56" s="485"/>
      <c r="J56" s="485"/>
      <c r="K56" s="485"/>
      <c r="L56" s="485"/>
      <c r="M56" s="485"/>
      <c r="N56" s="485"/>
      <c r="O56" s="485"/>
      <c r="P56" s="485"/>
      <c r="Q56" s="485"/>
      <c r="R56" s="485"/>
      <c r="S56" s="485"/>
      <c r="T56" s="485"/>
      <c r="U56" s="485"/>
      <c r="V56" s="485"/>
      <c r="W56" s="485"/>
      <c r="X56" s="485"/>
      <c r="Y56" s="485"/>
      <c r="Z56" s="485"/>
      <c r="AA56" s="485"/>
      <c r="AB56" s="485"/>
      <c r="AC56" s="485"/>
      <c r="AD56" s="485"/>
      <c r="AE56" s="485"/>
      <c r="AF56" s="485"/>
      <c r="AG56" s="485"/>
      <c r="AH56" s="486"/>
      <c r="AI56" s="486"/>
      <c r="AJ56" s="486"/>
      <c r="AK56" s="484"/>
      <c r="AL56" s="484"/>
      <c r="AM56" s="484"/>
      <c r="AN56" s="484"/>
      <c r="AO56" s="484"/>
      <c r="AP56" s="484"/>
      <c r="AQ56" s="484"/>
      <c r="AR56" s="484"/>
      <c r="AS56" s="484"/>
      <c r="AT56" s="484"/>
      <c r="AU56" s="484"/>
      <c r="AV56" s="484"/>
      <c r="AW56" s="484"/>
      <c r="AX56" s="484"/>
      <c r="AY56" s="484"/>
      <c r="AZ56" s="484"/>
      <c r="BA56" s="484"/>
      <c r="BB56" s="484"/>
      <c r="BC56" s="484"/>
      <c r="BD56" s="484"/>
    </row>
    <row r="57" spans="1:56" s="46" customFormat="1">
      <c r="A57" s="484"/>
      <c r="B57" s="1"/>
      <c r="C57" s="484"/>
      <c r="D57" s="485"/>
      <c r="E57" s="485"/>
      <c r="F57" s="485"/>
      <c r="G57" s="485"/>
      <c r="H57" s="485"/>
      <c r="I57" s="485"/>
      <c r="J57" s="485"/>
      <c r="K57" s="485"/>
      <c r="L57" s="485"/>
      <c r="M57" s="485"/>
      <c r="N57" s="485"/>
      <c r="O57" s="485"/>
      <c r="P57" s="485"/>
      <c r="Q57" s="485"/>
      <c r="R57" s="485"/>
      <c r="S57" s="485"/>
      <c r="T57" s="485"/>
      <c r="U57" s="485"/>
      <c r="V57" s="485"/>
      <c r="W57" s="485"/>
      <c r="X57" s="485"/>
      <c r="Y57" s="485"/>
      <c r="Z57" s="485" t="s">
        <v>208</v>
      </c>
      <c r="AA57" s="485"/>
      <c r="AB57" s="485"/>
      <c r="AC57" s="485"/>
      <c r="AD57" s="485"/>
      <c r="AE57" s="485"/>
      <c r="AF57" s="485"/>
      <c r="AG57" s="485"/>
      <c r="AH57" s="486"/>
      <c r="AI57" s="486"/>
      <c r="AJ57" s="486"/>
      <c r="AK57" s="484"/>
      <c r="AL57" s="484"/>
      <c r="AM57" s="484"/>
      <c r="AN57" s="484"/>
      <c r="AO57" s="484"/>
      <c r="AP57" s="484"/>
      <c r="AQ57" s="484"/>
      <c r="AR57" s="484"/>
      <c r="AS57" s="484"/>
      <c r="AT57" s="484"/>
      <c r="AU57" s="484"/>
      <c r="AV57" s="484"/>
      <c r="AW57" s="484"/>
      <c r="AX57" s="484"/>
      <c r="AY57" s="484"/>
      <c r="AZ57" s="484"/>
      <c r="BA57" s="484"/>
      <c r="BB57" s="484"/>
      <c r="BC57" s="484"/>
      <c r="BD57" s="484"/>
    </row>
    <row r="58" spans="1:56" s="46" customFormat="1">
      <c r="A58" s="484"/>
      <c r="B58" s="1"/>
      <c r="C58" s="484"/>
      <c r="D58" s="485"/>
      <c r="E58" s="485"/>
      <c r="F58" s="485" t="s">
        <v>184</v>
      </c>
      <c r="G58" s="485"/>
      <c r="H58" s="485"/>
      <c r="I58" s="485"/>
      <c r="J58" s="485"/>
      <c r="K58" s="485"/>
      <c r="L58" s="485"/>
      <c r="M58" s="485"/>
      <c r="N58" s="485"/>
      <c r="O58" s="485"/>
      <c r="P58" s="485"/>
      <c r="Q58" s="485"/>
      <c r="R58" s="485"/>
      <c r="S58" s="485"/>
      <c r="T58" s="485"/>
      <c r="U58" s="485"/>
      <c r="V58" s="485"/>
      <c r="W58" s="485"/>
      <c r="X58" s="485"/>
      <c r="Y58" s="485"/>
      <c r="Z58" s="485"/>
      <c r="AA58" s="485"/>
      <c r="AB58" s="485"/>
      <c r="AC58" s="485"/>
      <c r="AD58" s="485"/>
      <c r="AE58" s="485"/>
      <c r="AF58" s="485"/>
      <c r="AG58" s="485"/>
      <c r="AH58" s="486"/>
      <c r="AI58" s="486"/>
      <c r="AJ58" s="486"/>
      <c r="AK58" s="484"/>
      <c r="AL58" s="484"/>
      <c r="AM58" s="484"/>
      <c r="AN58" s="484"/>
      <c r="AO58" s="484"/>
      <c r="AP58" s="484"/>
      <c r="AQ58" s="484"/>
      <c r="AR58" s="484"/>
      <c r="AS58" s="484"/>
      <c r="AT58" s="484"/>
      <c r="AU58" s="484"/>
      <c r="AV58" s="484"/>
      <c r="AW58" s="484"/>
      <c r="AX58" s="484"/>
      <c r="AY58" s="484"/>
      <c r="AZ58" s="484"/>
      <c r="BA58" s="484"/>
      <c r="BB58" s="484"/>
      <c r="BC58" s="484"/>
      <c r="BD58" s="484"/>
    </row>
    <row r="59" spans="1:56" s="46" customFormat="1" ht="16" thickBot="1">
      <c r="A59" s="484"/>
      <c r="B59" s="1"/>
      <c r="C59" s="484"/>
      <c r="D59" s="485"/>
      <c r="E59" s="485"/>
      <c r="F59" s="485"/>
      <c r="G59" s="485"/>
      <c r="H59" s="485"/>
      <c r="I59" s="485"/>
      <c r="J59" s="485"/>
      <c r="K59" s="485"/>
      <c r="L59" s="485"/>
      <c r="M59" s="653"/>
      <c r="N59" s="653"/>
      <c r="O59" s="653"/>
      <c r="P59" s="653"/>
      <c r="Q59" s="653"/>
      <c r="R59" s="485"/>
      <c r="S59" s="485"/>
      <c r="T59" s="485"/>
      <c r="U59" s="485"/>
      <c r="V59" s="485"/>
      <c r="W59" s="485"/>
      <c r="X59" s="485"/>
      <c r="Y59" s="485"/>
      <c r="Z59" s="654"/>
      <c r="AA59" s="654"/>
      <c r="AB59" s="654"/>
      <c r="AC59" s="654"/>
      <c r="AD59" s="654"/>
      <c r="AE59" s="654"/>
      <c r="AF59" s="654"/>
      <c r="AG59" s="653"/>
      <c r="AH59" s="653"/>
      <c r="AI59" s="653"/>
      <c r="AJ59" s="653"/>
      <c r="AK59" s="653"/>
      <c r="AL59" s="484"/>
      <c r="AM59" s="484"/>
      <c r="AN59" s="484"/>
      <c r="AO59" s="484"/>
      <c r="AP59" s="484"/>
      <c r="AQ59" s="484"/>
      <c r="AR59" s="484"/>
      <c r="AS59" s="484"/>
      <c r="AT59" s="484"/>
      <c r="AU59" s="484"/>
      <c r="AV59" s="484"/>
      <c r="AW59" s="484"/>
      <c r="AX59" s="484"/>
      <c r="AY59" s="484"/>
      <c r="AZ59" s="484"/>
      <c r="BA59" s="484"/>
      <c r="BB59" s="484"/>
      <c r="BC59" s="484"/>
      <c r="BD59" s="484"/>
    </row>
    <row r="60" spans="1:56" s="46" customFormat="1">
      <c r="A60" s="484"/>
      <c r="B60" s="1"/>
      <c r="C60" s="484"/>
      <c r="D60" s="485"/>
      <c r="E60" s="485"/>
      <c r="F60" s="560"/>
      <c r="G60" s="516"/>
      <c r="H60" s="516"/>
      <c r="I60" s="516"/>
      <c r="J60" s="516"/>
      <c r="K60" s="516"/>
      <c r="L60" s="516"/>
      <c r="M60" s="516"/>
      <c r="N60" s="516"/>
      <c r="O60" s="516"/>
      <c r="P60" s="516"/>
      <c r="Q60" s="561"/>
      <c r="R60" s="516"/>
      <c r="S60" s="516"/>
      <c r="T60" s="516"/>
      <c r="U60" s="516"/>
      <c r="V60" s="516"/>
      <c r="W60" s="516"/>
      <c r="X60" s="561"/>
      <c r="Y60" s="561"/>
      <c r="Z60" s="561"/>
      <c r="AA60" s="516"/>
      <c r="AB60" s="562"/>
      <c r="AC60" s="516"/>
      <c r="AD60" s="516"/>
      <c r="AE60" s="561"/>
      <c r="AF60" s="561"/>
      <c r="AG60" s="561"/>
      <c r="AH60" s="516"/>
      <c r="AI60" s="516"/>
      <c r="AJ60" s="561"/>
      <c r="AK60" s="516"/>
      <c r="AL60" s="561"/>
      <c r="AM60" s="516"/>
      <c r="AN60" s="563"/>
      <c r="AO60" s="563"/>
      <c r="AP60" s="563"/>
      <c r="AQ60" s="564"/>
      <c r="AR60" s="564"/>
      <c r="AS60" s="565"/>
      <c r="AT60" s="484"/>
      <c r="AU60" s="484"/>
      <c r="AV60" s="484"/>
      <c r="AW60" s="484"/>
      <c r="AX60" s="484"/>
      <c r="AY60" s="484"/>
      <c r="AZ60" s="484"/>
      <c r="BA60" s="484"/>
      <c r="BB60" s="484"/>
      <c r="BC60" s="484"/>
      <c r="BD60" s="484"/>
    </row>
    <row r="61" spans="1:56" s="46" customFormat="1" ht="16">
      <c r="A61" s="484"/>
      <c r="B61" s="1"/>
      <c r="C61" s="484"/>
      <c r="D61" s="485"/>
      <c r="E61" s="485"/>
      <c r="F61" s="566" t="s">
        <v>128</v>
      </c>
      <c r="G61" s="485" t="s">
        <v>129</v>
      </c>
      <c r="H61" s="485" t="s">
        <v>130</v>
      </c>
      <c r="I61" s="485" t="s">
        <v>131</v>
      </c>
      <c r="J61" s="485" t="s">
        <v>190</v>
      </c>
      <c r="K61" s="485" t="s">
        <v>132</v>
      </c>
      <c r="L61" s="485" t="s">
        <v>133</v>
      </c>
      <c r="M61" s="485"/>
      <c r="N61" s="485"/>
      <c r="O61" s="485"/>
      <c r="P61" s="485"/>
      <c r="Q61" s="509"/>
      <c r="R61" s="485"/>
      <c r="S61" s="485"/>
      <c r="T61" s="485"/>
      <c r="U61" s="485"/>
      <c r="V61" s="485"/>
      <c r="W61" s="485"/>
      <c r="X61" s="509" t="s">
        <v>191</v>
      </c>
      <c r="Y61" s="509" t="s">
        <v>41</v>
      </c>
      <c r="Z61" s="509" t="s">
        <v>192</v>
      </c>
      <c r="AA61" s="485"/>
      <c r="AB61" s="487"/>
      <c r="AC61" s="485"/>
      <c r="AD61" s="485"/>
      <c r="AE61" s="509" t="s">
        <v>193</v>
      </c>
      <c r="AF61" s="509" t="s">
        <v>194</v>
      </c>
      <c r="AG61" s="509" t="s">
        <v>12</v>
      </c>
      <c r="AH61" s="485"/>
      <c r="AI61" s="485"/>
      <c r="AJ61" s="509" t="s">
        <v>72</v>
      </c>
      <c r="AK61" s="485"/>
      <c r="AL61" s="509" t="s">
        <v>67</v>
      </c>
      <c r="AM61" s="485"/>
      <c r="AN61" s="486"/>
      <c r="AO61" s="486"/>
      <c r="AP61" s="486"/>
      <c r="AQ61" s="510" t="s">
        <v>53</v>
      </c>
      <c r="AR61" s="510" t="s">
        <v>95</v>
      </c>
      <c r="AS61" s="567" t="s">
        <v>102</v>
      </c>
      <c r="AT61" s="484"/>
      <c r="AU61" s="484"/>
      <c r="AV61" s="484"/>
      <c r="AW61" s="484"/>
      <c r="AX61" s="484"/>
      <c r="AY61" s="484"/>
      <c r="AZ61" s="484"/>
      <c r="BA61" s="484"/>
      <c r="BB61" s="484"/>
      <c r="BC61" s="484"/>
      <c r="BD61" s="484"/>
    </row>
    <row r="62" spans="1:56" s="46" customFormat="1" ht="18" thickBot="1">
      <c r="A62" s="484"/>
      <c r="B62" s="1"/>
      <c r="C62" s="484"/>
      <c r="D62" s="485"/>
      <c r="E62" s="485"/>
      <c r="F62" s="568" t="s">
        <v>137</v>
      </c>
      <c r="G62" s="496" t="s">
        <v>138</v>
      </c>
      <c r="H62" s="496" t="s">
        <v>139</v>
      </c>
      <c r="I62" s="496" t="s">
        <v>140</v>
      </c>
      <c r="J62" s="496"/>
      <c r="K62" s="496"/>
      <c r="L62" s="496"/>
      <c r="M62" s="84" t="s">
        <v>195</v>
      </c>
      <c r="N62" s="569" t="s">
        <v>110</v>
      </c>
      <c r="O62" s="84" t="s">
        <v>196</v>
      </c>
      <c r="P62" s="84" t="s">
        <v>197</v>
      </c>
      <c r="Q62" s="570" t="s">
        <v>97</v>
      </c>
      <c r="R62" s="496" t="s">
        <v>40</v>
      </c>
      <c r="S62" s="496" t="s">
        <v>47</v>
      </c>
      <c r="T62" s="496" t="s">
        <v>83</v>
      </c>
      <c r="U62" s="496" t="s">
        <v>198</v>
      </c>
      <c r="V62" s="496" t="s">
        <v>199</v>
      </c>
      <c r="W62" s="496" t="s">
        <v>200</v>
      </c>
      <c r="X62" s="571" t="s">
        <v>37</v>
      </c>
      <c r="Y62" s="571" t="s">
        <v>90</v>
      </c>
      <c r="Z62" s="571" t="s">
        <v>45</v>
      </c>
      <c r="AA62" s="496" t="s">
        <v>64</v>
      </c>
      <c r="AB62" s="496" t="s">
        <v>62</v>
      </c>
      <c r="AC62" s="85" t="s">
        <v>201</v>
      </c>
      <c r="AD62" s="496" t="s">
        <v>112</v>
      </c>
      <c r="AE62" s="86" t="s">
        <v>202</v>
      </c>
      <c r="AF62" s="86" t="s">
        <v>203</v>
      </c>
      <c r="AG62" s="87" t="s">
        <v>204</v>
      </c>
      <c r="AH62" s="496" t="s">
        <v>104</v>
      </c>
      <c r="AI62" s="496" t="s">
        <v>99</v>
      </c>
      <c r="AJ62" s="571" t="s">
        <v>66</v>
      </c>
      <c r="AK62" s="496" t="s">
        <v>69</v>
      </c>
      <c r="AL62" s="88" t="s">
        <v>74</v>
      </c>
      <c r="AM62" s="569" t="s">
        <v>52</v>
      </c>
      <c r="AN62" s="569" t="s">
        <v>55</v>
      </c>
      <c r="AO62" s="569" t="s">
        <v>60</v>
      </c>
      <c r="AP62" s="569" t="s">
        <v>57</v>
      </c>
      <c r="AQ62" s="570" t="s">
        <v>81</v>
      </c>
      <c r="AR62" s="570" t="s">
        <v>94</v>
      </c>
      <c r="AS62" s="572" t="s">
        <v>101</v>
      </c>
      <c r="AT62" s="484"/>
      <c r="AU62" s="484"/>
      <c r="AV62" s="484"/>
      <c r="AW62" s="484"/>
      <c r="AX62" s="484"/>
      <c r="AY62" s="484"/>
      <c r="AZ62" s="484"/>
      <c r="BA62" s="484"/>
      <c r="BB62" s="484"/>
      <c r="BC62" s="484"/>
      <c r="BD62" s="484"/>
    </row>
    <row r="63" spans="1:56" s="46" customFormat="1">
      <c r="A63" s="484"/>
      <c r="B63" s="1"/>
      <c r="C63" s="484"/>
      <c r="D63" s="485"/>
      <c r="E63" s="485"/>
      <c r="F63" s="73" t="s">
        <v>175</v>
      </c>
      <c r="G63" s="516">
        <v>1</v>
      </c>
      <c r="H63" s="516" t="s">
        <v>173</v>
      </c>
      <c r="I63" s="516" t="s">
        <v>174</v>
      </c>
      <c r="J63" s="516" t="s">
        <v>174</v>
      </c>
      <c r="K63" s="516">
        <v>44</v>
      </c>
      <c r="L63" s="516">
        <v>12</v>
      </c>
      <c r="M63" s="492"/>
      <c r="N63" s="492"/>
      <c r="O63" s="492"/>
      <c r="P63" s="492"/>
      <c r="Q63" s="517">
        <f t="shared" ref="Q63:Q68" si="23">O63+P63</f>
        <v>0</v>
      </c>
      <c r="R63" s="518">
        <v>4.9000000000000002E-2</v>
      </c>
      <c r="S63" s="491">
        <v>28</v>
      </c>
      <c r="T63" s="519">
        <v>0</v>
      </c>
      <c r="U63" s="520"/>
      <c r="V63" s="521"/>
      <c r="W63" s="521"/>
      <c r="X63" s="522">
        <f t="shared" ref="X63:X68" si="24">W63+V63</f>
        <v>0</v>
      </c>
      <c r="Y63" s="523">
        <f t="shared" ref="Y63:Y68" si="25">(R63*S63*AA63)</f>
        <v>65170.000000000007</v>
      </c>
      <c r="Z63" s="522">
        <f t="shared" ref="Z63:Z65" si="26">U63+T63</f>
        <v>0</v>
      </c>
      <c r="AA63" s="491">
        <f>9.5*5000</f>
        <v>47500</v>
      </c>
      <c r="AB63" s="491">
        <f t="shared" ref="AB63:AB68" si="27">AA63</f>
        <v>47500</v>
      </c>
      <c r="AC63" s="492">
        <v>0.49</v>
      </c>
      <c r="AD63" s="492">
        <v>0.89</v>
      </c>
      <c r="AE63" s="523">
        <f t="shared" ref="AE63:AE68" si="28">(AA63*AC63*AD63)</f>
        <v>20714.75</v>
      </c>
      <c r="AF63" s="523">
        <f>(X63+Y63+Z63)*(AA63/AB63)</f>
        <v>65170.000000000007</v>
      </c>
      <c r="AG63" s="523">
        <f t="shared" ref="AG63:AG68" si="29">(AE63*K63/L63)-AF63</f>
        <v>10784.083333333321</v>
      </c>
      <c r="AH63" s="492"/>
      <c r="AI63" s="520"/>
      <c r="AJ63" s="524">
        <f>AI63+AH63</f>
        <v>0</v>
      </c>
      <c r="AK63" s="492"/>
      <c r="AL63" s="517">
        <f>(AJ63+AK63)</f>
        <v>0</v>
      </c>
      <c r="AM63" s="492"/>
      <c r="AN63" s="525"/>
      <c r="AO63" s="526"/>
      <c r="AP63" s="526"/>
      <c r="AQ63" s="527">
        <f t="shared" ref="AQ63:AQ65" si="30">AM63+AN63+AO63+AP63</f>
        <v>0</v>
      </c>
      <c r="AR63" s="527">
        <f t="shared" ref="AR63:AR68" si="31">Q63-N63</f>
        <v>0</v>
      </c>
      <c r="AS63" s="528">
        <f t="shared" ref="AS63:AS68" si="32">AR63+AG63-AL63-AQ63</f>
        <v>10784.083333333321</v>
      </c>
      <c r="AT63" s="484"/>
      <c r="AU63" s="484"/>
      <c r="AV63" s="484"/>
      <c r="AW63" s="484"/>
      <c r="AX63" s="484"/>
      <c r="AY63" s="484"/>
      <c r="AZ63" s="484"/>
      <c r="BA63" s="484"/>
      <c r="BB63" s="484"/>
      <c r="BC63" s="484"/>
      <c r="BD63" s="484"/>
    </row>
    <row r="64" spans="1:56" s="46" customFormat="1">
      <c r="A64" s="484"/>
      <c r="B64" s="1"/>
      <c r="C64" s="484"/>
      <c r="D64" s="485"/>
      <c r="E64" s="485"/>
      <c r="F64" s="529" t="s">
        <v>176</v>
      </c>
      <c r="G64" s="485">
        <v>1</v>
      </c>
      <c r="H64" s="485" t="s">
        <v>173</v>
      </c>
      <c r="I64" s="485" t="s">
        <v>174</v>
      </c>
      <c r="J64" s="485" t="s">
        <v>174</v>
      </c>
      <c r="K64" s="485">
        <v>44</v>
      </c>
      <c r="L64" s="485">
        <v>12</v>
      </c>
      <c r="M64" s="494"/>
      <c r="N64" s="494"/>
      <c r="O64" s="494"/>
      <c r="P64" s="494"/>
      <c r="Q64" s="530">
        <f t="shared" si="23"/>
        <v>0</v>
      </c>
      <c r="R64" s="531">
        <v>4.9000000000000002E-2</v>
      </c>
      <c r="S64" s="493">
        <v>28</v>
      </c>
      <c r="T64" s="532">
        <v>0</v>
      </c>
      <c r="U64" s="494"/>
      <c r="V64" s="494"/>
      <c r="W64" s="531"/>
      <c r="X64" s="533">
        <f t="shared" si="24"/>
        <v>0</v>
      </c>
      <c r="Y64" s="534">
        <f t="shared" si="25"/>
        <v>6860.0000000000009</v>
      </c>
      <c r="Z64" s="533">
        <f t="shared" si="26"/>
        <v>0</v>
      </c>
      <c r="AA64" s="493">
        <f>1*5000</f>
        <v>5000</v>
      </c>
      <c r="AB64" s="493">
        <f t="shared" si="27"/>
        <v>5000</v>
      </c>
      <c r="AC64" s="494">
        <v>0.77</v>
      </c>
      <c r="AD64" s="494">
        <v>0.89</v>
      </c>
      <c r="AE64" s="534">
        <f t="shared" si="28"/>
        <v>3426.5</v>
      </c>
      <c r="AF64" s="534">
        <f t="shared" ref="AF64:AF68" si="33">(X64+Y64+Z64)*(AA64/AB64)</f>
        <v>6860.0000000000009</v>
      </c>
      <c r="AG64" s="534">
        <f t="shared" si="29"/>
        <v>5703.833333333333</v>
      </c>
      <c r="AH64" s="494"/>
      <c r="AI64" s="494"/>
      <c r="AJ64" s="535">
        <f t="shared" ref="AJ64:AJ65" si="34">AI64+AH64</f>
        <v>0</v>
      </c>
      <c r="AK64" s="494"/>
      <c r="AL64" s="530">
        <f t="shared" ref="AL64:AL65" si="35">(AJ64+AK64)</f>
        <v>0</v>
      </c>
      <c r="AM64" s="494"/>
      <c r="AN64" s="536"/>
      <c r="AO64" s="537"/>
      <c r="AP64" s="537"/>
      <c r="AQ64" s="538">
        <f t="shared" si="30"/>
        <v>0</v>
      </c>
      <c r="AR64" s="538">
        <f t="shared" si="31"/>
        <v>0</v>
      </c>
      <c r="AS64" s="539">
        <f t="shared" si="32"/>
        <v>5703.833333333333</v>
      </c>
      <c r="AT64" s="484"/>
      <c r="AU64" s="484"/>
      <c r="AV64" s="484"/>
      <c r="AW64" s="484"/>
      <c r="AX64" s="484"/>
      <c r="AY64" s="484"/>
      <c r="AZ64" s="484"/>
      <c r="BA64" s="484"/>
      <c r="BB64" s="484"/>
      <c r="BC64" s="484"/>
      <c r="BD64" s="484"/>
    </row>
    <row r="65" spans="1:56" s="46" customFormat="1">
      <c r="A65" s="484"/>
      <c r="B65" s="1"/>
      <c r="C65" s="484"/>
      <c r="D65" s="485"/>
      <c r="E65" s="485"/>
      <c r="F65" s="529" t="s">
        <v>172</v>
      </c>
      <c r="G65" s="485">
        <v>1</v>
      </c>
      <c r="H65" s="485" t="s">
        <v>173</v>
      </c>
      <c r="I65" s="485" t="s">
        <v>174</v>
      </c>
      <c r="J65" s="485" t="s">
        <v>174</v>
      </c>
      <c r="K65" s="485">
        <v>44</v>
      </c>
      <c r="L65" s="485">
        <v>12</v>
      </c>
      <c r="M65" s="485"/>
      <c r="N65" s="485"/>
      <c r="O65" s="485"/>
      <c r="P65" s="485"/>
      <c r="Q65" s="530">
        <f t="shared" si="23"/>
        <v>0</v>
      </c>
      <c r="R65" s="531">
        <v>4.9000000000000002E-2</v>
      </c>
      <c r="S65" s="493">
        <v>28</v>
      </c>
      <c r="T65" s="532">
        <v>0</v>
      </c>
      <c r="U65" s="485"/>
      <c r="V65" s="485"/>
      <c r="W65" s="485"/>
      <c r="X65" s="533">
        <f t="shared" si="24"/>
        <v>0</v>
      </c>
      <c r="Y65" s="534">
        <f t="shared" si="25"/>
        <v>13720.000000000002</v>
      </c>
      <c r="Z65" s="533">
        <f t="shared" si="26"/>
        <v>0</v>
      </c>
      <c r="AA65" s="493">
        <f>2*5000</f>
        <v>10000</v>
      </c>
      <c r="AB65" s="493">
        <f t="shared" si="27"/>
        <v>10000</v>
      </c>
      <c r="AC65" s="494">
        <v>0.77</v>
      </c>
      <c r="AD65" s="485">
        <v>0.89</v>
      </c>
      <c r="AE65" s="534">
        <f t="shared" si="28"/>
        <v>6853</v>
      </c>
      <c r="AF65" s="534">
        <f t="shared" si="33"/>
        <v>13720.000000000002</v>
      </c>
      <c r="AG65" s="534">
        <f t="shared" si="29"/>
        <v>11407.666666666666</v>
      </c>
      <c r="AH65" s="485"/>
      <c r="AI65" s="485"/>
      <c r="AJ65" s="535">
        <f t="shared" si="34"/>
        <v>0</v>
      </c>
      <c r="AK65" s="485"/>
      <c r="AL65" s="530">
        <f t="shared" si="35"/>
        <v>0</v>
      </c>
      <c r="AM65" s="485"/>
      <c r="AN65" s="486"/>
      <c r="AO65" s="486"/>
      <c r="AP65" s="486"/>
      <c r="AQ65" s="538">
        <f t="shared" si="30"/>
        <v>0</v>
      </c>
      <c r="AR65" s="538">
        <f t="shared" si="31"/>
        <v>0</v>
      </c>
      <c r="AS65" s="539">
        <f t="shared" si="32"/>
        <v>11407.666666666666</v>
      </c>
      <c r="AT65" s="484"/>
      <c r="AU65" s="484"/>
      <c r="AV65" s="484"/>
      <c r="AW65" s="484"/>
      <c r="AX65" s="484"/>
      <c r="AY65" s="484"/>
      <c r="AZ65" s="484"/>
      <c r="BA65" s="484"/>
      <c r="BB65" s="484"/>
      <c r="BC65" s="484"/>
      <c r="BD65" s="484"/>
    </row>
    <row r="66" spans="1:56" s="46" customFormat="1">
      <c r="A66" s="484"/>
      <c r="B66" s="1"/>
      <c r="C66" s="484"/>
      <c r="D66" s="485"/>
      <c r="E66" s="485"/>
      <c r="F66" s="75" t="s">
        <v>175</v>
      </c>
      <c r="G66" s="485">
        <v>2</v>
      </c>
      <c r="H66" s="485" t="s">
        <v>173</v>
      </c>
      <c r="I66" s="485" t="s">
        <v>174</v>
      </c>
      <c r="J66" s="485" t="s">
        <v>174</v>
      </c>
      <c r="K66" s="485">
        <v>44</v>
      </c>
      <c r="L66" s="485">
        <v>12</v>
      </c>
      <c r="M66" s="494"/>
      <c r="N66" s="494"/>
      <c r="O66" s="494"/>
      <c r="P66" s="494"/>
      <c r="Q66" s="530">
        <f t="shared" si="23"/>
        <v>0</v>
      </c>
      <c r="R66" s="531">
        <v>4.9000000000000002E-2</v>
      </c>
      <c r="S66" s="493">
        <v>28</v>
      </c>
      <c r="T66" s="532">
        <v>0</v>
      </c>
      <c r="U66" s="540"/>
      <c r="V66" s="541"/>
      <c r="W66" s="541"/>
      <c r="X66" s="533">
        <f t="shared" si="24"/>
        <v>0</v>
      </c>
      <c r="Y66" s="534">
        <f t="shared" si="25"/>
        <v>65170.000000000007</v>
      </c>
      <c r="Z66" s="533">
        <f>U66+T66</f>
        <v>0</v>
      </c>
      <c r="AA66" s="493">
        <f>9.5*5000</f>
        <v>47500</v>
      </c>
      <c r="AB66" s="493">
        <f t="shared" si="27"/>
        <v>47500</v>
      </c>
      <c r="AC66" s="494">
        <v>0.49</v>
      </c>
      <c r="AD66" s="494">
        <v>0.89</v>
      </c>
      <c r="AE66" s="534">
        <f t="shared" si="28"/>
        <v>20714.75</v>
      </c>
      <c r="AF66" s="534">
        <f t="shared" si="33"/>
        <v>65170.000000000007</v>
      </c>
      <c r="AG66" s="534">
        <f t="shared" si="29"/>
        <v>10784.083333333321</v>
      </c>
      <c r="AH66" s="494"/>
      <c r="AI66" s="540"/>
      <c r="AJ66" s="535">
        <f>AI66+AH66</f>
        <v>0</v>
      </c>
      <c r="AK66" s="494"/>
      <c r="AL66" s="530">
        <f>(AJ66+AK66)</f>
        <v>0</v>
      </c>
      <c r="AM66" s="494"/>
      <c r="AN66" s="536"/>
      <c r="AO66" s="542"/>
      <c r="AP66" s="542"/>
      <c r="AQ66" s="538">
        <f>AM66+AN66+AO66+AP66</f>
        <v>0</v>
      </c>
      <c r="AR66" s="538">
        <f t="shared" si="31"/>
        <v>0</v>
      </c>
      <c r="AS66" s="539">
        <f t="shared" si="32"/>
        <v>10784.083333333321</v>
      </c>
      <c r="AT66" s="484"/>
      <c r="AU66" s="484"/>
      <c r="AV66" s="484"/>
      <c r="AW66" s="484"/>
      <c r="AX66" s="484"/>
      <c r="AY66" s="484"/>
      <c r="AZ66" s="484"/>
      <c r="BA66" s="484"/>
      <c r="BB66" s="484"/>
      <c r="BC66" s="484"/>
      <c r="BD66" s="484"/>
    </row>
    <row r="67" spans="1:56" s="46" customFormat="1">
      <c r="A67" s="484"/>
      <c r="B67" s="1"/>
      <c r="C67" s="484"/>
      <c r="D67" s="485"/>
      <c r="E67" s="485"/>
      <c r="F67" s="529" t="s">
        <v>176</v>
      </c>
      <c r="G67" s="485">
        <v>2</v>
      </c>
      <c r="H67" s="485" t="s">
        <v>173</v>
      </c>
      <c r="I67" s="485" t="s">
        <v>174</v>
      </c>
      <c r="J67" s="485" t="s">
        <v>174</v>
      </c>
      <c r="K67" s="485">
        <v>44</v>
      </c>
      <c r="L67" s="485">
        <v>12</v>
      </c>
      <c r="M67" s="494"/>
      <c r="N67" s="494"/>
      <c r="O67" s="494"/>
      <c r="P67" s="494"/>
      <c r="Q67" s="530">
        <f t="shared" si="23"/>
        <v>0</v>
      </c>
      <c r="R67" s="531">
        <v>4.9000000000000002E-2</v>
      </c>
      <c r="S67" s="493">
        <v>28</v>
      </c>
      <c r="T67" s="532">
        <v>0</v>
      </c>
      <c r="U67" s="494"/>
      <c r="V67" s="494"/>
      <c r="W67" s="531"/>
      <c r="X67" s="533">
        <f t="shared" si="24"/>
        <v>0</v>
      </c>
      <c r="Y67" s="534">
        <f t="shared" si="25"/>
        <v>6860.0000000000009</v>
      </c>
      <c r="Z67" s="533">
        <f>U67+T67</f>
        <v>0</v>
      </c>
      <c r="AA67" s="493">
        <f>1*5000</f>
        <v>5000</v>
      </c>
      <c r="AB67" s="493">
        <f t="shared" si="27"/>
        <v>5000</v>
      </c>
      <c r="AC67" s="494">
        <v>0.77</v>
      </c>
      <c r="AD67" s="494">
        <v>0.89</v>
      </c>
      <c r="AE67" s="534">
        <f t="shared" si="28"/>
        <v>3426.5</v>
      </c>
      <c r="AF67" s="534">
        <f t="shared" si="33"/>
        <v>6860.0000000000009</v>
      </c>
      <c r="AG67" s="534">
        <f t="shared" si="29"/>
        <v>5703.833333333333</v>
      </c>
      <c r="AH67" s="494"/>
      <c r="AI67" s="494"/>
      <c r="AJ67" s="535">
        <f>AI67+AH67</f>
        <v>0</v>
      </c>
      <c r="AK67" s="494"/>
      <c r="AL67" s="530">
        <f>(AJ67+AK67)</f>
        <v>0</v>
      </c>
      <c r="AM67" s="494"/>
      <c r="AN67" s="536"/>
      <c r="AO67" s="537"/>
      <c r="AP67" s="537"/>
      <c r="AQ67" s="538">
        <f>AM67+AN67+AO67+AP67</f>
        <v>0</v>
      </c>
      <c r="AR67" s="538">
        <f t="shared" si="31"/>
        <v>0</v>
      </c>
      <c r="AS67" s="539">
        <f t="shared" si="32"/>
        <v>5703.833333333333</v>
      </c>
      <c r="AT67" s="484"/>
      <c r="AU67" s="484"/>
      <c r="AV67" s="484"/>
      <c r="AW67" s="484"/>
      <c r="AX67" s="484"/>
      <c r="AY67" s="484"/>
      <c r="AZ67" s="484"/>
      <c r="BA67" s="484"/>
      <c r="BB67" s="484"/>
      <c r="BC67" s="484"/>
      <c r="BD67" s="484"/>
    </row>
    <row r="68" spans="1:56" s="46" customFormat="1">
      <c r="A68" s="484"/>
      <c r="B68" s="1"/>
      <c r="C68" s="484"/>
      <c r="D68" s="485"/>
      <c r="E68" s="485"/>
      <c r="F68" s="529" t="s">
        <v>172</v>
      </c>
      <c r="G68" s="485">
        <v>2</v>
      </c>
      <c r="H68" s="485" t="s">
        <v>173</v>
      </c>
      <c r="I68" s="485" t="s">
        <v>174</v>
      </c>
      <c r="J68" s="485" t="s">
        <v>174</v>
      </c>
      <c r="K68" s="485">
        <v>44</v>
      </c>
      <c r="L68" s="485">
        <v>12</v>
      </c>
      <c r="M68" s="485"/>
      <c r="N68" s="485"/>
      <c r="O68" s="485"/>
      <c r="P68" s="485"/>
      <c r="Q68" s="530">
        <f t="shared" si="23"/>
        <v>0</v>
      </c>
      <c r="R68" s="531">
        <v>4.9000000000000002E-2</v>
      </c>
      <c r="S68" s="493">
        <v>28</v>
      </c>
      <c r="T68" s="532">
        <v>0</v>
      </c>
      <c r="U68" s="485"/>
      <c r="V68" s="485"/>
      <c r="W68" s="485"/>
      <c r="X68" s="533">
        <f t="shared" si="24"/>
        <v>0</v>
      </c>
      <c r="Y68" s="534">
        <f t="shared" si="25"/>
        <v>13720.000000000002</v>
      </c>
      <c r="Z68" s="533">
        <f>U68+T68</f>
        <v>0</v>
      </c>
      <c r="AA68" s="493">
        <f>2*5000</f>
        <v>10000</v>
      </c>
      <c r="AB68" s="493">
        <f t="shared" si="27"/>
        <v>10000</v>
      </c>
      <c r="AC68" s="494">
        <v>0.77</v>
      </c>
      <c r="AD68" s="485">
        <v>0.89</v>
      </c>
      <c r="AE68" s="534">
        <f t="shared" si="28"/>
        <v>6853</v>
      </c>
      <c r="AF68" s="534">
        <f t="shared" si="33"/>
        <v>13720.000000000002</v>
      </c>
      <c r="AG68" s="534">
        <f t="shared" si="29"/>
        <v>11407.666666666666</v>
      </c>
      <c r="AH68" s="485"/>
      <c r="AI68" s="485"/>
      <c r="AJ68" s="535">
        <f>AI68+AH68</f>
        <v>0</v>
      </c>
      <c r="AK68" s="485"/>
      <c r="AL68" s="530">
        <f>(AJ68+AK68)</f>
        <v>0</v>
      </c>
      <c r="AM68" s="485"/>
      <c r="AN68" s="486"/>
      <c r="AO68" s="486"/>
      <c r="AP68" s="486"/>
      <c r="AQ68" s="538">
        <f>AM68+AN68+AO68+AP68</f>
        <v>0</v>
      </c>
      <c r="AR68" s="538">
        <f t="shared" si="31"/>
        <v>0</v>
      </c>
      <c r="AS68" s="539">
        <f t="shared" si="32"/>
        <v>11407.666666666666</v>
      </c>
      <c r="AT68" s="484"/>
      <c r="AU68" s="484"/>
      <c r="AV68" s="484"/>
      <c r="AW68" s="484"/>
      <c r="AX68" s="484"/>
      <c r="AY68" s="484"/>
      <c r="AZ68" s="484"/>
      <c r="BA68" s="484"/>
      <c r="BB68" s="484"/>
      <c r="BC68" s="484"/>
      <c r="BD68" s="484"/>
    </row>
    <row r="69" spans="1:56" s="46" customFormat="1" ht="16" thickBot="1">
      <c r="A69" s="484"/>
      <c r="B69" s="1"/>
      <c r="C69" s="484"/>
      <c r="D69" s="485"/>
      <c r="E69" s="485"/>
      <c r="F69" s="89" t="s">
        <v>206</v>
      </c>
      <c r="G69" s="571"/>
      <c r="H69" s="571"/>
      <c r="I69" s="571"/>
      <c r="J69" s="571"/>
      <c r="K69" s="571"/>
      <c r="L69" s="571"/>
      <c r="M69" s="571"/>
      <c r="N69" s="571"/>
      <c r="O69" s="571"/>
      <c r="P69" s="571"/>
      <c r="Q69" s="544"/>
      <c r="R69" s="573"/>
      <c r="S69" s="571"/>
      <c r="T69" s="574"/>
      <c r="U69" s="571"/>
      <c r="V69" s="571"/>
      <c r="W69" s="571"/>
      <c r="X69" s="573"/>
      <c r="Y69" s="548"/>
      <c r="Z69" s="573"/>
      <c r="AA69" s="571"/>
      <c r="AB69" s="544"/>
      <c r="AC69" s="544"/>
      <c r="AD69" s="571"/>
      <c r="AE69" s="544"/>
      <c r="AF69" s="548"/>
      <c r="AG69" s="548"/>
      <c r="AH69" s="571"/>
      <c r="AI69" s="571"/>
      <c r="AJ69" s="571"/>
      <c r="AK69" s="571"/>
      <c r="AL69" s="544"/>
      <c r="AM69" s="571"/>
      <c r="AN69" s="575"/>
      <c r="AO69" s="575"/>
      <c r="AP69" s="575"/>
      <c r="AQ69" s="551"/>
      <c r="AR69" s="551"/>
      <c r="AS69" s="81">
        <f>SUM(AS63:AS68)</f>
        <v>55791.166666666642</v>
      </c>
      <c r="AT69" s="484"/>
      <c r="AU69" s="484"/>
      <c r="AV69" s="484"/>
      <c r="AW69" s="484"/>
      <c r="AX69" s="484"/>
      <c r="AY69" s="484"/>
      <c r="AZ69" s="484"/>
      <c r="BA69" s="484"/>
      <c r="BB69" s="484"/>
      <c r="BC69" s="484"/>
      <c r="BD69" s="484"/>
    </row>
    <row r="70" spans="1:56" s="46" customFormat="1">
      <c r="A70" s="484"/>
      <c r="B70" s="1"/>
      <c r="C70" s="484"/>
      <c r="D70" s="485"/>
      <c r="E70" s="485"/>
      <c r="F70" s="485"/>
      <c r="G70" s="485"/>
      <c r="H70" s="485"/>
      <c r="I70" s="485"/>
      <c r="J70" s="485"/>
      <c r="K70" s="485"/>
      <c r="L70" s="485"/>
      <c r="M70" s="485"/>
      <c r="N70" s="485"/>
      <c r="O70" s="485"/>
      <c r="P70" s="485"/>
      <c r="Q70" s="485"/>
      <c r="R70" s="485"/>
      <c r="S70" s="485"/>
      <c r="T70" s="485"/>
      <c r="U70" s="485"/>
      <c r="V70" s="485"/>
      <c r="W70" s="485"/>
      <c r="X70" s="485"/>
      <c r="Y70" s="485"/>
      <c r="Z70" s="485"/>
      <c r="AA70" s="485"/>
      <c r="AB70" s="485"/>
      <c r="AC70" s="485"/>
      <c r="AD70" s="485"/>
      <c r="AE70" s="485"/>
      <c r="AF70" s="485"/>
      <c r="AG70" s="485"/>
      <c r="AH70" s="486"/>
      <c r="AI70" s="486"/>
      <c r="AJ70" s="486"/>
      <c r="AK70" s="484"/>
      <c r="AL70" s="484"/>
      <c r="AM70" s="484"/>
      <c r="AN70" s="484"/>
      <c r="AO70" s="484"/>
      <c r="AP70" s="484"/>
      <c r="AQ70" s="484"/>
      <c r="AR70" s="484"/>
      <c r="AS70" s="484"/>
      <c r="AT70" s="484"/>
      <c r="AU70" s="484"/>
      <c r="AV70" s="484"/>
      <c r="AW70" s="484"/>
      <c r="AX70" s="484"/>
      <c r="AY70" s="484"/>
      <c r="AZ70" s="484"/>
      <c r="BA70" s="484"/>
      <c r="BB70" s="484"/>
      <c r="BC70" s="484"/>
      <c r="BD70" s="484"/>
    </row>
    <row r="71" spans="1:56" s="46" customFormat="1">
      <c r="A71" s="484"/>
      <c r="B71" s="1"/>
      <c r="C71" s="484"/>
      <c r="D71" s="485"/>
      <c r="E71" s="485"/>
      <c r="F71" s="485"/>
      <c r="G71" s="485"/>
      <c r="H71" s="485"/>
      <c r="I71" s="485"/>
      <c r="J71" s="485"/>
      <c r="K71" s="485"/>
      <c r="L71" s="485"/>
      <c r="M71" s="485"/>
      <c r="N71" s="485"/>
      <c r="O71" s="485"/>
      <c r="P71" s="485"/>
      <c r="Q71" s="485"/>
      <c r="R71" s="485"/>
      <c r="S71" s="485"/>
      <c r="T71" s="485"/>
      <c r="U71" s="485"/>
      <c r="V71" s="485"/>
      <c r="W71" s="485"/>
      <c r="X71" s="485"/>
      <c r="Y71" s="485"/>
      <c r="Z71" s="485"/>
      <c r="AA71" s="485"/>
      <c r="AB71" s="485"/>
      <c r="AC71" s="485"/>
      <c r="AD71" s="485"/>
      <c r="AE71" s="485"/>
      <c r="AF71" s="485"/>
      <c r="AG71" s="485"/>
      <c r="AH71" s="486"/>
      <c r="AI71" s="486"/>
      <c r="AJ71" s="486"/>
      <c r="AK71" s="484"/>
      <c r="AL71" s="484"/>
      <c r="AM71" s="484"/>
      <c r="AN71" s="484"/>
      <c r="AO71" s="484"/>
      <c r="AP71" s="484"/>
      <c r="AQ71" s="484"/>
      <c r="AR71" s="484"/>
      <c r="AS71" s="484"/>
      <c r="AT71" s="484"/>
      <c r="AU71" s="484"/>
      <c r="AV71" s="484"/>
      <c r="AW71" s="484"/>
      <c r="AX71" s="484"/>
      <c r="AY71" s="484"/>
      <c r="AZ71" s="484"/>
      <c r="BA71" s="484"/>
      <c r="BB71" s="484"/>
      <c r="BC71" s="484"/>
      <c r="BD71" s="484"/>
    </row>
    <row r="72" spans="1:56" s="46" customFormat="1">
      <c r="A72" s="484"/>
      <c r="B72" s="1"/>
      <c r="C72" s="484"/>
      <c r="D72" s="485"/>
      <c r="E72" s="485"/>
      <c r="F72" s="485"/>
      <c r="G72" s="485"/>
      <c r="H72" s="485"/>
      <c r="I72" s="485"/>
      <c r="J72" s="485"/>
      <c r="K72" s="485"/>
      <c r="L72" s="485"/>
      <c r="M72" s="485"/>
      <c r="N72" s="485"/>
      <c r="O72" s="485"/>
      <c r="P72" s="485"/>
      <c r="Q72" s="485"/>
      <c r="R72" s="485"/>
      <c r="S72" s="485"/>
      <c r="T72" s="485"/>
      <c r="U72" s="485"/>
      <c r="V72" s="485"/>
      <c r="W72" s="485"/>
      <c r="X72" s="485"/>
      <c r="Y72" s="485"/>
      <c r="Z72" s="485"/>
      <c r="AA72" s="485"/>
      <c r="AB72" s="485"/>
      <c r="AC72" s="485"/>
      <c r="AD72" s="485"/>
      <c r="AE72" s="485"/>
      <c r="AF72" s="485"/>
      <c r="AG72" s="485"/>
      <c r="AH72" s="486"/>
      <c r="AI72" s="486"/>
      <c r="AJ72" s="486"/>
      <c r="AK72" s="484"/>
      <c r="AL72" s="484"/>
      <c r="AM72" s="484"/>
      <c r="AN72" s="484"/>
      <c r="AO72" s="484"/>
      <c r="AP72" s="484"/>
      <c r="AQ72" s="484"/>
      <c r="AR72" s="484"/>
      <c r="AS72" s="484"/>
      <c r="AT72" s="484"/>
      <c r="AU72" s="484"/>
      <c r="AV72" s="484"/>
      <c r="AW72" s="484"/>
      <c r="AX72" s="484"/>
      <c r="AY72" s="484"/>
      <c r="AZ72" s="484"/>
      <c r="BA72" s="484"/>
      <c r="BB72" s="484"/>
      <c r="BC72" s="484"/>
      <c r="BD72" s="484"/>
    </row>
    <row r="73" spans="1:56">
      <c r="A73" s="484"/>
      <c r="B73" s="484"/>
      <c r="C73" s="484"/>
      <c r="D73" s="485"/>
      <c r="E73" s="485"/>
      <c r="F73" s="54"/>
      <c r="G73" s="485"/>
      <c r="H73" s="485"/>
      <c r="I73" s="485"/>
      <c r="J73" s="485"/>
      <c r="K73" s="485"/>
      <c r="L73" s="485"/>
      <c r="M73" s="485"/>
      <c r="N73" s="485"/>
      <c r="O73" s="485"/>
      <c r="P73" s="485"/>
      <c r="Q73" s="485"/>
      <c r="R73" s="485"/>
      <c r="S73" s="485"/>
      <c r="T73" s="485"/>
      <c r="U73" s="485"/>
      <c r="V73" s="485"/>
      <c r="W73" s="485"/>
      <c r="X73" s="485"/>
      <c r="Y73" s="485"/>
      <c r="Z73" s="485"/>
      <c r="AA73" s="485"/>
      <c r="AB73" s="485"/>
      <c r="AC73" s="485"/>
      <c r="AD73" s="485"/>
      <c r="AE73" s="485"/>
      <c r="AF73" s="485"/>
      <c r="AG73" s="485"/>
      <c r="AH73" s="486"/>
      <c r="AI73" s="486"/>
      <c r="AJ73" s="486"/>
      <c r="AK73" s="484"/>
      <c r="AL73" s="484"/>
      <c r="AM73" s="484"/>
      <c r="AN73" s="484"/>
      <c r="AO73" s="484"/>
      <c r="AP73" s="484"/>
      <c r="AQ73" s="484"/>
      <c r="AR73" s="559"/>
      <c r="AS73" s="484"/>
      <c r="AT73" s="484"/>
      <c r="AU73" s="484"/>
      <c r="AV73" s="484"/>
      <c r="AW73" s="484"/>
      <c r="AX73" s="484"/>
      <c r="AY73" s="484"/>
      <c r="AZ73" s="484"/>
      <c r="BA73" s="484"/>
      <c r="BB73" s="484"/>
      <c r="BC73" s="484"/>
      <c r="BD73" s="484"/>
    </row>
    <row r="74" spans="1:56">
      <c r="A74" s="484"/>
      <c r="B74" s="484"/>
      <c r="C74" s="484"/>
      <c r="D74" s="485"/>
      <c r="E74" s="485"/>
      <c r="F74" s="576"/>
      <c r="G74" s="485"/>
      <c r="H74" s="485"/>
      <c r="I74" s="485"/>
      <c r="J74" s="485"/>
      <c r="K74" s="485"/>
      <c r="L74" s="485"/>
      <c r="M74" s="485"/>
      <c r="N74" s="485"/>
      <c r="O74" s="485"/>
      <c r="P74" s="485"/>
      <c r="Q74" s="485"/>
      <c r="R74" s="485"/>
      <c r="S74" s="485"/>
      <c r="T74" s="485"/>
      <c r="U74" s="485"/>
      <c r="V74" s="485"/>
      <c r="W74" s="485"/>
      <c r="X74" s="485"/>
      <c r="Y74" s="485"/>
      <c r="Z74" s="485"/>
      <c r="AA74" s="485"/>
      <c r="AB74" s="485"/>
      <c r="AC74" s="485"/>
      <c r="AD74" s="485"/>
      <c r="AE74" s="485"/>
      <c r="AF74" s="485"/>
      <c r="AG74" s="485"/>
      <c r="AH74" s="486"/>
      <c r="AI74" s="486"/>
      <c r="AJ74" s="486"/>
      <c r="AK74" s="484"/>
      <c r="AL74" s="484"/>
      <c r="AM74" s="484"/>
      <c r="AN74" s="484"/>
      <c r="AO74" s="484"/>
      <c r="AP74" s="484"/>
      <c r="AQ74" s="484"/>
      <c r="AR74" s="484"/>
      <c r="AS74" s="484"/>
      <c r="AT74" s="484"/>
      <c r="AU74" s="484"/>
      <c r="AV74" s="484"/>
      <c r="AW74" s="484"/>
      <c r="AX74" s="484"/>
      <c r="AY74" s="484"/>
      <c r="AZ74" s="484"/>
      <c r="BA74" s="484"/>
      <c r="BB74" s="484"/>
      <c r="BC74" s="484"/>
      <c r="BD74" s="484"/>
    </row>
    <row r="75" spans="1:56">
      <c r="A75" s="484"/>
      <c r="B75" s="484"/>
      <c r="C75" s="484"/>
      <c r="D75" s="485"/>
      <c r="E75" s="485"/>
      <c r="F75" s="513"/>
      <c r="G75" s="485"/>
      <c r="H75" s="485"/>
      <c r="I75" s="485"/>
      <c r="J75" s="485"/>
      <c r="K75" s="485"/>
      <c r="L75" s="485"/>
      <c r="M75" s="485"/>
      <c r="N75" s="485"/>
      <c r="O75" s="485"/>
      <c r="P75" s="485"/>
      <c r="Q75" s="485"/>
      <c r="R75" s="485"/>
      <c r="S75" s="485"/>
      <c r="T75" s="485"/>
      <c r="U75" s="485"/>
      <c r="V75" s="485"/>
      <c r="W75" s="485"/>
      <c r="X75" s="485"/>
      <c r="Y75" s="485"/>
      <c r="Z75" s="485"/>
      <c r="AA75" s="485"/>
      <c r="AB75" s="485"/>
      <c r="AC75" s="485"/>
      <c r="AD75" s="485"/>
      <c r="AE75" s="485"/>
      <c r="AF75" s="485"/>
      <c r="AG75" s="485"/>
      <c r="AH75" s="486"/>
      <c r="AI75" s="486"/>
      <c r="AJ75" s="486"/>
      <c r="AK75" s="484"/>
      <c r="AL75" s="484"/>
      <c r="AM75" s="484"/>
      <c r="AN75" s="484"/>
      <c r="AO75" s="484"/>
      <c r="AP75" s="484"/>
      <c r="AQ75" s="484"/>
      <c r="AR75" s="484"/>
      <c r="AS75" s="484"/>
      <c r="AT75" s="484"/>
      <c r="AU75" s="484"/>
      <c r="AV75" s="484"/>
      <c r="AW75" s="484"/>
      <c r="AX75" s="484"/>
      <c r="AY75" s="484"/>
      <c r="AZ75" s="484"/>
      <c r="BA75" s="484"/>
      <c r="BB75" s="484"/>
      <c r="BC75" s="484"/>
      <c r="BD75" s="484"/>
    </row>
    <row r="76" spans="1:56">
      <c r="A76" s="484"/>
      <c r="B76" s="484"/>
      <c r="C76" s="484"/>
      <c r="D76" s="485"/>
      <c r="E76" s="485"/>
      <c r="F76" s="485"/>
      <c r="G76" s="485"/>
      <c r="H76" s="485"/>
      <c r="I76" s="485"/>
      <c r="J76" s="485"/>
      <c r="K76" s="485"/>
      <c r="L76" s="485"/>
      <c r="M76" s="485"/>
      <c r="N76" s="485"/>
      <c r="O76" s="485"/>
      <c r="P76" s="485"/>
      <c r="Q76" s="485"/>
      <c r="R76" s="485"/>
      <c r="S76" s="485"/>
      <c r="T76" s="485"/>
      <c r="U76" s="485"/>
      <c r="V76" s="485"/>
      <c r="W76" s="485"/>
      <c r="X76" s="485"/>
      <c r="Y76" s="485"/>
      <c r="Z76" s="485"/>
      <c r="AA76" s="485"/>
      <c r="AB76" s="485"/>
      <c r="AC76" s="485"/>
      <c r="AD76" s="485"/>
      <c r="AE76" s="485"/>
      <c r="AF76" s="485"/>
      <c r="AG76" s="485"/>
      <c r="AH76" s="486"/>
      <c r="AI76" s="486"/>
      <c r="AJ76" s="486"/>
      <c r="AK76" s="484"/>
      <c r="AL76" s="484"/>
      <c r="AM76" s="484"/>
      <c r="AN76" s="484"/>
      <c r="AO76" s="484"/>
      <c r="AP76" s="484"/>
      <c r="AQ76" s="484"/>
      <c r="AR76" s="484"/>
      <c r="AS76" s="484"/>
      <c r="AT76" s="484"/>
      <c r="AU76" s="484"/>
      <c r="AV76" s="484"/>
      <c r="AW76" s="484"/>
      <c r="AX76" s="484"/>
      <c r="AY76" s="484"/>
      <c r="AZ76" s="484"/>
      <c r="BA76" s="484"/>
      <c r="BB76" s="484"/>
      <c r="BC76" s="484"/>
      <c r="BD76" s="484"/>
    </row>
    <row r="77" spans="1:56">
      <c r="A77" s="484"/>
      <c r="B77" s="484"/>
      <c r="C77" s="484"/>
      <c r="D77" s="485"/>
      <c r="E77" s="485"/>
      <c r="F77" s="577">
        <v>45482</v>
      </c>
      <c r="G77" s="485"/>
      <c r="H77" s="485"/>
      <c r="I77" s="485"/>
      <c r="J77" s="485"/>
      <c r="K77" s="485"/>
      <c r="L77" s="485"/>
      <c r="M77" s="485"/>
      <c r="N77" s="485"/>
      <c r="O77" s="485"/>
      <c r="P77" s="485"/>
      <c r="Q77" s="485"/>
      <c r="R77" s="485"/>
      <c r="S77" s="485"/>
      <c r="T77" s="485"/>
      <c r="U77" s="485"/>
      <c r="V77" s="485"/>
      <c r="W77" s="485"/>
      <c r="X77" s="485"/>
      <c r="Y77" s="485"/>
      <c r="Z77" s="485"/>
      <c r="AA77" s="485"/>
      <c r="AB77" s="485"/>
      <c r="AC77" s="485"/>
      <c r="AD77" s="485"/>
      <c r="AE77" s="485"/>
      <c r="AF77" s="485"/>
      <c r="AG77" s="485"/>
      <c r="AH77" s="486"/>
      <c r="AI77" s="486"/>
      <c r="AJ77" s="486"/>
      <c r="AK77" s="484"/>
      <c r="AL77" s="484"/>
      <c r="AM77" s="484"/>
      <c r="AN77" s="484"/>
      <c r="AO77" s="484"/>
      <c r="AP77" s="484"/>
      <c r="AQ77" s="484"/>
      <c r="AR77" s="484"/>
      <c r="AS77" s="484"/>
      <c r="AT77" s="484"/>
      <c r="AU77" s="484"/>
      <c r="AV77" s="484"/>
      <c r="AW77" s="484"/>
      <c r="AX77" s="484"/>
      <c r="AY77" s="484"/>
      <c r="AZ77" s="484"/>
      <c r="BA77" s="484"/>
      <c r="BB77" s="484"/>
      <c r="BC77" s="484"/>
      <c r="BD77" s="484"/>
    </row>
    <row r="78" spans="1:56">
      <c r="A78" s="484"/>
      <c r="B78" s="484"/>
      <c r="C78" s="484"/>
      <c r="D78" s="485"/>
      <c r="E78" s="485"/>
      <c r="F78" s="485" t="s">
        <v>209</v>
      </c>
      <c r="G78" s="485"/>
      <c r="H78" s="485"/>
      <c r="I78" s="485"/>
      <c r="J78" s="485"/>
      <c r="K78" s="485"/>
      <c r="L78" s="485"/>
      <c r="M78" s="485"/>
      <c r="N78" s="485"/>
      <c r="O78" s="485"/>
      <c r="P78" s="485"/>
      <c r="Q78" s="485"/>
      <c r="R78" s="485"/>
      <c r="S78" s="485"/>
      <c r="T78" s="485"/>
      <c r="U78" s="485"/>
      <c r="V78" s="485"/>
      <c r="W78" s="485"/>
      <c r="X78" s="485"/>
      <c r="Y78" s="485"/>
      <c r="Z78" s="485"/>
      <c r="AA78" s="485"/>
      <c r="AB78" s="485"/>
      <c r="AC78" s="485"/>
      <c r="AD78" s="485"/>
      <c r="AE78" s="485"/>
      <c r="AF78" s="485"/>
      <c r="AG78" s="485"/>
      <c r="AH78" s="486"/>
      <c r="AI78" s="486"/>
      <c r="AJ78" s="486"/>
      <c r="AK78" s="484"/>
      <c r="AL78" s="484"/>
      <c r="AM78" s="484"/>
      <c r="AN78" s="484"/>
      <c r="AO78" s="484"/>
      <c r="AP78" s="484"/>
      <c r="AQ78" s="484"/>
      <c r="AR78" s="484"/>
      <c r="AS78" s="484"/>
      <c r="AT78" s="484"/>
      <c r="AU78" s="484"/>
      <c r="AV78" s="484"/>
      <c r="AW78" s="484"/>
      <c r="AX78" s="484"/>
      <c r="AY78" s="484"/>
      <c r="AZ78" s="484"/>
      <c r="BA78" s="484"/>
      <c r="BB78" s="484"/>
      <c r="BC78" s="484"/>
      <c r="BD78" s="484"/>
    </row>
    <row r="79" spans="1:56">
      <c r="A79" s="484"/>
      <c r="B79" s="484"/>
      <c r="C79" s="484"/>
      <c r="D79" s="485"/>
      <c r="E79" s="485"/>
      <c r="F79" s="485"/>
      <c r="G79" s="485"/>
      <c r="H79" s="485"/>
      <c r="I79" s="485"/>
      <c r="J79" s="485"/>
      <c r="K79" s="485"/>
      <c r="L79" s="485"/>
      <c r="M79" s="485"/>
      <c r="N79" s="485"/>
      <c r="O79" s="485"/>
      <c r="P79" s="485"/>
      <c r="Q79" s="485"/>
      <c r="R79" s="485"/>
      <c r="S79" s="485"/>
      <c r="T79" s="485"/>
      <c r="U79" s="485"/>
      <c r="V79" s="485"/>
      <c r="W79" s="485"/>
      <c r="X79" s="485"/>
      <c r="Y79" s="485"/>
      <c r="Z79" s="485"/>
      <c r="AA79" s="485"/>
      <c r="AB79" s="485"/>
      <c r="AC79" s="485"/>
      <c r="AD79" s="485"/>
      <c r="AE79" s="485"/>
      <c r="AF79" s="485"/>
      <c r="AG79" s="485"/>
      <c r="AH79" s="486"/>
      <c r="AI79" s="486"/>
      <c r="AJ79" s="486"/>
      <c r="AK79" s="484"/>
      <c r="AL79" s="484"/>
      <c r="AM79" s="484"/>
      <c r="AN79" s="484"/>
      <c r="AO79" s="484"/>
      <c r="AP79" s="484"/>
      <c r="AQ79" s="484"/>
      <c r="AR79" s="484"/>
      <c r="AS79" s="484"/>
      <c r="AT79" s="484"/>
      <c r="AU79" s="484"/>
      <c r="AV79" s="484"/>
      <c r="AW79" s="484"/>
      <c r="AX79" s="484"/>
      <c r="AY79" s="484"/>
      <c r="AZ79" s="484"/>
      <c r="BA79" s="484"/>
      <c r="BB79" s="484"/>
      <c r="BC79" s="484"/>
      <c r="BD79" s="484"/>
    </row>
    <row r="80" spans="1:56">
      <c r="A80" s="484"/>
      <c r="B80" s="484"/>
      <c r="C80" s="484"/>
      <c r="D80" s="485"/>
      <c r="E80" s="485"/>
      <c r="F80" s="577">
        <v>45484</v>
      </c>
      <c r="G80" s="485" t="s">
        <v>210</v>
      </c>
      <c r="H80" s="485"/>
      <c r="I80" s="485"/>
      <c r="J80" s="485"/>
      <c r="K80" s="485"/>
      <c r="L80" s="485"/>
      <c r="M80" s="485"/>
      <c r="N80" s="485"/>
      <c r="O80" s="485"/>
      <c r="P80" s="485"/>
      <c r="Q80" s="485"/>
      <c r="R80" s="485"/>
      <c r="S80" s="485"/>
      <c r="T80" s="485"/>
      <c r="U80" s="485"/>
      <c r="V80" s="485"/>
      <c r="W80" s="485"/>
      <c r="X80" s="485"/>
      <c r="Y80" s="485"/>
      <c r="Z80" s="485"/>
      <c r="AA80" s="485"/>
      <c r="AB80" s="485"/>
      <c r="AC80" s="485"/>
      <c r="AD80" s="485"/>
      <c r="AE80" s="485"/>
      <c r="AF80" s="485"/>
      <c r="AG80" s="485"/>
      <c r="AH80" s="486"/>
      <c r="AI80" s="486"/>
      <c r="AJ80" s="486"/>
      <c r="AK80" s="484"/>
      <c r="AL80" s="484"/>
      <c r="AM80" s="484"/>
      <c r="AN80" s="484"/>
      <c r="AO80" s="484"/>
      <c r="AP80" s="484"/>
      <c r="AQ80" s="484"/>
      <c r="AR80" s="484"/>
      <c r="AS80" s="484"/>
      <c r="AT80" s="484"/>
      <c r="AU80" s="484"/>
      <c r="AV80" s="484"/>
      <c r="AW80" s="484"/>
      <c r="AX80" s="484"/>
      <c r="AY80" s="484"/>
      <c r="AZ80" s="484"/>
      <c r="BA80" s="484"/>
      <c r="BB80" s="484"/>
      <c r="BC80" s="484"/>
      <c r="BD80" s="484"/>
    </row>
    <row r="81" spans="1:56">
      <c r="A81" s="484"/>
      <c r="B81" s="484"/>
      <c r="C81" s="484"/>
      <c r="D81" s="485"/>
      <c r="E81" s="485"/>
      <c r="F81" s="485" t="s">
        <v>211</v>
      </c>
      <c r="G81" s="485"/>
      <c r="H81" s="485"/>
      <c r="I81" s="485"/>
      <c r="J81" s="485"/>
      <c r="K81" s="485"/>
      <c r="L81" s="485"/>
      <c r="M81" s="485"/>
      <c r="N81" s="485"/>
      <c r="O81" s="485"/>
      <c r="P81" s="485"/>
      <c r="Q81" s="485"/>
      <c r="R81" s="485"/>
      <c r="S81" s="485"/>
      <c r="T81" s="485"/>
      <c r="U81" s="485"/>
      <c r="V81" s="485"/>
      <c r="W81" s="485"/>
      <c r="X81" s="485"/>
      <c r="Y81" s="485"/>
      <c r="Z81" s="485"/>
      <c r="AA81" s="485"/>
      <c r="AB81" s="485"/>
      <c r="AC81" s="485"/>
      <c r="AD81" s="485"/>
      <c r="AE81" s="485"/>
      <c r="AF81" s="485"/>
      <c r="AG81" s="485"/>
      <c r="AH81" s="486"/>
      <c r="AI81" s="486"/>
      <c r="AJ81" s="486"/>
      <c r="AK81" s="484"/>
      <c r="AL81" s="484"/>
      <c r="AM81" s="484"/>
      <c r="AN81" s="484"/>
      <c r="AO81" s="484"/>
      <c r="AP81" s="484"/>
      <c r="AQ81" s="484"/>
      <c r="AR81" s="484"/>
      <c r="AS81" s="484"/>
      <c r="AT81" s="484"/>
      <c r="AU81" s="484"/>
      <c r="AV81" s="484"/>
      <c r="AW81" s="484"/>
      <c r="AX81" s="484"/>
      <c r="AY81" s="484"/>
      <c r="AZ81" s="484"/>
      <c r="BA81" s="484"/>
      <c r="BB81" s="484"/>
      <c r="BC81" s="484"/>
      <c r="BD81" s="484"/>
    </row>
  </sheetData>
  <mergeCells count="6">
    <mergeCell ref="M31:Q31"/>
    <mergeCell ref="Z31:AF31"/>
    <mergeCell ref="AG31:AK31"/>
    <mergeCell ref="M59:Q59"/>
    <mergeCell ref="Z59:AF59"/>
    <mergeCell ref="AG59:AK59"/>
  </mergeCells>
  <hyperlinks>
    <hyperlink ref="B29" r:id="rId1" xr:uid="{DB0D6781-14C9-4E51-8489-45CD38AF0D48}"/>
    <hyperlink ref="B32" r:id="rId2" xr:uid="{37E78692-619F-48D4-B051-664C7EF8499B}"/>
    <hyperlink ref="B33" r:id="rId3" xr:uid="{D73940FF-761D-4FF9-956C-2B4398096201}"/>
  </hyperlinks>
  <pageMargins left="0.7" right="0.7" top="0.75" bottom="0.75" header="0.3" footer="0.3"/>
  <drawing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7997A-871E-4055-898E-5D400A5E241C}">
  <dimension ref="A1:BD98"/>
  <sheetViews>
    <sheetView zoomScaleNormal="100" workbookViewId="0">
      <selection activeCell="AS81" sqref="AS81"/>
    </sheetView>
  </sheetViews>
  <sheetFormatPr baseColWidth="10" defaultColWidth="9.1640625" defaultRowHeight="15"/>
  <cols>
    <col min="1" max="1" width="9.1640625" style="46"/>
    <col min="2" max="2" width="23.1640625" style="46" customWidth="1"/>
    <col min="3" max="3" width="9.1640625" style="46"/>
    <col min="4" max="4" width="9.1640625" style="53"/>
    <col min="5" max="5" width="12.5" style="53" customWidth="1"/>
    <col min="6" max="6" width="15.5" style="53" customWidth="1"/>
    <col min="7" max="7" width="7.5" style="53" customWidth="1"/>
    <col min="8" max="8" width="9.83203125" style="47" customWidth="1"/>
    <col min="9" max="9" width="8.5" style="47" customWidth="1"/>
    <col min="10" max="10" width="9" style="53" customWidth="1"/>
    <col min="11" max="11" width="7.5" style="53" customWidth="1"/>
    <col min="12" max="13" width="5.5" style="53" bestFit="1" customWidth="1"/>
    <col min="14" max="15" width="5" style="53" bestFit="1" customWidth="1"/>
    <col min="16" max="16" width="8.5" style="53" customWidth="1"/>
    <col min="17" max="17" width="10.83203125" style="53" customWidth="1"/>
    <col min="18" max="18" width="8.83203125" style="53" bestFit="1" customWidth="1"/>
    <col min="19" max="20" width="7.83203125" style="53" bestFit="1" customWidth="1"/>
    <col min="21" max="21" width="9" style="53" customWidth="1"/>
    <col min="22" max="22" width="7.83203125" style="53" bestFit="1" customWidth="1"/>
    <col min="23" max="23" width="8.5" style="53" customWidth="1"/>
    <col min="24" max="24" width="11.5" style="53" bestFit="1" customWidth="1"/>
    <col min="25" max="25" width="12.5" style="53" bestFit="1" customWidth="1"/>
    <col min="26" max="26" width="13.83203125" style="53" customWidth="1"/>
    <col min="27" max="27" width="10" style="47" customWidth="1"/>
    <col min="28" max="28" width="12" style="53" customWidth="1"/>
    <col min="29" max="29" width="11.5" style="53" bestFit="1" customWidth="1"/>
    <col min="30" max="30" width="11.83203125" style="53" bestFit="1" customWidth="1"/>
    <col min="31" max="31" width="8.83203125" style="47" customWidth="1"/>
    <col min="32" max="32" width="17.83203125" style="53" customWidth="1"/>
    <col min="33" max="33" width="12.5" style="53" customWidth="1"/>
    <col min="34" max="34" width="8.5" style="55" customWidth="1"/>
    <col min="35" max="35" width="12.5" style="55" bestFit="1" customWidth="1"/>
    <col min="36" max="36" width="9.5" style="55" customWidth="1"/>
    <col min="37" max="37" width="10.83203125" style="48" customWidth="1"/>
    <col min="38" max="38" width="11.5" style="48" customWidth="1"/>
    <col min="39" max="39" width="9.5" style="48" customWidth="1"/>
    <col min="40" max="40" width="11.1640625" style="48" customWidth="1"/>
    <col min="41" max="41" width="11.5" style="48" customWidth="1"/>
    <col min="42" max="42" width="13.5" style="48" customWidth="1"/>
    <col min="43" max="43" width="11.5" style="48" bestFit="1" customWidth="1"/>
    <col min="44" max="44" width="12.1640625" style="48" bestFit="1" customWidth="1"/>
    <col min="45" max="45" width="13.83203125" style="48" bestFit="1" customWidth="1"/>
    <col min="46" max="46" width="11.5" style="48" bestFit="1" customWidth="1"/>
    <col min="47" max="47" width="9.1640625" style="48"/>
    <col min="48" max="48" width="13.5" style="48" bestFit="1" customWidth="1"/>
    <col min="49" max="16384" width="9.1640625" style="48"/>
  </cols>
  <sheetData>
    <row r="1" spans="1:56" s="46" customFormat="1">
      <c r="A1" s="484"/>
      <c r="B1" s="484"/>
      <c r="C1" s="484"/>
      <c r="D1" s="485"/>
      <c r="E1" s="485"/>
      <c r="F1" s="485"/>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6"/>
      <c r="AI1" s="486"/>
      <c r="AJ1" s="486"/>
      <c r="AK1" s="484"/>
      <c r="AL1" s="484"/>
      <c r="AM1" s="484"/>
      <c r="AN1" s="484"/>
      <c r="AO1" s="484"/>
      <c r="AP1" s="484"/>
      <c r="AQ1" s="484"/>
      <c r="AR1" s="484"/>
      <c r="AS1" s="484"/>
      <c r="AT1" s="484"/>
      <c r="AU1" s="484"/>
      <c r="AV1" s="484"/>
      <c r="AW1" s="484"/>
      <c r="AX1" s="484"/>
      <c r="AY1" s="484"/>
      <c r="AZ1" s="484"/>
      <c r="BA1" s="484"/>
      <c r="BB1" s="484"/>
      <c r="BC1" s="484"/>
      <c r="BD1" s="484"/>
    </row>
    <row r="2" spans="1:56" s="46" customFormat="1">
      <c r="A2" s="484"/>
      <c r="B2" s="484"/>
      <c r="C2" s="484"/>
      <c r="D2" s="485"/>
      <c r="E2" s="485"/>
      <c r="F2" s="485"/>
      <c r="G2" s="485"/>
      <c r="H2" s="485"/>
      <c r="I2" s="485"/>
      <c r="J2" s="485"/>
      <c r="K2" s="485"/>
      <c r="L2" s="485"/>
      <c r="M2" s="485"/>
      <c r="N2" s="485"/>
      <c r="O2" s="485"/>
      <c r="P2" s="485"/>
      <c r="Q2" s="485"/>
      <c r="R2" s="485"/>
      <c r="S2" s="485"/>
      <c r="T2" s="485"/>
      <c r="U2" s="485"/>
      <c r="V2" s="485"/>
      <c r="W2" s="485"/>
      <c r="X2" s="485"/>
      <c r="Y2" s="485"/>
      <c r="Z2" s="485"/>
      <c r="AA2" s="485"/>
      <c r="AB2" s="485"/>
      <c r="AC2" s="485"/>
      <c r="AD2" s="485"/>
      <c r="AE2" s="485"/>
      <c r="AF2" s="485"/>
      <c r="AG2" s="485"/>
      <c r="AH2" s="486"/>
      <c r="AI2" s="486"/>
      <c r="AJ2" s="486"/>
      <c r="AK2" s="484"/>
      <c r="AL2" s="484"/>
      <c r="AM2" s="484"/>
      <c r="AN2" s="484"/>
      <c r="AO2" s="484"/>
      <c r="AP2" s="484"/>
      <c r="AQ2" s="484"/>
      <c r="AR2" s="484"/>
      <c r="AS2" s="484"/>
      <c r="AT2" s="484"/>
      <c r="AU2" s="484"/>
      <c r="AV2" s="484"/>
      <c r="AW2" s="484"/>
      <c r="AX2" s="484"/>
      <c r="AY2" s="484"/>
      <c r="AZ2" s="484"/>
      <c r="BA2" s="484"/>
      <c r="BB2" s="484"/>
      <c r="BC2" s="484"/>
      <c r="BD2" s="484"/>
    </row>
    <row r="3" spans="1:56" s="46" customFormat="1">
      <c r="A3" s="484"/>
      <c r="B3" s="484"/>
      <c r="C3" s="484"/>
      <c r="D3" s="485"/>
      <c r="E3" s="485"/>
      <c r="F3" s="485"/>
      <c r="G3" s="485"/>
      <c r="H3" s="485"/>
      <c r="I3" s="485"/>
      <c r="J3" s="485"/>
      <c r="K3" s="485"/>
      <c r="L3" s="485"/>
      <c r="M3" s="485"/>
      <c r="N3" s="485"/>
      <c r="O3" s="485"/>
      <c r="P3" s="485"/>
      <c r="Q3" s="485"/>
      <c r="R3" s="485"/>
      <c r="S3" s="485"/>
      <c r="T3" s="485"/>
      <c r="U3" s="485"/>
      <c r="V3" s="485"/>
      <c r="W3" s="485"/>
      <c r="X3" s="485"/>
      <c r="Y3" s="485"/>
      <c r="Z3" s="485"/>
      <c r="AA3" s="485"/>
      <c r="AB3" s="485"/>
      <c r="AC3" s="485"/>
      <c r="AD3" s="485"/>
      <c r="AE3" s="485"/>
      <c r="AF3" s="485"/>
      <c r="AG3" s="485"/>
      <c r="AH3" s="486"/>
      <c r="AI3" s="486"/>
      <c r="AJ3" s="486"/>
      <c r="AK3" s="484"/>
      <c r="AL3" s="484"/>
      <c r="AM3" s="484"/>
      <c r="AN3" s="484"/>
      <c r="AO3" s="484"/>
      <c r="AP3" s="484"/>
      <c r="AQ3" s="484"/>
      <c r="AR3" s="484"/>
      <c r="AS3" s="484"/>
      <c r="AT3" s="484"/>
      <c r="AU3" s="484"/>
      <c r="AV3" s="484"/>
      <c r="AW3" s="484"/>
      <c r="AX3" s="484"/>
      <c r="AY3" s="484"/>
      <c r="AZ3" s="484"/>
      <c r="BA3" s="484"/>
      <c r="BB3" s="484"/>
      <c r="BC3" s="484"/>
      <c r="BD3" s="484"/>
    </row>
    <row r="4" spans="1:56" s="46" customFormat="1">
      <c r="A4" s="484" t="s">
        <v>178</v>
      </c>
      <c r="B4" s="484" t="s">
        <v>179</v>
      </c>
      <c r="C4" s="484"/>
      <c r="D4" s="485"/>
      <c r="E4" s="485"/>
      <c r="F4" s="485"/>
      <c r="G4" s="485"/>
      <c r="H4" s="485"/>
      <c r="I4" s="485"/>
      <c r="J4" s="485"/>
      <c r="K4" s="485"/>
      <c r="L4" s="485"/>
      <c r="M4" s="485"/>
      <c r="N4" s="485"/>
      <c r="O4" s="485"/>
      <c r="P4" s="485"/>
      <c r="Q4" s="485"/>
      <c r="R4" s="485"/>
      <c r="S4" s="485"/>
      <c r="T4" s="485"/>
      <c r="U4" s="485"/>
      <c r="V4" s="485"/>
      <c r="W4" s="485"/>
      <c r="X4" s="485"/>
      <c r="Y4" s="485"/>
      <c r="Z4" s="485"/>
      <c r="AA4" s="485"/>
      <c r="AB4" s="485"/>
      <c r="AC4" s="485"/>
      <c r="AD4" s="485"/>
      <c r="AE4" s="485"/>
      <c r="AF4" s="485"/>
      <c r="AG4" s="485"/>
      <c r="AH4" s="486"/>
      <c r="AI4" s="486"/>
      <c r="AJ4" s="486"/>
      <c r="AK4" s="484"/>
      <c r="AL4" s="484"/>
      <c r="AM4" s="484"/>
      <c r="AN4" s="484"/>
      <c r="AO4" s="484"/>
      <c r="AP4" s="484"/>
      <c r="AQ4" s="484"/>
      <c r="AR4" s="484"/>
      <c r="AS4" s="484"/>
      <c r="AT4" s="484"/>
      <c r="AU4" s="484"/>
      <c r="AV4" s="484"/>
      <c r="AW4" s="484"/>
      <c r="AX4" s="484"/>
      <c r="AY4" s="484"/>
      <c r="AZ4" s="484"/>
      <c r="BA4" s="484"/>
      <c r="BB4" s="484"/>
      <c r="BC4" s="484"/>
      <c r="BD4" s="484"/>
    </row>
    <row r="5" spans="1:56" s="46" customFormat="1">
      <c r="A5" s="484" t="s">
        <v>180</v>
      </c>
      <c r="B5" s="51" t="s">
        <v>181</v>
      </c>
      <c r="C5" s="484"/>
      <c r="D5" s="485"/>
      <c r="E5" s="485"/>
      <c r="F5" s="485"/>
      <c r="G5" s="485"/>
      <c r="H5" s="485"/>
      <c r="I5" s="485"/>
      <c r="J5" s="485"/>
      <c r="K5" s="485"/>
      <c r="L5" s="485"/>
      <c r="M5" s="485"/>
      <c r="N5" s="485"/>
      <c r="O5" s="485"/>
      <c r="P5" s="485"/>
      <c r="Q5" s="485"/>
      <c r="R5" s="485"/>
      <c r="S5" s="485"/>
      <c r="T5" s="485"/>
      <c r="U5" s="485"/>
      <c r="V5" s="485"/>
      <c r="W5" s="485"/>
      <c r="X5" s="485"/>
      <c r="Y5" s="485"/>
      <c r="Z5" s="485"/>
      <c r="AA5" s="485"/>
      <c r="AB5" s="485"/>
      <c r="AC5" s="485"/>
      <c r="AD5" s="485"/>
      <c r="AE5" s="485"/>
      <c r="AF5" s="485"/>
      <c r="AG5" s="485"/>
      <c r="AH5" s="486"/>
      <c r="AI5" s="486"/>
      <c r="AJ5" s="486"/>
      <c r="AK5" s="484"/>
      <c r="AL5" s="484"/>
      <c r="AM5" s="484"/>
      <c r="AN5" s="484"/>
      <c r="AO5" s="484"/>
      <c r="AP5" s="484"/>
      <c r="AQ5" s="484"/>
      <c r="AR5" s="484"/>
      <c r="AS5" s="484"/>
      <c r="AT5" s="484"/>
      <c r="AU5" s="484"/>
      <c r="AV5" s="484"/>
      <c r="AW5" s="484"/>
      <c r="AX5" s="484"/>
      <c r="AY5" s="484"/>
      <c r="AZ5" s="484"/>
      <c r="BA5" s="484"/>
      <c r="BB5" s="484"/>
      <c r="BC5" s="484"/>
      <c r="BD5" s="484"/>
    </row>
    <row r="6" spans="1:56">
      <c r="A6" s="484" t="s">
        <v>182</v>
      </c>
      <c r="B6" s="484" t="s">
        <v>183</v>
      </c>
      <c r="C6" s="484"/>
      <c r="D6" s="485"/>
      <c r="E6" s="485"/>
      <c r="F6" s="485"/>
      <c r="G6" s="485"/>
      <c r="H6" s="485"/>
      <c r="I6" s="485"/>
      <c r="J6" s="485"/>
      <c r="K6" s="485"/>
      <c r="L6" s="485"/>
      <c r="M6" s="487"/>
      <c r="N6" s="487"/>
      <c r="O6" s="487"/>
      <c r="P6" s="487"/>
      <c r="Q6" s="485"/>
      <c r="R6" s="485"/>
      <c r="S6" s="485"/>
      <c r="T6" s="485"/>
      <c r="U6" s="485"/>
      <c r="V6" s="485"/>
      <c r="W6" s="485"/>
      <c r="X6" s="485"/>
      <c r="Y6" s="485"/>
      <c r="Z6" s="485"/>
      <c r="AA6" s="485"/>
      <c r="AB6" s="485"/>
      <c r="AC6" s="485"/>
      <c r="AD6" s="485"/>
      <c r="AE6" s="485"/>
      <c r="AF6" s="485"/>
      <c r="AG6" s="485"/>
      <c r="AH6" s="486"/>
      <c r="AI6" s="486"/>
      <c r="AJ6" s="486"/>
      <c r="AK6" s="484"/>
      <c r="AL6" s="484"/>
      <c r="AM6" s="484"/>
      <c r="AN6" s="484"/>
      <c r="AO6" s="484"/>
      <c r="AP6" s="484"/>
      <c r="AQ6" s="484"/>
      <c r="AR6" s="484"/>
      <c r="AS6" s="484"/>
      <c r="AT6" s="484"/>
      <c r="AU6" s="484"/>
      <c r="AV6" s="484"/>
      <c r="AW6" s="484"/>
      <c r="AX6" s="484"/>
      <c r="AY6" s="484"/>
      <c r="AZ6" s="484"/>
      <c r="BA6" s="484"/>
      <c r="BB6" s="484"/>
      <c r="BC6" s="484"/>
      <c r="BD6" s="484"/>
    </row>
    <row r="7" spans="1:56">
      <c r="A7" s="484" t="s">
        <v>185</v>
      </c>
      <c r="B7" s="501">
        <v>45478</v>
      </c>
      <c r="C7" s="484"/>
      <c r="D7" s="485"/>
      <c r="E7" s="485"/>
      <c r="F7" s="485" t="s">
        <v>127</v>
      </c>
      <c r="G7" s="485"/>
      <c r="H7" s="485"/>
      <c r="I7" s="485"/>
      <c r="J7" s="485"/>
      <c r="K7" s="485"/>
      <c r="L7" s="485"/>
      <c r="M7" s="485"/>
      <c r="N7" s="485"/>
      <c r="O7" s="485"/>
      <c r="P7" s="485"/>
      <c r="Q7" s="487"/>
      <c r="R7" s="485"/>
      <c r="S7" s="485"/>
      <c r="T7" s="485"/>
      <c r="U7" s="485"/>
      <c r="V7" s="485"/>
      <c r="W7" s="485"/>
      <c r="X7" s="485"/>
      <c r="Y7" s="485"/>
      <c r="Z7" s="485"/>
      <c r="AA7" s="485"/>
      <c r="AB7" s="485"/>
      <c r="AC7" s="485"/>
      <c r="AD7" s="485"/>
      <c r="AE7" s="485"/>
      <c r="AF7" s="485"/>
      <c r="AG7" s="485"/>
      <c r="AH7" s="486"/>
      <c r="AI7" s="486"/>
      <c r="AJ7" s="486"/>
      <c r="AK7" s="484"/>
      <c r="AL7" s="484"/>
      <c r="AM7" s="484"/>
      <c r="AN7" s="484"/>
      <c r="AO7" s="484"/>
      <c r="AP7" s="484"/>
      <c r="AQ7" s="484"/>
      <c r="AR7" s="484"/>
      <c r="AS7" s="484"/>
      <c r="AT7" s="484"/>
      <c r="AU7" s="484"/>
      <c r="AV7" s="484"/>
      <c r="AW7" s="484"/>
      <c r="AX7" s="484"/>
      <c r="AY7" s="484"/>
      <c r="AZ7" s="484"/>
      <c r="BA7" s="484"/>
      <c r="BB7" s="484"/>
      <c r="BC7" s="484"/>
      <c r="BD7" s="484"/>
    </row>
    <row r="8" spans="1:56">
      <c r="A8" s="484" t="s">
        <v>186</v>
      </c>
      <c r="B8" s="51" t="s">
        <v>187</v>
      </c>
      <c r="C8" s="484"/>
      <c r="D8" s="485"/>
      <c r="E8" s="485"/>
      <c r="F8" s="93"/>
      <c r="G8" s="94"/>
      <c r="H8" s="94"/>
      <c r="I8" s="94"/>
      <c r="J8" s="94"/>
      <c r="K8" s="94"/>
      <c r="L8" s="94"/>
      <c r="M8" s="94"/>
      <c r="N8" s="15"/>
      <c r="O8" s="15"/>
      <c r="P8" s="16"/>
      <c r="Q8" s="15"/>
      <c r="R8" s="15"/>
      <c r="S8" s="15"/>
      <c r="T8" s="15"/>
      <c r="U8" s="16"/>
      <c r="V8" s="15"/>
      <c r="W8" s="15"/>
      <c r="X8" s="16"/>
      <c r="Y8" s="16"/>
      <c r="Z8" s="15"/>
      <c r="AA8" s="15"/>
      <c r="AB8" s="16"/>
      <c r="AC8" s="16"/>
      <c r="AD8" s="16"/>
      <c r="AE8" s="15"/>
      <c r="AF8" s="15"/>
      <c r="AG8" s="16"/>
      <c r="AH8" s="15"/>
      <c r="AI8" s="16"/>
      <c r="AJ8" s="15"/>
      <c r="AK8" s="17"/>
      <c r="AL8" s="17"/>
      <c r="AM8" s="17"/>
      <c r="AN8" s="18"/>
      <c r="AO8" s="18"/>
      <c r="AP8" s="19"/>
      <c r="AQ8" s="486"/>
      <c r="AR8" s="486"/>
      <c r="AS8" s="484"/>
      <c r="AT8" s="484"/>
      <c r="AU8" s="484"/>
      <c r="AV8" s="484"/>
      <c r="AW8" s="484"/>
      <c r="AX8" s="484"/>
      <c r="AY8" s="484"/>
      <c r="AZ8" s="484"/>
      <c r="BA8" s="484"/>
      <c r="BB8" s="484"/>
      <c r="BC8" s="484"/>
      <c r="BD8" s="484"/>
    </row>
    <row r="9" spans="1:56" s="103" customFormat="1" ht="48">
      <c r="A9" s="484" t="s">
        <v>188</v>
      </c>
      <c r="B9" s="52" t="s">
        <v>189</v>
      </c>
      <c r="C9" s="484"/>
      <c r="D9" s="485"/>
      <c r="E9" s="487"/>
      <c r="F9" s="489" t="s">
        <v>128</v>
      </c>
      <c r="G9" s="95" t="s">
        <v>129</v>
      </c>
      <c r="H9" s="95" t="s">
        <v>130</v>
      </c>
      <c r="I9" s="95" t="s">
        <v>131</v>
      </c>
      <c r="J9" s="95" t="s">
        <v>132</v>
      </c>
      <c r="K9" s="95" t="s">
        <v>133</v>
      </c>
      <c r="L9" s="95"/>
      <c r="M9" s="95"/>
      <c r="N9" s="95"/>
      <c r="O9" s="95"/>
      <c r="P9" s="98"/>
      <c r="Q9" s="95"/>
      <c r="R9" s="95"/>
      <c r="S9" s="95"/>
      <c r="T9" s="95"/>
      <c r="U9" s="98" t="s">
        <v>33</v>
      </c>
      <c r="V9" s="95"/>
      <c r="W9" s="95"/>
      <c r="X9" s="98" t="s">
        <v>134</v>
      </c>
      <c r="Y9" s="99" t="s">
        <v>135</v>
      </c>
      <c r="Z9" s="95"/>
      <c r="AA9" s="95"/>
      <c r="AB9" s="98" t="s">
        <v>136</v>
      </c>
      <c r="AC9" s="98" t="s">
        <v>38</v>
      </c>
      <c r="AD9" s="98" t="s">
        <v>12</v>
      </c>
      <c r="AE9" s="95"/>
      <c r="AF9" s="95"/>
      <c r="AG9" s="98" t="s">
        <v>72</v>
      </c>
      <c r="AH9" s="95"/>
      <c r="AI9" s="98" t="s">
        <v>67</v>
      </c>
      <c r="AJ9" s="95"/>
      <c r="AK9" s="100"/>
      <c r="AL9" s="100"/>
      <c r="AM9" s="100"/>
      <c r="AN9" s="101" t="s">
        <v>53</v>
      </c>
      <c r="AO9" s="101" t="s">
        <v>95</v>
      </c>
      <c r="AP9" s="102" t="s">
        <v>102</v>
      </c>
      <c r="AQ9" s="490"/>
      <c r="AR9" s="490"/>
      <c r="AS9" s="488"/>
      <c r="AT9" s="488"/>
      <c r="AU9" s="488"/>
      <c r="AV9" s="488"/>
      <c r="AW9" s="488"/>
      <c r="AX9" s="488"/>
      <c r="AY9" s="488"/>
      <c r="AZ9" s="488"/>
      <c r="BA9" s="488"/>
      <c r="BB9" s="488"/>
      <c r="BC9" s="488"/>
      <c r="BD9" s="488"/>
    </row>
    <row r="10" spans="1:56" ht="19" thickBot="1">
      <c r="A10" s="484"/>
      <c r="B10" s="484"/>
      <c r="C10" s="484"/>
      <c r="D10" s="485"/>
      <c r="E10" s="485"/>
      <c r="F10" s="32" t="s">
        <v>137</v>
      </c>
      <c r="G10" s="95" t="s">
        <v>138</v>
      </c>
      <c r="H10" s="95" t="s">
        <v>139</v>
      </c>
      <c r="I10" s="95" t="s">
        <v>140</v>
      </c>
      <c r="J10" s="95"/>
      <c r="K10" s="95"/>
      <c r="L10" s="96" t="s">
        <v>141</v>
      </c>
      <c r="M10" s="97" t="s">
        <v>142</v>
      </c>
      <c r="N10" s="49" t="s">
        <v>143</v>
      </c>
      <c r="O10" s="49" t="s">
        <v>144</v>
      </c>
      <c r="P10" s="34" t="s">
        <v>145</v>
      </c>
      <c r="Q10" s="12" t="s">
        <v>146</v>
      </c>
      <c r="R10" s="12" t="s">
        <v>147</v>
      </c>
      <c r="S10" s="12" t="s">
        <v>148</v>
      </c>
      <c r="T10" s="12" t="s">
        <v>149</v>
      </c>
      <c r="U10" s="13" t="s">
        <v>150</v>
      </c>
      <c r="V10" s="12" t="s">
        <v>151</v>
      </c>
      <c r="W10" s="12" t="s">
        <v>152</v>
      </c>
      <c r="X10" s="13" t="s">
        <v>153</v>
      </c>
      <c r="Y10" s="13" t="s">
        <v>154</v>
      </c>
      <c r="Z10" s="12" t="s">
        <v>155</v>
      </c>
      <c r="AA10" s="12" t="s">
        <v>156</v>
      </c>
      <c r="AB10" s="13" t="s">
        <v>157</v>
      </c>
      <c r="AC10" s="13" t="s">
        <v>158</v>
      </c>
      <c r="AD10" s="50" t="s">
        <v>159</v>
      </c>
      <c r="AE10" s="12" t="s">
        <v>160</v>
      </c>
      <c r="AF10" s="12" t="s">
        <v>161</v>
      </c>
      <c r="AG10" s="13" t="s">
        <v>162</v>
      </c>
      <c r="AH10" s="12" t="s">
        <v>163</v>
      </c>
      <c r="AI10" s="50" t="s">
        <v>164</v>
      </c>
      <c r="AJ10" s="33" t="s">
        <v>165</v>
      </c>
      <c r="AK10" s="33" t="s">
        <v>166</v>
      </c>
      <c r="AL10" s="33" t="s">
        <v>167</v>
      </c>
      <c r="AM10" s="33" t="s">
        <v>168</v>
      </c>
      <c r="AN10" s="34" t="s">
        <v>169</v>
      </c>
      <c r="AO10" s="34" t="s">
        <v>170</v>
      </c>
      <c r="AP10" s="35" t="s">
        <v>171</v>
      </c>
      <c r="AQ10" s="486"/>
      <c r="AR10" s="486"/>
      <c r="AS10" s="484"/>
      <c r="AT10" s="484"/>
      <c r="AU10" s="484"/>
      <c r="AV10" s="484"/>
      <c r="AW10" s="484"/>
      <c r="AX10" s="484"/>
      <c r="AY10" s="484"/>
      <c r="AZ10" s="484"/>
      <c r="BA10" s="484"/>
      <c r="BB10" s="484"/>
      <c r="BC10" s="484"/>
      <c r="BD10" s="484"/>
    </row>
    <row r="11" spans="1:56">
      <c r="A11" s="484"/>
      <c r="B11" s="484"/>
      <c r="C11" s="484"/>
      <c r="D11" s="485"/>
      <c r="E11" s="485"/>
      <c r="F11" s="36"/>
      <c r="G11" s="15"/>
      <c r="H11" s="15"/>
      <c r="I11" s="15"/>
      <c r="J11" s="15"/>
      <c r="K11" s="15"/>
      <c r="L11" s="37"/>
      <c r="M11" s="37"/>
      <c r="N11" s="37"/>
      <c r="O11" s="37"/>
      <c r="P11" s="38"/>
      <c r="Q11" s="491"/>
      <c r="R11" s="491"/>
      <c r="S11" s="492"/>
      <c r="T11" s="492"/>
      <c r="U11" s="39"/>
      <c r="V11" s="37"/>
      <c r="W11" s="37"/>
      <c r="X11" s="38"/>
      <c r="Y11" s="38"/>
      <c r="Z11" s="37"/>
      <c r="AA11" s="37"/>
      <c r="AB11" s="38"/>
      <c r="AC11" s="39"/>
      <c r="AD11" s="39"/>
      <c r="AE11" s="40"/>
      <c r="AF11" s="40"/>
      <c r="AG11" s="41"/>
      <c r="AH11" s="37"/>
      <c r="AI11" s="39"/>
      <c r="AJ11" s="37"/>
      <c r="AK11" s="42"/>
      <c r="AL11" s="43"/>
      <c r="AM11" s="43"/>
      <c r="AN11" s="44"/>
      <c r="AO11" s="44"/>
      <c r="AP11" s="45"/>
      <c r="AQ11" s="486"/>
      <c r="AR11" s="486"/>
      <c r="AS11" s="484"/>
      <c r="AT11" s="484"/>
      <c r="AU11" s="484"/>
      <c r="AV11" s="484"/>
      <c r="AW11" s="484"/>
      <c r="AX11" s="484"/>
      <c r="AY11" s="484"/>
      <c r="AZ11" s="484"/>
      <c r="BA11" s="484"/>
      <c r="BB11" s="484"/>
      <c r="BC11" s="484"/>
      <c r="BD11" s="484"/>
    </row>
    <row r="12" spans="1:56" s="46" customFormat="1">
      <c r="A12" s="484"/>
      <c r="B12" s="484"/>
      <c r="C12" s="484"/>
      <c r="D12" s="485"/>
      <c r="E12" s="485"/>
      <c r="F12" s="20" t="s">
        <v>172</v>
      </c>
      <c r="G12" s="12">
        <v>1</v>
      </c>
      <c r="H12" s="12" t="s">
        <v>173</v>
      </c>
      <c r="I12" s="12" t="s">
        <v>174</v>
      </c>
      <c r="J12" s="12">
        <v>44</v>
      </c>
      <c r="K12" s="12">
        <v>12</v>
      </c>
      <c r="L12" s="12"/>
      <c r="M12" s="12"/>
      <c r="N12" s="12"/>
      <c r="O12" s="12"/>
      <c r="P12" s="23">
        <f t="shared" ref="P12:P24" si="0">N12+O12</f>
        <v>0</v>
      </c>
      <c r="Q12" s="493">
        <f>2*5000</f>
        <v>10000</v>
      </c>
      <c r="R12" s="493">
        <f t="shared" ref="R12:R38" si="1">Q12</f>
        <v>10000</v>
      </c>
      <c r="S12" s="494">
        <v>0.77</v>
      </c>
      <c r="T12" s="485">
        <v>0.89</v>
      </c>
      <c r="U12" s="24">
        <f>(Q12*S12*T12)</f>
        <v>6853</v>
      </c>
      <c r="V12" s="148">
        <v>21</v>
      </c>
      <c r="W12" s="148">
        <v>23</v>
      </c>
      <c r="X12" s="23">
        <f t="shared" ref="X12:X17" si="2">V12+W12</f>
        <v>44</v>
      </c>
      <c r="Y12" s="23">
        <v>0</v>
      </c>
      <c r="Z12" s="148">
        <v>19</v>
      </c>
      <c r="AA12" s="148">
        <v>11</v>
      </c>
      <c r="AB12" s="23">
        <f t="shared" ref="AB12:AB28" si="3">Z12+AA12</f>
        <v>30</v>
      </c>
      <c r="AC12" s="24">
        <f>($X$18+$Y$18+$AB$18)*(Q12/$R$18)</f>
        <v>35.520000000000003</v>
      </c>
      <c r="AD12" s="24">
        <f>(U12*J12/K12)-AC12</f>
        <v>25092.146666666667</v>
      </c>
      <c r="AE12" s="148">
        <v>17</v>
      </c>
      <c r="AF12" s="148">
        <v>12</v>
      </c>
      <c r="AG12" s="26">
        <f t="shared" ref="AG12:AG28" si="4">AF12+AE12</f>
        <v>29</v>
      </c>
      <c r="AH12" s="12"/>
      <c r="AI12" s="24">
        <f t="shared" ref="AI12:AI28" si="5">(AG12+AH12)</f>
        <v>29</v>
      </c>
      <c r="AJ12" s="148">
        <v>0</v>
      </c>
      <c r="AK12" s="148">
        <v>10</v>
      </c>
      <c r="AL12" s="148">
        <v>13</v>
      </c>
      <c r="AM12" s="148">
        <v>9</v>
      </c>
      <c r="AN12" s="29">
        <f t="shared" ref="AN12:AN28" si="6">AJ12+AK12+AL12+AM12</f>
        <v>32</v>
      </c>
      <c r="AO12" s="29">
        <f t="shared" ref="AO12:AO28" si="7">P11-M11</f>
        <v>0</v>
      </c>
      <c r="AP12" s="21">
        <f>AO12+AD12-AI12-AN12</f>
        <v>25031.146666666667</v>
      </c>
      <c r="AQ12" s="486"/>
      <c r="AR12" s="486"/>
      <c r="AS12" s="484"/>
      <c r="AT12" s="484"/>
      <c r="AU12" s="484"/>
      <c r="AV12" s="484"/>
      <c r="AW12" s="484"/>
      <c r="AX12" s="484"/>
      <c r="AY12" s="484"/>
      <c r="AZ12" s="484"/>
      <c r="BA12" s="484"/>
      <c r="BB12" s="484"/>
      <c r="BC12" s="484"/>
      <c r="BD12" s="484"/>
    </row>
    <row r="13" spans="1:56" s="46" customFormat="1">
      <c r="A13" s="484"/>
      <c r="B13" s="484"/>
      <c r="C13" s="484"/>
      <c r="D13" s="485"/>
      <c r="E13" s="485"/>
      <c r="F13" s="56" t="s">
        <v>175</v>
      </c>
      <c r="G13" s="12">
        <v>1</v>
      </c>
      <c r="H13" s="12" t="s">
        <v>173</v>
      </c>
      <c r="I13" s="12" t="s">
        <v>174</v>
      </c>
      <c r="J13" s="12">
        <v>44</v>
      </c>
      <c r="K13" s="12">
        <v>12</v>
      </c>
      <c r="L13" s="22"/>
      <c r="M13" s="22"/>
      <c r="N13" s="22"/>
      <c r="O13" s="22"/>
      <c r="P13" s="23">
        <f t="shared" si="0"/>
        <v>0</v>
      </c>
      <c r="Q13" s="493">
        <f>9.5*5000</f>
        <v>47500</v>
      </c>
      <c r="R13" s="493">
        <f t="shared" si="1"/>
        <v>47500</v>
      </c>
      <c r="S13" s="494">
        <v>0.49</v>
      </c>
      <c r="T13" s="494">
        <v>0.89</v>
      </c>
      <c r="U13" s="24">
        <f>(Q13*S13*T13)</f>
        <v>20714.75</v>
      </c>
      <c r="V13" s="148">
        <v>21</v>
      </c>
      <c r="W13" s="148">
        <v>23</v>
      </c>
      <c r="X13" s="23">
        <f t="shared" si="2"/>
        <v>44</v>
      </c>
      <c r="Y13" s="23">
        <v>0</v>
      </c>
      <c r="Z13" s="148">
        <v>19</v>
      </c>
      <c r="AA13" s="148">
        <v>11</v>
      </c>
      <c r="AB13" s="23">
        <f>Z13+AA13</f>
        <v>30</v>
      </c>
      <c r="AC13" s="24">
        <f>($X$18+$Y$18+$AB$18)*(Q13/$R$18)</f>
        <v>168.72</v>
      </c>
      <c r="AD13" s="24">
        <f t="shared" ref="AD13:AD28" si="8">(U13*J13/K13)-AC13</f>
        <v>75785.363333333327</v>
      </c>
      <c r="AE13" s="148">
        <v>17</v>
      </c>
      <c r="AF13" s="148">
        <v>12</v>
      </c>
      <c r="AG13" s="26">
        <f>AF13+AE13</f>
        <v>29</v>
      </c>
      <c r="AH13" s="22"/>
      <c r="AI13" s="24">
        <f>(AG13+AH13)</f>
        <v>29</v>
      </c>
      <c r="AJ13" s="148">
        <v>0</v>
      </c>
      <c r="AK13" s="148">
        <v>10</v>
      </c>
      <c r="AL13" s="148">
        <v>13</v>
      </c>
      <c r="AM13" s="148">
        <v>9</v>
      </c>
      <c r="AN13" s="29">
        <f>AJ13+AK13+AL13+AM13</f>
        <v>32</v>
      </c>
      <c r="AO13" s="29">
        <f>P12-M12</f>
        <v>0</v>
      </c>
      <c r="AP13" s="21">
        <f>AO13+AD13-AI13-AN13</f>
        <v>75724.363333333327</v>
      </c>
      <c r="AQ13" s="486"/>
      <c r="AR13" s="486"/>
      <c r="AS13" s="484"/>
      <c r="AT13" s="484"/>
      <c r="AU13" s="484"/>
      <c r="AV13" s="484"/>
      <c r="AW13" s="484"/>
      <c r="AX13" s="484"/>
      <c r="AY13" s="484"/>
      <c r="AZ13" s="484"/>
      <c r="BA13" s="484"/>
      <c r="BB13" s="484"/>
      <c r="BC13" s="484"/>
      <c r="BD13" s="484"/>
    </row>
    <row r="14" spans="1:56" s="46" customFormat="1">
      <c r="A14" s="484"/>
      <c r="B14" s="484"/>
      <c r="C14" s="484"/>
      <c r="D14" s="485"/>
      <c r="E14" s="485"/>
      <c r="F14" s="20" t="s">
        <v>176</v>
      </c>
      <c r="G14" s="12">
        <v>1</v>
      </c>
      <c r="H14" s="12" t="s">
        <v>173</v>
      </c>
      <c r="I14" s="12" t="s">
        <v>174</v>
      </c>
      <c r="J14" s="12">
        <v>44</v>
      </c>
      <c r="K14" s="12">
        <v>12</v>
      </c>
      <c r="L14" s="22"/>
      <c r="M14" s="22"/>
      <c r="N14" s="22"/>
      <c r="O14" s="22"/>
      <c r="P14" s="23">
        <f t="shared" si="0"/>
        <v>0</v>
      </c>
      <c r="Q14" s="493">
        <f>1*5000</f>
        <v>5000</v>
      </c>
      <c r="R14" s="493">
        <f t="shared" si="1"/>
        <v>5000</v>
      </c>
      <c r="S14" s="494">
        <v>0.77</v>
      </c>
      <c r="T14" s="494">
        <v>0.89</v>
      </c>
      <c r="U14" s="24">
        <f t="shared" ref="U14" si="9">(Q14*S14*T14)</f>
        <v>3426.5</v>
      </c>
      <c r="V14" s="148">
        <v>21</v>
      </c>
      <c r="W14" s="148">
        <v>23</v>
      </c>
      <c r="X14" s="23">
        <f t="shared" si="2"/>
        <v>44</v>
      </c>
      <c r="Y14" s="23">
        <v>0</v>
      </c>
      <c r="Z14" s="148">
        <v>19</v>
      </c>
      <c r="AA14" s="148">
        <v>11</v>
      </c>
      <c r="AB14" s="23">
        <f t="shared" ref="AB14:AB15" si="10">Z14+AA14</f>
        <v>30</v>
      </c>
      <c r="AC14" s="24">
        <f t="shared" ref="AC14:AC17" si="11">($X$18+$Y$18+$AB$18)*(Q14/$R$18)</f>
        <v>17.760000000000002</v>
      </c>
      <c r="AD14" s="24">
        <f t="shared" si="8"/>
        <v>12546.073333333334</v>
      </c>
      <c r="AE14" s="148">
        <v>17</v>
      </c>
      <c r="AF14" s="148">
        <v>12</v>
      </c>
      <c r="AG14" s="26">
        <f t="shared" ref="AG14:AG15" si="12">AF14+AE14</f>
        <v>29</v>
      </c>
      <c r="AH14" s="22"/>
      <c r="AI14" s="24">
        <f t="shared" ref="AI14:AI15" si="13">(AG14+AH14)</f>
        <v>29</v>
      </c>
      <c r="AJ14" s="148">
        <v>0</v>
      </c>
      <c r="AK14" s="148">
        <v>10</v>
      </c>
      <c r="AL14" s="148">
        <v>13</v>
      </c>
      <c r="AM14" s="148">
        <v>9</v>
      </c>
      <c r="AN14" s="29">
        <f>AJ14+AK14+AL14+AM14</f>
        <v>32</v>
      </c>
      <c r="AO14" s="29">
        <f>P13-M13</f>
        <v>0</v>
      </c>
      <c r="AP14" s="21">
        <f>AO14+AD14-AI14-AN14</f>
        <v>12485.073333333334</v>
      </c>
      <c r="AQ14" s="486"/>
      <c r="AR14" s="486"/>
      <c r="AS14" s="484"/>
      <c r="AT14" s="484"/>
      <c r="AU14" s="484"/>
      <c r="AV14" s="484"/>
      <c r="AW14" s="484"/>
      <c r="AX14" s="484"/>
      <c r="AY14" s="484"/>
      <c r="AZ14" s="484"/>
      <c r="BA14" s="484"/>
      <c r="BB14" s="484"/>
      <c r="BC14" s="484"/>
      <c r="BD14" s="484"/>
    </row>
    <row r="15" spans="1:56" s="46" customFormat="1">
      <c r="A15" s="484"/>
      <c r="B15" s="484"/>
      <c r="C15" s="484"/>
      <c r="D15" s="485"/>
      <c r="E15" s="485"/>
      <c r="F15" s="20" t="s">
        <v>172</v>
      </c>
      <c r="G15" s="12">
        <v>1</v>
      </c>
      <c r="H15" s="12" t="s">
        <v>212</v>
      </c>
      <c r="I15" s="12" t="s">
        <v>174</v>
      </c>
      <c r="J15" s="12">
        <v>44</v>
      </c>
      <c r="K15" s="12">
        <v>12</v>
      </c>
      <c r="L15" s="22"/>
      <c r="M15" s="22"/>
      <c r="N15" s="22"/>
      <c r="O15" s="22"/>
      <c r="P15" s="23">
        <f t="shared" si="0"/>
        <v>0</v>
      </c>
      <c r="Q15" s="493">
        <f>2*5000</f>
        <v>10000</v>
      </c>
      <c r="R15" s="493">
        <f t="shared" ref="R15:R24" si="14">Q15</f>
        <v>10000</v>
      </c>
      <c r="S15" s="494">
        <v>0.77</v>
      </c>
      <c r="T15" s="485">
        <v>0.92</v>
      </c>
      <c r="U15" s="24">
        <f>(Q15*S15*T15)</f>
        <v>7084</v>
      </c>
      <c r="V15" s="148">
        <v>21</v>
      </c>
      <c r="W15" s="148">
        <v>23</v>
      </c>
      <c r="X15" s="23">
        <f t="shared" si="2"/>
        <v>44</v>
      </c>
      <c r="Y15" s="23">
        <v>0</v>
      </c>
      <c r="Z15" s="148">
        <v>19</v>
      </c>
      <c r="AA15" s="148">
        <v>11</v>
      </c>
      <c r="AB15" s="23">
        <f t="shared" si="10"/>
        <v>30</v>
      </c>
      <c r="AC15" s="24">
        <f>($X$18+$Y$18+$AB$18)*(Q15/$R$18)</f>
        <v>35.520000000000003</v>
      </c>
      <c r="AD15" s="24">
        <f t="shared" ref="AD15:AD24" si="15">(U15*J15/K15)-AC15</f>
        <v>25939.146666666667</v>
      </c>
      <c r="AE15" s="148">
        <v>16</v>
      </c>
      <c r="AF15" s="148">
        <v>13</v>
      </c>
      <c r="AG15" s="26">
        <f t="shared" si="12"/>
        <v>29</v>
      </c>
      <c r="AH15" s="12"/>
      <c r="AI15" s="24">
        <f t="shared" si="13"/>
        <v>29</v>
      </c>
      <c r="AJ15" s="148">
        <v>0</v>
      </c>
      <c r="AK15" s="148">
        <v>10</v>
      </c>
      <c r="AL15" s="148">
        <v>13</v>
      </c>
      <c r="AM15" s="148">
        <v>9</v>
      </c>
      <c r="AN15" s="29">
        <f t="shared" ref="AN15" si="16">AJ15+AK15+AL15+AM15</f>
        <v>32</v>
      </c>
      <c r="AO15" s="29">
        <f t="shared" ref="AO15" si="17">P14-M14</f>
        <v>0</v>
      </c>
      <c r="AP15" s="21">
        <f t="shared" ref="AP15" si="18">AO15+AD15-AI15-AN15</f>
        <v>25878.146666666667</v>
      </c>
      <c r="AQ15" s="486"/>
      <c r="AR15" s="486"/>
      <c r="AS15" s="484"/>
      <c r="AT15" s="484"/>
      <c r="AU15" s="484"/>
      <c r="AV15" s="484"/>
      <c r="AW15" s="484"/>
      <c r="AX15" s="484"/>
      <c r="AY15" s="484"/>
      <c r="AZ15" s="484"/>
      <c r="BA15" s="484"/>
      <c r="BB15" s="484"/>
      <c r="BC15" s="484"/>
      <c r="BD15" s="484"/>
    </row>
    <row r="16" spans="1:56" s="46" customFormat="1">
      <c r="A16" s="484"/>
      <c r="B16" s="484"/>
      <c r="C16" s="484"/>
      <c r="D16" s="485"/>
      <c r="E16" s="485"/>
      <c r="F16" s="56" t="s">
        <v>175</v>
      </c>
      <c r="G16" s="12">
        <v>1</v>
      </c>
      <c r="H16" s="12" t="s">
        <v>212</v>
      </c>
      <c r="I16" s="12" t="s">
        <v>174</v>
      </c>
      <c r="J16" s="12">
        <v>44</v>
      </c>
      <c r="K16" s="12">
        <v>12</v>
      </c>
      <c r="L16" s="22"/>
      <c r="M16" s="22"/>
      <c r="N16" s="22"/>
      <c r="O16" s="22"/>
      <c r="P16" s="23">
        <f t="shared" si="0"/>
        <v>0</v>
      </c>
      <c r="Q16" s="493">
        <f>9.5*5000</f>
        <v>47500</v>
      </c>
      <c r="R16" s="493">
        <f t="shared" si="14"/>
        <v>47500</v>
      </c>
      <c r="S16" s="494">
        <v>0.49</v>
      </c>
      <c r="T16" s="485">
        <v>0.92</v>
      </c>
      <c r="U16" s="24">
        <f>(Q16*S16*T16)</f>
        <v>21413</v>
      </c>
      <c r="V16" s="148">
        <v>21</v>
      </c>
      <c r="W16" s="148">
        <v>23</v>
      </c>
      <c r="X16" s="23">
        <f t="shared" si="2"/>
        <v>44</v>
      </c>
      <c r="Y16" s="23">
        <v>0</v>
      </c>
      <c r="Z16" s="148">
        <v>19</v>
      </c>
      <c r="AA16" s="148">
        <v>11</v>
      </c>
      <c r="AB16" s="23">
        <f>Z16+AA16</f>
        <v>30</v>
      </c>
      <c r="AC16" s="24">
        <f t="shared" si="11"/>
        <v>168.72</v>
      </c>
      <c r="AD16" s="24">
        <f t="shared" si="15"/>
        <v>78345.613333333327</v>
      </c>
      <c r="AE16" s="148">
        <v>16</v>
      </c>
      <c r="AF16" s="148">
        <v>13</v>
      </c>
      <c r="AG16" s="26">
        <f>AF16+AE16</f>
        <v>29</v>
      </c>
      <c r="AH16" s="22"/>
      <c r="AI16" s="24">
        <f>(AG16+AH16)</f>
        <v>29</v>
      </c>
      <c r="AJ16" s="148">
        <v>0</v>
      </c>
      <c r="AK16" s="148">
        <v>10</v>
      </c>
      <c r="AL16" s="148">
        <v>13</v>
      </c>
      <c r="AM16" s="148">
        <v>9</v>
      </c>
      <c r="AN16" s="29">
        <f>AJ16+AK16+AL16+AM16</f>
        <v>32</v>
      </c>
      <c r="AO16" s="29">
        <f>P15-M15</f>
        <v>0</v>
      </c>
      <c r="AP16" s="21">
        <f>AO16+AD16-AI16-AN16</f>
        <v>78284.613333333327</v>
      </c>
      <c r="AQ16" s="486"/>
      <c r="AR16" s="486"/>
      <c r="AS16" s="484"/>
      <c r="AT16" s="484"/>
      <c r="AU16" s="484"/>
      <c r="AV16" s="484"/>
      <c r="AW16" s="484"/>
      <c r="AX16" s="484"/>
      <c r="AY16" s="484"/>
      <c r="AZ16" s="484"/>
      <c r="BA16" s="484"/>
      <c r="BB16" s="484"/>
      <c r="BC16" s="484"/>
      <c r="BD16" s="484"/>
    </row>
    <row r="17" spans="1:56" s="46" customFormat="1">
      <c r="A17" s="484"/>
      <c r="B17" s="484"/>
      <c r="C17" s="484"/>
      <c r="D17" s="485"/>
      <c r="E17" s="485"/>
      <c r="F17" s="20" t="s">
        <v>176</v>
      </c>
      <c r="G17" s="12">
        <v>1</v>
      </c>
      <c r="H17" s="12" t="s">
        <v>212</v>
      </c>
      <c r="I17" s="12" t="s">
        <v>174</v>
      </c>
      <c r="J17" s="12">
        <v>44</v>
      </c>
      <c r="K17" s="12">
        <v>12</v>
      </c>
      <c r="L17" s="22"/>
      <c r="M17" s="22"/>
      <c r="N17" s="22"/>
      <c r="O17" s="22"/>
      <c r="P17" s="23">
        <f t="shared" si="0"/>
        <v>0</v>
      </c>
      <c r="Q17" s="493">
        <f>1*5000</f>
        <v>5000</v>
      </c>
      <c r="R17" s="493">
        <f t="shared" si="14"/>
        <v>5000</v>
      </c>
      <c r="S17" s="494">
        <v>0.77</v>
      </c>
      <c r="T17" s="485">
        <v>0.92</v>
      </c>
      <c r="U17" s="24">
        <f t="shared" ref="U17" si="19">(Q17*S17*T17)</f>
        <v>3542</v>
      </c>
      <c r="V17" s="148">
        <v>21</v>
      </c>
      <c r="W17" s="148">
        <v>23</v>
      </c>
      <c r="X17" s="23">
        <f t="shared" si="2"/>
        <v>44</v>
      </c>
      <c r="Y17" s="23">
        <v>0</v>
      </c>
      <c r="Z17" s="148">
        <v>19</v>
      </c>
      <c r="AA17" s="148">
        <v>11</v>
      </c>
      <c r="AB17" s="23">
        <f t="shared" ref="AB17:AB19" si="20">Z17+AA17</f>
        <v>30</v>
      </c>
      <c r="AC17" s="24">
        <f t="shared" si="11"/>
        <v>17.760000000000002</v>
      </c>
      <c r="AD17" s="24">
        <f t="shared" si="15"/>
        <v>12969.573333333334</v>
      </c>
      <c r="AE17" s="148">
        <v>16</v>
      </c>
      <c r="AF17" s="148">
        <v>13</v>
      </c>
      <c r="AG17" s="26">
        <f t="shared" ref="AG17:AG19" si="21">AF17+AE17</f>
        <v>29</v>
      </c>
      <c r="AH17" s="22"/>
      <c r="AI17" s="24">
        <f t="shared" ref="AI17:AI19" si="22">(AG17+AH17)</f>
        <v>29</v>
      </c>
      <c r="AJ17" s="148">
        <v>0</v>
      </c>
      <c r="AK17" s="148">
        <v>10</v>
      </c>
      <c r="AL17" s="148">
        <v>13</v>
      </c>
      <c r="AM17" s="148">
        <v>9</v>
      </c>
      <c r="AN17" s="29">
        <f>AJ17+AK17+AL17+AM17</f>
        <v>32</v>
      </c>
      <c r="AO17" s="29">
        <f>P16-M16</f>
        <v>0</v>
      </c>
      <c r="AP17" s="21">
        <f>AO17+AD17-AI17-AN17</f>
        <v>12908.573333333334</v>
      </c>
      <c r="AQ17" s="486"/>
      <c r="AR17" s="486"/>
      <c r="AS17" s="484"/>
      <c r="AT17" s="484"/>
      <c r="AU17" s="484"/>
      <c r="AV17" s="484"/>
      <c r="AW17" s="484"/>
      <c r="AX17" s="484"/>
      <c r="AY17" s="484"/>
      <c r="AZ17" s="484"/>
      <c r="BA17" s="484"/>
      <c r="BB17" s="484"/>
      <c r="BC17" s="484"/>
      <c r="BD17" s="484"/>
    </row>
    <row r="18" spans="1:56" s="46" customFormat="1">
      <c r="A18" s="484"/>
      <c r="B18" s="484"/>
      <c r="C18" s="484"/>
      <c r="D18" s="485"/>
      <c r="E18" s="485"/>
      <c r="F18" s="20"/>
      <c r="G18" s="12"/>
      <c r="H18" s="12"/>
      <c r="I18" s="12"/>
      <c r="J18" s="12"/>
      <c r="K18" s="12"/>
      <c r="L18" s="22"/>
      <c r="M18" s="22"/>
      <c r="N18" s="22"/>
      <c r="O18" s="22"/>
      <c r="P18" s="23"/>
      <c r="Q18" s="493"/>
      <c r="R18" s="58">
        <f>SUM(R12:R17)</f>
        <v>125000</v>
      </c>
      <c r="S18" s="494"/>
      <c r="T18" s="494"/>
      <c r="U18" s="24"/>
      <c r="V18" s="149"/>
      <c r="W18" s="149"/>
      <c r="X18" s="108">
        <f>SUM(X12:X17)</f>
        <v>264</v>
      </c>
      <c r="Y18" s="108">
        <f>SUM(Y12:Y17)</f>
        <v>0</v>
      </c>
      <c r="Z18" s="149"/>
      <c r="AA18" s="149"/>
      <c r="AB18" s="108">
        <f>SUM(AB12:AB17)</f>
        <v>180</v>
      </c>
      <c r="AC18" s="108">
        <f>SUM(AC12:AC17)</f>
        <v>444</v>
      </c>
      <c r="AD18" s="24"/>
      <c r="AE18" s="150"/>
      <c r="AF18" s="150"/>
      <c r="AG18" s="26"/>
      <c r="AH18" s="22"/>
      <c r="AI18" s="24"/>
      <c r="AJ18" s="148"/>
      <c r="AK18" s="151"/>
      <c r="AL18" s="151"/>
      <c r="AM18" s="151"/>
      <c r="AN18" s="29"/>
      <c r="AO18" s="29"/>
      <c r="AP18" s="21"/>
      <c r="AQ18" s="486"/>
      <c r="AR18" s="486"/>
      <c r="AS18" s="484"/>
      <c r="AT18" s="484"/>
      <c r="AU18" s="484"/>
      <c r="AV18" s="484"/>
      <c r="AW18" s="484"/>
      <c r="AX18" s="484"/>
      <c r="AY18" s="484"/>
      <c r="AZ18" s="484"/>
      <c r="BA18" s="484"/>
      <c r="BB18" s="484"/>
      <c r="BC18" s="484"/>
      <c r="BD18" s="484"/>
    </row>
    <row r="19" spans="1:56" s="46" customFormat="1">
      <c r="A19" s="484"/>
      <c r="B19" s="484"/>
      <c r="C19" s="484"/>
      <c r="D19" s="485"/>
      <c r="E19" s="485"/>
      <c r="F19" s="20" t="s">
        <v>172</v>
      </c>
      <c r="G19" s="12">
        <v>1</v>
      </c>
      <c r="H19" s="12" t="s">
        <v>173</v>
      </c>
      <c r="I19" s="12" t="s">
        <v>213</v>
      </c>
      <c r="J19" s="12">
        <v>44</v>
      </c>
      <c r="K19" s="12">
        <v>12</v>
      </c>
      <c r="L19" s="22"/>
      <c r="M19" s="22"/>
      <c r="N19" s="22"/>
      <c r="O19" s="22"/>
      <c r="P19" s="23">
        <f t="shared" si="0"/>
        <v>0</v>
      </c>
      <c r="Q19" s="493">
        <f>2*5000</f>
        <v>10000</v>
      </c>
      <c r="R19" s="493">
        <f t="shared" si="1"/>
        <v>10000</v>
      </c>
      <c r="S19" s="147">
        <v>0.65</v>
      </c>
      <c r="T19" s="485">
        <v>0.89</v>
      </c>
      <c r="U19" s="24">
        <f>(Q19*S19*T19)</f>
        <v>5785</v>
      </c>
      <c r="V19" s="148">
        <v>18</v>
      </c>
      <c r="W19" s="148">
        <v>20</v>
      </c>
      <c r="X19" s="23">
        <f t="shared" ref="X19:X24" si="23">V19+W19</f>
        <v>38</v>
      </c>
      <c r="Y19" s="23">
        <v>0</v>
      </c>
      <c r="Z19" s="148">
        <v>16</v>
      </c>
      <c r="AA19" s="148">
        <v>9</v>
      </c>
      <c r="AB19" s="23">
        <f t="shared" si="20"/>
        <v>25</v>
      </c>
      <c r="AC19" s="24">
        <f>($X$25+$Y$25+$AB$25)*(Q19/$R$25)</f>
        <v>30.240000000000002</v>
      </c>
      <c r="AD19" s="24">
        <f>(U19*J19/K19)-AC19</f>
        <v>21181.426666666666</v>
      </c>
      <c r="AE19" s="148">
        <v>17</v>
      </c>
      <c r="AF19" s="148">
        <v>12</v>
      </c>
      <c r="AG19" s="26">
        <f t="shared" si="21"/>
        <v>29</v>
      </c>
      <c r="AH19" s="12"/>
      <c r="AI19" s="24">
        <f t="shared" si="22"/>
        <v>29</v>
      </c>
      <c r="AJ19" s="148">
        <v>0</v>
      </c>
      <c r="AK19" s="148">
        <v>10</v>
      </c>
      <c r="AL19" s="148">
        <v>13</v>
      </c>
      <c r="AM19" s="148">
        <v>9</v>
      </c>
      <c r="AN19" s="29">
        <f t="shared" ref="AN19" si="24">AJ19+AK19+AL19+AM19</f>
        <v>32</v>
      </c>
      <c r="AO19" s="29">
        <f t="shared" ref="AO19" si="25">P17-M17</f>
        <v>0</v>
      </c>
      <c r="AP19" s="21">
        <f t="shared" ref="AP19" si="26">AO19+AD19-AI19-AN19</f>
        <v>21120.426666666666</v>
      </c>
      <c r="AQ19" s="486"/>
      <c r="AR19" s="486"/>
      <c r="AS19" s="484"/>
      <c r="AT19" s="484"/>
      <c r="AU19" s="484"/>
      <c r="AV19" s="484"/>
      <c r="AW19" s="484"/>
      <c r="AX19" s="484"/>
      <c r="AY19" s="484"/>
      <c r="AZ19" s="484"/>
      <c r="BA19" s="484"/>
      <c r="BB19" s="484"/>
      <c r="BC19" s="484"/>
      <c r="BD19" s="484"/>
    </row>
    <row r="20" spans="1:56" s="46" customFormat="1">
      <c r="A20" s="484"/>
      <c r="B20" s="484"/>
      <c r="C20" s="484"/>
      <c r="D20" s="485"/>
      <c r="E20" s="485"/>
      <c r="F20" s="56" t="s">
        <v>175</v>
      </c>
      <c r="G20" s="12">
        <v>1</v>
      </c>
      <c r="H20" s="12" t="s">
        <v>173</v>
      </c>
      <c r="I20" s="12" t="s">
        <v>213</v>
      </c>
      <c r="J20" s="12">
        <v>44</v>
      </c>
      <c r="K20" s="12">
        <v>12</v>
      </c>
      <c r="L20" s="22"/>
      <c r="M20" s="22"/>
      <c r="N20" s="22"/>
      <c r="O20" s="22"/>
      <c r="P20" s="23">
        <f t="shared" si="0"/>
        <v>0</v>
      </c>
      <c r="Q20" s="493">
        <f>9.5*5000</f>
        <v>47500</v>
      </c>
      <c r="R20" s="493">
        <f t="shared" si="1"/>
        <v>47500</v>
      </c>
      <c r="S20" s="147">
        <v>0.72</v>
      </c>
      <c r="T20" s="494">
        <v>0.89</v>
      </c>
      <c r="U20" s="24">
        <f>(Q20*S20*T20)</f>
        <v>30438</v>
      </c>
      <c r="V20" s="148">
        <v>18</v>
      </c>
      <c r="W20" s="148">
        <v>20</v>
      </c>
      <c r="X20" s="23">
        <f t="shared" si="23"/>
        <v>38</v>
      </c>
      <c r="Y20" s="23">
        <v>0</v>
      </c>
      <c r="Z20" s="148">
        <v>16</v>
      </c>
      <c r="AA20" s="148">
        <v>9</v>
      </c>
      <c r="AB20" s="23">
        <f>Z20+AA20</f>
        <v>25</v>
      </c>
      <c r="AC20" s="24">
        <f t="shared" ref="AC20:AC24" si="27">($X$25+$Y$25+$AB$25)*(Q20/$R$25)</f>
        <v>143.64000000000001</v>
      </c>
      <c r="AD20" s="24">
        <f t="shared" si="15"/>
        <v>111462.36</v>
      </c>
      <c r="AE20" s="148">
        <v>17</v>
      </c>
      <c r="AF20" s="148">
        <v>12</v>
      </c>
      <c r="AG20" s="26">
        <f>AF20+AE20</f>
        <v>29</v>
      </c>
      <c r="AH20" s="22"/>
      <c r="AI20" s="24">
        <f>(AG20+AH20)</f>
        <v>29</v>
      </c>
      <c r="AJ20" s="148">
        <v>0</v>
      </c>
      <c r="AK20" s="148">
        <v>10</v>
      </c>
      <c r="AL20" s="148">
        <v>13</v>
      </c>
      <c r="AM20" s="148">
        <v>9</v>
      </c>
      <c r="AN20" s="29">
        <f>AJ20+AK20+AL20+AM20</f>
        <v>32</v>
      </c>
      <c r="AO20" s="29">
        <f>P19-M19</f>
        <v>0</v>
      </c>
      <c r="AP20" s="21">
        <f>AO20+AD20-AI20-AN20</f>
        <v>111401.36</v>
      </c>
      <c r="AQ20" s="486"/>
      <c r="AR20" s="486"/>
      <c r="AS20" s="484"/>
      <c r="AT20" s="484"/>
      <c r="AU20" s="484"/>
      <c r="AV20" s="484"/>
      <c r="AW20" s="484"/>
      <c r="AX20" s="484"/>
      <c r="AY20" s="484"/>
      <c r="AZ20" s="484"/>
      <c r="BA20" s="484"/>
      <c r="BB20" s="484"/>
      <c r="BC20" s="484"/>
      <c r="BD20" s="484"/>
    </row>
    <row r="21" spans="1:56" s="46" customFormat="1">
      <c r="A21" s="484"/>
      <c r="B21" s="484"/>
      <c r="C21" s="484"/>
      <c r="D21" s="485"/>
      <c r="E21" s="485"/>
      <c r="F21" s="20" t="s">
        <v>176</v>
      </c>
      <c r="G21" s="12">
        <v>1</v>
      </c>
      <c r="H21" s="12" t="s">
        <v>173</v>
      </c>
      <c r="I21" s="12" t="s">
        <v>213</v>
      </c>
      <c r="J21" s="12">
        <v>44</v>
      </c>
      <c r="K21" s="12">
        <v>12</v>
      </c>
      <c r="L21" s="22"/>
      <c r="M21" s="22"/>
      <c r="N21" s="22"/>
      <c r="O21" s="22"/>
      <c r="P21" s="23">
        <f t="shared" si="0"/>
        <v>0</v>
      </c>
      <c r="Q21" s="493">
        <f>1*5000</f>
        <v>5000</v>
      </c>
      <c r="R21" s="493">
        <f t="shared" si="1"/>
        <v>5000</v>
      </c>
      <c r="S21" s="147">
        <v>0.79</v>
      </c>
      <c r="T21" s="494">
        <v>0.89</v>
      </c>
      <c r="U21" s="24">
        <f t="shared" ref="U21" si="28">(Q21*S21*T21)</f>
        <v>3515.5</v>
      </c>
      <c r="V21" s="148">
        <v>18</v>
      </c>
      <c r="W21" s="148">
        <v>20</v>
      </c>
      <c r="X21" s="23">
        <f t="shared" si="23"/>
        <v>38</v>
      </c>
      <c r="Y21" s="23">
        <v>0</v>
      </c>
      <c r="Z21" s="148">
        <v>16</v>
      </c>
      <c r="AA21" s="148">
        <v>9</v>
      </c>
      <c r="AB21" s="23">
        <f t="shared" ref="AB21:AB22" si="29">Z21+AA21</f>
        <v>25</v>
      </c>
      <c r="AC21" s="24">
        <f>($X$25+$Y$25+$AB$25)*(Q21/$R$25)</f>
        <v>15.120000000000001</v>
      </c>
      <c r="AD21" s="24">
        <f t="shared" si="15"/>
        <v>12875.046666666665</v>
      </c>
      <c r="AE21" s="148">
        <v>17</v>
      </c>
      <c r="AF21" s="148">
        <v>12</v>
      </c>
      <c r="AG21" s="26">
        <f t="shared" ref="AG21:AG22" si="30">AF21+AE21</f>
        <v>29</v>
      </c>
      <c r="AH21" s="22"/>
      <c r="AI21" s="24">
        <f t="shared" ref="AI21:AI22" si="31">(AG21+AH21)</f>
        <v>29</v>
      </c>
      <c r="AJ21" s="148">
        <v>0</v>
      </c>
      <c r="AK21" s="148">
        <v>10</v>
      </c>
      <c r="AL21" s="148">
        <v>13</v>
      </c>
      <c r="AM21" s="148">
        <v>9</v>
      </c>
      <c r="AN21" s="29">
        <f>AJ21+AK21+AL21+AM21</f>
        <v>32</v>
      </c>
      <c r="AO21" s="29">
        <f>P20-M20</f>
        <v>0</v>
      </c>
      <c r="AP21" s="21">
        <f>AO21+AD21-AI21-AN21</f>
        <v>12814.046666666665</v>
      </c>
      <c r="AQ21" s="486"/>
      <c r="AR21" s="486"/>
      <c r="AS21" s="484"/>
      <c r="AT21" s="484"/>
      <c r="AU21" s="484"/>
      <c r="AV21" s="484"/>
      <c r="AW21" s="484"/>
      <c r="AX21" s="484"/>
      <c r="AY21" s="484"/>
      <c r="AZ21" s="484"/>
      <c r="BA21" s="484"/>
      <c r="BB21" s="484"/>
      <c r="BC21" s="484"/>
      <c r="BD21" s="484"/>
    </row>
    <row r="22" spans="1:56" s="46" customFormat="1">
      <c r="A22" s="484"/>
      <c r="B22" s="484"/>
      <c r="C22" s="484"/>
      <c r="D22" s="485"/>
      <c r="E22" s="485"/>
      <c r="F22" s="20" t="s">
        <v>172</v>
      </c>
      <c r="G22" s="12">
        <v>1</v>
      </c>
      <c r="H22" s="12" t="s">
        <v>212</v>
      </c>
      <c r="I22" s="12" t="s">
        <v>213</v>
      </c>
      <c r="J22" s="12">
        <v>44</v>
      </c>
      <c r="K22" s="12">
        <v>12</v>
      </c>
      <c r="L22" s="22"/>
      <c r="M22" s="22"/>
      <c r="N22" s="22"/>
      <c r="O22" s="22"/>
      <c r="P22" s="23">
        <f t="shared" si="0"/>
        <v>0</v>
      </c>
      <c r="Q22" s="493">
        <f>2*5000</f>
        <v>10000</v>
      </c>
      <c r="R22" s="493">
        <f t="shared" si="14"/>
        <v>10000</v>
      </c>
      <c r="S22" s="147">
        <v>0.65</v>
      </c>
      <c r="T22" s="485">
        <v>0.92</v>
      </c>
      <c r="U22" s="24">
        <f>(Q22*S22*T22)</f>
        <v>5980</v>
      </c>
      <c r="V22" s="148">
        <v>18</v>
      </c>
      <c r="W22" s="148">
        <v>20</v>
      </c>
      <c r="X22" s="23">
        <f t="shared" si="23"/>
        <v>38</v>
      </c>
      <c r="Y22" s="23">
        <v>0</v>
      </c>
      <c r="Z22" s="148">
        <v>16</v>
      </c>
      <c r="AA22" s="148">
        <v>9</v>
      </c>
      <c r="AB22" s="23">
        <f t="shared" si="29"/>
        <v>25</v>
      </c>
      <c r="AC22" s="24">
        <f t="shared" si="27"/>
        <v>30.240000000000002</v>
      </c>
      <c r="AD22" s="24">
        <f t="shared" si="15"/>
        <v>21896.426666666666</v>
      </c>
      <c r="AE22" s="148">
        <v>16</v>
      </c>
      <c r="AF22" s="148">
        <v>13</v>
      </c>
      <c r="AG22" s="26">
        <f t="shared" si="30"/>
        <v>29</v>
      </c>
      <c r="AH22" s="12"/>
      <c r="AI22" s="24">
        <f t="shared" si="31"/>
        <v>29</v>
      </c>
      <c r="AJ22" s="148">
        <v>0</v>
      </c>
      <c r="AK22" s="148">
        <v>10</v>
      </c>
      <c r="AL22" s="148">
        <v>13</v>
      </c>
      <c r="AM22" s="148">
        <v>9</v>
      </c>
      <c r="AN22" s="29">
        <f t="shared" ref="AN22" si="32">AJ22+AK22+AL22+AM22</f>
        <v>32</v>
      </c>
      <c r="AO22" s="29">
        <f t="shared" ref="AO22" si="33">P21-M21</f>
        <v>0</v>
      </c>
      <c r="AP22" s="21">
        <f t="shared" ref="AP22" si="34">AO22+AD22-AI22-AN22</f>
        <v>21835.426666666666</v>
      </c>
      <c r="AQ22" s="486"/>
      <c r="AR22" s="486"/>
      <c r="AS22" s="484"/>
      <c r="AT22" s="484"/>
      <c r="AU22" s="484"/>
      <c r="AV22" s="484"/>
      <c r="AW22" s="484"/>
      <c r="AX22" s="484"/>
      <c r="AY22" s="484"/>
      <c r="AZ22" s="484"/>
      <c r="BA22" s="484"/>
      <c r="BB22" s="484"/>
      <c r="BC22" s="484"/>
      <c r="BD22" s="484"/>
    </row>
    <row r="23" spans="1:56" s="46" customFormat="1">
      <c r="A23" s="484"/>
      <c r="B23" s="484"/>
      <c r="C23" s="484"/>
      <c r="D23" s="485"/>
      <c r="E23" s="485"/>
      <c r="F23" s="56" t="s">
        <v>175</v>
      </c>
      <c r="G23" s="12">
        <v>1</v>
      </c>
      <c r="H23" s="12" t="s">
        <v>212</v>
      </c>
      <c r="I23" s="12" t="s">
        <v>213</v>
      </c>
      <c r="J23" s="12">
        <v>44</v>
      </c>
      <c r="K23" s="12">
        <v>12</v>
      </c>
      <c r="L23" s="22"/>
      <c r="M23" s="22"/>
      <c r="N23" s="22"/>
      <c r="O23" s="22"/>
      <c r="P23" s="23">
        <f t="shared" si="0"/>
        <v>0</v>
      </c>
      <c r="Q23" s="493">
        <f>9.5*5000</f>
        <v>47500</v>
      </c>
      <c r="R23" s="493">
        <f t="shared" si="14"/>
        <v>47500</v>
      </c>
      <c r="S23" s="147">
        <v>0.72</v>
      </c>
      <c r="T23" s="485">
        <v>0.92</v>
      </c>
      <c r="U23" s="24">
        <f>(Q23*S23*T23)</f>
        <v>31464</v>
      </c>
      <c r="V23" s="148">
        <v>18</v>
      </c>
      <c r="W23" s="148">
        <v>20</v>
      </c>
      <c r="X23" s="23">
        <f t="shared" si="23"/>
        <v>38</v>
      </c>
      <c r="Y23" s="23">
        <v>0</v>
      </c>
      <c r="Z23" s="148">
        <v>16</v>
      </c>
      <c r="AA23" s="148">
        <v>9</v>
      </c>
      <c r="AB23" s="23">
        <f>Z23+AA23</f>
        <v>25</v>
      </c>
      <c r="AC23" s="24">
        <f t="shared" si="27"/>
        <v>143.64000000000001</v>
      </c>
      <c r="AD23" s="24">
        <f t="shared" si="15"/>
        <v>115224.36</v>
      </c>
      <c r="AE23" s="148">
        <v>16</v>
      </c>
      <c r="AF23" s="148">
        <v>13</v>
      </c>
      <c r="AG23" s="26">
        <f>AF23+AE23</f>
        <v>29</v>
      </c>
      <c r="AH23" s="22"/>
      <c r="AI23" s="24">
        <f>(AG23+AH23)</f>
        <v>29</v>
      </c>
      <c r="AJ23" s="148">
        <v>0</v>
      </c>
      <c r="AK23" s="148">
        <v>10</v>
      </c>
      <c r="AL23" s="148">
        <v>13</v>
      </c>
      <c r="AM23" s="148">
        <v>9</v>
      </c>
      <c r="AN23" s="29">
        <f>AJ23+AK23+AL23+AM23</f>
        <v>32</v>
      </c>
      <c r="AO23" s="29">
        <f>P22-M22</f>
        <v>0</v>
      </c>
      <c r="AP23" s="21">
        <f>AO23+AD23-AI23-AN23</f>
        <v>115163.36</v>
      </c>
      <c r="AQ23" s="486"/>
      <c r="AR23" s="486"/>
      <c r="AS23" s="484"/>
      <c r="AT23" s="484"/>
      <c r="AU23" s="484"/>
      <c r="AV23" s="484"/>
      <c r="AW23" s="484"/>
      <c r="AX23" s="484"/>
      <c r="AY23" s="484"/>
      <c r="AZ23" s="484"/>
      <c r="BA23" s="484"/>
      <c r="BB23" s="484"/>
      <c r="BC23" s="484"/>
      <c r="BD23" s="484"/>
    </row>
    <row r="24" spans="1:56" s="46" customFormat="1">
      <c r="A24" s="484"/>
      <c r="B24" s="484"/>
      <c r="C24" s="484"/>
      <c r="D24" s="485"/>
      <c r="E24" s="485"/>
      <c r="F24" s="20" t="s">
        <v>176</v>
      </c>
      <c r="G24" s="12">
        <v>1</v>
      </c>
      <c r="H24" s="12" t="s">
        <v>212</v>
      </c>
      <c r="I24" s="12" t="s">
        <v>213</v>
      </c>
      <c r="J24" s="12">
        <v>44</v>
      </c>
      <c r="K24" s="12">
        <v>12</v>
      </c>
      <c r="L24" s="22"/>
      <c r="M24" s="22"/>
      <c r="N24" s="22"/>
      <c r="O24" s="22"/>
      <c r="P24" s="23">
        <f t="shared" si="0"/>
        <v>0</v>
      </c>
      <c r="Q24" s="493">
        <f>1*5000</f>
        <v>5000</v>
      </c>
      <c r="R24" s="493">
        <f t="shared" si="14"/>
        <v>5000</v>
      </c>
      <c r="S24" s="147">
        <v>0.79</v>
      </c>
      <c r="T24" s="485">
        <v>0.92</v>
      </c>
      <c r="U24" s="24">
        <f t="shared" ref="U24" si="35">(Q24*S24*T24)</f>
        <v>3634</v>
      </c>
      <c r="V24" s="148">
        <v>18</v>
      </c>
      <c r="W24" s="148">
        <v>20</v>
      </c>
      <c r="X24" s="23">
        <f t="shared" si="23"/>
        <v>38</v>
      </c>
      <c r="Y24" s="23">
        <v>0</v>
      </c>
      <c r="Z24" s="148">
        <v>16</v>
      </c>
      <c r="AA24" s="148">
        <v>9</v>
      </c>
      <c r="AB24" s="23">
        <f t="shared" ref="AB24" si="36">Z24+AA24</f>
        <v>25</v>
      </c>
      <c r="AC24" s="24">
        <f t="shared" si="27"/>
        <v>15.120000000000001</v>
      </c>
      <c r="AD24" s="24">
        <f t="shared" si="15"/>
        <v>13309.546666666665</v>
      </c>
      <c r="AE24" s="148">
        <v>16</v>
      </c>
      <c r="AF24" s="148">
        <v>13</v>
      </c>
      <c r="AG24" s="26">
        <f t="shared" ref="AG24" si="37">AF24+AE24</f>
        <v>29</v>
      </c>
      <c r="AH24" s="22"/>
      <c r="AI24" s="24">
        <f t="shared" ref="AI24" si="38">(AG24+AH24)</f>
        <v>29</v>
      </c>
      <c r="AJ24" s="148">
        <v>0</v>
      </c>
      <c r="AK24" s="148">
        <v>10</v>
      </c>
      <c r="AL24" s="148">
        <v>13</v>
      </c>
      <c r="AM24" s="148">
        <v>9</v>
      </c>
      <c r="AN24" s="29">
        <f>AJ24+AK24+AL24+AM24</f>
        <v>32</v>
      </c>
      <c r="AO24" s="29">
        <f>P23-M23</f>
        <v>0</v>
      </c>
      <c r="AP24" s="21">
        <f>AO24+AD24-AI24-AN24</f>
        <v>13248.546666666665</v>
      </c>
      <c r="AQ24" s="486"/>
      <c r="AR24" s="486"/>
      <c r="AS24" s="484"/>
      <c r="AT24" s="484"/>
      <c r="AU24" s="484"/>
      <c r="AV24" s="484"/>
      <c r="AW24" s="484"/>
      <c r="AX24" s="484"/>
      <c r="AY24" s="484"/>
      <c r="AZ24" s="484"/>
      <c r="BA24" s="484"/>
      <c r="BB24" s="484"/>
      <c r="BC24" s="484"/>
      <c r="BD24" s="484"/>
    </row>
    <row r="25" spans="1:56" s="46" customFormat="1">
      <c r="A25" s="484"/>
      <c r="B25" s="484"/>
      <c r="C25" s="484"/>
      <c r="D25" s="485"/>
      <c r="E25" s="485"/>
      <c r="F25" s="20"/>
      <c r="G25" s="12"/>
      <c r="H25" s="12"/>
      <c r="I25" s="12"/>
      <c r="J25" s="12"/>
      <c r="K25" s="12"/>
      <c r="L25" s="22"/>
      <c r="M25" s="22"/>
      <c r="N25" s="22"/>
      <c r="O25" s="22"/>
      <c r="P25" s="23"/>
      <c r="Q25" s="493"/>
      <c r="R25" s="58">
        <f>SUM(R19:R24)</f>
        <v>125000</v>
      </c>
      <c r="S25" s="494"/>
      <c r="T25" s="494"/>
      <c r="U25" s="24"/>
      <c r="V25" s="149"/>
      <c r="W25" s="149"/>
      <c r="X25" s="108">
        <f>SUM(X19:X24)</f>
        <v>228</v>
      </c>
      <c r="Y25" s="108">
        <f>SUM(Y19:Y24)</f>
        <v>0</v>
      </c>
      <c r="Z25" s="149"/>
      <c r="AA25" s="149"/>
      <c r="AB25" s="108">
        <f>SUM(AB19:AB24)</f>
        <v>150</v>
      </c>
      <c r="AC25" s="108">
        <f>SUM(AC19:AC24)</f>
        <v>378.00000000000006</v>
      </c>
      <c r="AD25" s="24"/>
      <c r="AE25" s="150"/>
      <c r="AF25" s="150"/>
      <c r="AG25" s="26"/>
      <c r="AH25" s="22"/>
      <c r="AI25" s="24"/>
      <c r="AJ25" s="148"/>
      <c r="AK25" s="151"/>
      <c r="AL25" s="151"/>
      <c r="AM25" s="151"/>
      <c r="AN25" s="29"/>
      <c r="AO25" s="29"/>
      <c r="AP25" s="21"/>
      <c r="AQ25" s="486"/>
      <c r="AR25" s="486"/>
      <c r="AS25" s="484"/>
      <c r="AT25" s="484"/>
      <c r="AU25" s="484"/>
      <c r="AV25" s="484"/>
      <c r="AW25" s="484"/>
      <c r="AX25" s="484"/>
      <c r="AY25" s="484"/>
      <c r="AZ25" s="484"/>
      <c r="BA25" s="484"/>
      <c r="BB25" s="484"/>
      <c r="BC25" s="484"/>
      <c r="BD25" s="484"/>
    </row>
    <row r="26" spans="1:56" s="46" customFormat="1">
      <c r="A26" s="484"/>
      <c r="B26" s="484"/>
      <c r="C26" s="484"/>
      <c r="D26" s="485"/>
      <c r="E26" s="485"/>
      <c r="F26" s="20" t="s">
        <v>172</v>
      </c>
      <c r="G26" s="12">
        <v>2</v>
      </c>
      <c r="H26" s="12" t="s">
        <v>173</v>
      </c>
      <c r="I26" s="12" t="s">
        <v>174</v>
      </c>
      <c r="J26" s="12">
        <v>44</v>
      </c>
      <c r="K26" s="12">
        <v>12</v>
      </c>
      <c r="L26" s="12"/>
      <c r="M26" s="12"/>
      <c r="N26" s="12"/>
      <c r="O26" s="12"/>
      <c r="P26" s="23">
        <f t="shared" ref="P26:P28" si="39">N26+O26</f>
        <v>0</v>
      </c>
      <c r="Q26" s="493">
        <f>2*5000</f>
        <v>10000</v>
      </c>
      <c r="R26" s="493">
        <f t="shared" si="1"/>
        <v>10000</v>
      </c>
      <c r="S26" s="494">
        <v>0.77</v>
      </c>
      <c r="T26" s="485">
        <v>0.89</v>
      </c>
      <c r="U26" s="24">
        <f t="shared" ref="U26:U28" si="40">(Q26*S26*T26)</f>
        <v>6853</v>
      </c>
      <c r="V26" s="148">
        <v>12</v>
      </c>
      <c r="W26" s="148">
        <v>14</v>
      </c>
      <c r="X26" s="23">
        <f t="shared" ref="X26:X31" si="41">V26+W26</f>
        <v>26</v>
      </c>
      <c r="Y26" s="23">
        <v>0</v>
      </c>
      <c r="Z26" s="148">
        <v>11</v>
      </c>
      <c r="AA26" s="148">
        <v>6</v>
      </c>
      <c r="AB26" s="23">
        <f t="shared" si="3"/>
        <v>17</v>
      </c>
      <c r="AC26" s="24">
        <f>($X$32+$Y$32+$AB$32)*(Q26/$R$32)</f>
        <v>20.64</v>
      </c>
      <c r="AD26" s="24">
        <f>(U26*J26/K26)-AC26</f>
        <v>25107.026666666668</v>
      </c>
      <c r="AE26" s="148">
        <v>15</v>
      </c>
      <c r="AF26" s="148">
        <v>19</v>
      </c>
      <c r="AG26" s="26">
        <f t="shared" si="4"/>
        <v>34</v>
      </c>
      <c r="AH26" s="12"/>
      <c r="AI26" s="24">
        <f t="shared" si="5"/>
        <v>34</v>
      </c>
      <c r="AJ26" s="148">
        <v>0</v>
      </c>
      <c r="AK26" s="148">
        <v>11</v>
      </c>
      <c r="AL26" s="148">
        <v>19</v>
      </c>
      <c r="AM26" s="148">
        <v>7</v>
      </c>
      <c r="AN26" s="29">
        <f t="shared" si="6"/>
        <v>37</v>
      </c>
      <c r="AO26" s="29">
        <f>P12-M12</f>
        <v>0</v>
      </c>
      <c r="AP26" s="21">
        <f t="shared" ref="AP26:AP28" si="42">AO26+AD26-AI26-AN26</f>
        <v>25036.026666666668</v>
      </c>
      <c r="AQ26" s="486"/>
      <c r="AR26" s="486"/>
      <c r="AS26" s="484"/>
      <c r="AT26" s="484"/>
      <c r="AU26" s="484"/>
      <c r="AV26" s="484"/>
      <c r="AW26" s="484"/>
      <c r="AX26" s="484"/>
      <c r="AY26" s="484"/>
      <c r="AZ26" s="484"/>
      <c r="BA26" s="484"/>
      <c r="BB26" s="484"/>
      <c r="BC26" s="484"/>
      <c r="BD26" s="484"/>
    </row>
    <row r="27" spans="1:56" s="46" customFormat="1">
      <c r="A27" s="484"/>
      <c r="B27" s="484"/>
      <c r="C27" s="484"/>
      <c r="D27" s="485"/>
      <c r="E27" s="485"/>
      <c r="F27" s="56" t="s">
        <v>175</v>
      </c>
      <c r="G27" s="12">
        <v>2</v>
      </c>
      <c r="H27" s="12" t="s">
        <v>173</v>
      </c>
      <c r="I27" s="12" t="s">
        <v>174</v>
      </c>
      <c r="J27" s="12">
        <v>44</v>
      </c>
      <c r="K27" s="12">
        <v>12</v>
      </c>
      <c r="L27" s="12"/>
      <c r="M27" s="12"/>
      <c r="N27" s="12"/>
      <c r="O27" s="12"/>
      <c r="P27" s="23">
        <f t="shared" si="39"/>
        <v>0</v>
      </c>
      <c r="Q27" s="493">
        <f>9.5*5000</f>
        <v>47500</v>
      </c>
      <c r="R27" s="493">
        <f t="shared" si="1"/>
        <v>47500</v>
      </c>
      <c r="S27" s="494">
        <v>0.49</v>
      </c>
      <c r="T27" s="494">
        <v>0.89</v>
      </c>
      <c r="U27" s="24">
        <f t="shared" si="40"/>
        <v>20714.75</v>
      </c>
      <c r="V27" s="148">
        <v>12</v>
      </c>
      <c r="W27" s="148">
        <v>14</v>
      </c>
      <c r="X27" s="23">
        <f t="shared" si="41"/>
        <v>26</v>
      </c>
      <c r="Y27" s="23">
        <v>0</v>
      </c>
      <c r="Z27" s="148">
        <v>11</v>
      </c>
      <c r="AA27" s="148">
        <v>6</v>
      </c>
      <c r="AB27" s="23">
        <f t="shared" si="3"/>
        <v>17</v>
      </c>
      <c r="AC27" s="24">
        <f t="shared" ref="AC27:AC31" si="43">($X$32+$Y$32+$AB$32)*(Q27/$R$32)</f>
        <v>98.04</v>
      </c>
      <c r="AD27" s="24">
        <f t="shared" si="8"/>
        <v>75856.043333333335</v>
      </c>
      <c r="AE27" s="148">
        <v>15</v>
      </c>
      <c r="AF27" s="148">
        <v>19</v>
      </c>
      <c r="AG27" s="26">
        <f t="shared" si="4"/>
        <v>34</v>
      </c>
      <c r="AH27" s="12"/>
      <c r="AI27" s="24">
        <f t="shared" si="5"/>
        <v>34</v>
      </c>
      <c r="AJ27" s="148">
        <v>0</v>
      </c>
      <c r="AK27" s="148">
        <v>11</v>
      </c>
      <c r="AL27" s="148">
        <v>19</v>
      </c>
      <c r="AM27" s="148">
        <v>7</v>
      </c>
      <c r="AN27" s="29">
        <f t="shared" si="6"/>
        <v>37</v>
      </c>
      <c r="AO27" s="29">
        <f t="shared" si="7"/>
        <v>0</v>
      </c>
      <c r="AP27" s="21">
        <f t="shared" si="42"/>
        <v>75785.043333333335</v>
      </c>
      <c r="AQ27" s="486"/>
      <c r="AR27" s="486"/>
      <c r="AS27" s="484"/>
      <c r="AT27" s="484"/>
      <c r="AU27" s="484"/>
      <c r="AV27" s="484"/>
      <c r="AW27" s="484"/>
      <c r="AX27" s="484"/>
      <c r="AY27" s="484"/>
      <c r="AZ27" s="484"/>
      <c r="BA27" s="484"/>
      <c r="BB27" s="484"/>
      <c r="BC27" s="484"/>
      <c r="BD27" s="484"/>
    </row>
    <row r="28" spans="1:56" s="46" customFormat="1" ht="17.25" customHeight="1">
      <c r="A28" s="484"/>
      <c r="B28" s="484"/>
      <c r="C28" s="484"/>
      <c r="D28" s="485"/>
      <c r="E28" s="485"/>
      <c r="F28" s="20" t="s">
        <v>176</v>
      </c>
      <c r="G28" s="12">
        <v>2</v>
      </c>
      <c r="H28" s="12" t="s">
        <v>173</v>
      </c>
      <c r="I28" s="12" t="s">
        <v>174</v>
      </c>
      <c r="J28" s="12">
        <v>44</v>
      </c>
      <c r="K28" s="12">
        <v>12</v>
      </c>
      <c r="L28" s="12"/>
      <c r="M28" s="12"/>
      <c r="N28" s="12"/>
      <c r="O28" s="12"/>
      <c r="P28" s="23">
        <f t="shared" si="39"/>
        <v>0</v>
      </c>
      <c r="Q28" s="493">
        <f>1*5000</f>
        <v>5000</v>
      </c>
      <c r="R28" s="493">
        <f t="shared" si="1"/>
        <v>5000</v>
      </c>
      <c r="S28" s="494">
        <v>0.77</v>
      </c>
      <c r="T28" s="494">
        <v>0.89</v>
      </c>
      <c r="U28" s="24">
        <f t="shared" si="40"/>
        <v>3426.5</v>
      </c>
      <c r="V28" s="148">
        <v>12</v>
      </c>
      <c r="W28" s="148">
        <v>14</v>
      </c>
      <c r="X28" s="23">
        <f t="shared" si="41"/>
        <v>26</v>
      </c>
      <c r="Y28" s="23">
        <v>0</v>
      </c>
      <c r="Z28" s="148">
        <v>11</v>
      </c>
      <c r="AA28" s="148">
        <v>6</v>
      </c>
      <c r="AB28" s="23">
        <f t="shared" si="3"/>
        <v>17</v>
      </c>
      <c r="AC28" s="24">
        <f>($X$32+$Y$32+$AB$32)*(Q28/$R$32)</f>
        <v>10.32</v>
      </c>
      <c r="AD28" s="24">
        <f t="shared" si="8"/>
        <v>12553.513333333334</v>
      </c>
      <c r="AE28" s="148">
        <v>15</v>
      </c>
      <c r="AF28" s="148">
        <v>19</v>
      </c>
      <c r="AG28" s="26">
        <f t="shared" si="4"/>
        <v>34</v>
      </c>
      <c r="AH28" s="12"/>
      <c r="AI28" s="24">
        <f t="shared" si="5"/>
        <v>34</v>
      </c>
      <c r="AJ28" s="148">
        <v>0</v>
      </c>
      <c r="AK28" s="148">
        <v>11</v>
      </c>
      <c r="AL28" s="148">
        <v>19</v>
      </c>
      <c r="AM28" s="148">
        <v>7</v>
      </c>
      <c r="AN28" s="29">
        <f t="shared" si="6"/>
        <v>37</v>
      </c>
      <c r="AO28" s="29">
        <f t="shared" si="7"/>
        <v>0</v>
      </c>
      <c r="AP28" s="21">
        <f t="shared" si="42"/>
        <v>12482.513333333334</v>
      </c>
      <c r="AQ28" s="486"/>
      <c r="AR28" s="486"/>
      <c r="AS28" s="484"/>
      <c r="AT28" s="484"/>
      <c r="AU28" s="484"/>
      <c r="AV28" s="484"/>
      <c r="AW28" s="484"/>
      <c r="AX28" s="484"/>
      <c r="AY28" s="484"/>
      <c r="AZ28" s="484"/>
      <c r="BA28" s="484"/>
      <c r="BB28" s="484"/>
      <c r="BC28" s="484"/>
      <c r="BD28" s="484"/>
    </row>
    <row r="29" spans="1:56" s="46" customFormat="1" ht="17.25" customHeight="1">
      <c r="A29" s="484"/>
      <c r="B29" s="484"/>
      <c r="C29" s="484"/>
      <c r="D29" s="485"/>
      <c r="E29" s="485"/>
      <c r="F29" s="20" t="s">
        <v>172</v>
      </c>
      <c r="G29" s="12">
        <v>2</v>
      </c>
      <c r="H29" s="12" t="s">
        <v>212</v>
      </c>
      <c r="I29" s="12" t="s">
        <v>174</v>
      </c>
      <c r="J29" s="12">
        <v>44</v>
      </c>
      <c r="K29" s="12">
        <v>12</v>
      </c>
      <c r="L29" s="12"/>
      <c r="M29" s="12"/>
      <c r="N29" s="12"/>
      <c r="O29" s="12"/>
      <c r="P29" s="23">
        <f t="shared" ref="P29:P38" si="44">N29+O29</f>
        <v>0</v>
      </c>
      <c r="Q29" s="493">
        <f>2*5000</f>
        <v>10000</v>
      </c>
      <c r="R29" s="493">
        <f t="shared" si="1"/>
        <v>10000</v>
      </c>
      <c r="S29" s="494">
        <v>0.77</v>
      </c>
      <c r="T29" s="485">
        <v>0.92</v>
      </c>
      <c r="U29" s="24">
        <f t="shared" ref="U29:U38" si="45">(Q29*S29*T29)</f>
        <v>7084</v>
      </c>
      <c r="V29" s="148">
        <v>12</v>
      </c>
      <c r="W29" s="148">
        <v>14</v>
      </c>
      <c r="X29" s="23">
        <f t="shared" si="41"/>
        <v>26</v>
      </c>
      <c r="Y29" s="23">
        <v>0</v>
      </c>
      <c r="Z29" s="148">
        <v>11</v>
      </c>
      <c r="AA29" s="148">
        <v>6</v>
      </c>
      <c r="AB29" s="23">
        <f t="shared" ref="AB29:AB38" si="46">Z29+AA29</f>
        <v>17</v>
      </c>
      <c r="AC29" s="24">
        <f t="shared" si="43"/>
        <v>20.64</v>
      </c>
      <c r="AD29" s="24">
        <f t="shared" ref="AD29:AD38" si="47">(U29*J29/K29)-AC29</f>
        <v>25954.026666666668</v>
      </c>
      <c r="AE29" s="148">
        <v>24</v>
      </c>
      <c r="AF29" s="148">
        <v>11</v>
      </c>
      <c r="AG29" s="26">
        <f t="shared" ref="AG29:AG38" si="48">AF29+AE29</f>
        <v>35</v>
      </c>
      <c r="AH29" s="12"/>
      <c r="AI29" s="24">
        <f t="shared" ref="AI29:AI38" si="49">(AG29+AH29)</f>
        <v>35</v>
      </c>
      <c r="AJ29" s="148">
        <v>0</v>
      </c>
      <c r="AK29" s="148">
        <v>11</v>
      </c>
      <c r="AL29" s="148">
        <v>19</v>
      </c>
      <c r="AM29" s="148">
        <v>7</v>
      </c>
      <c r="AN29" s="29">
        <f t="shared" ref="AN29:AN38" si="50">AJ29+AK29+AL29+AM29</f>
        <v>37</v>
      </c>
      <c r="AO29" s="29">
        <f>P15-M15</f>
        <v>0</v>
      </c>
      <c r="AP29" s="21">
        <f t="shared" ref="AP29:AP38" si="51">AO29+AD29-AI29-AN29</f>
        <v>25882.026666666668</v>
      </c>
      <c r="AQ29" s="486"/>
      <c r="AR29" s="486"/>
      <c r="AS29" s="484"/>
      <c r="AT29" s="484"/>
      <c r="AU29" s="484"/>
      <c r="AV29" s="484"/>
      <c r="AW29" s="484"/>
      <c r="AX29" s="484"/>
      <c r="AY29" s="484"/>
      <c r="AZ29" s="484"/>
      <c r="BA29" s="484"/>
      <c r="BB29" s="484"/>
      <c r="BC29" s="484"/>
      <c r="BD29" s="484"/>
    </row>
    <row r="30" spans="1:56" s="46" customFormat="1" ht="17.25" customHeight="1">
      <c r="A30" s="484"/>
      <c r="B30" s="484"/>
      <c r="C30" s="484"/>
      <c r="D30" s="485"/>
      <c r="E30" s="485"/>
      <c r="F30" s="56" t="s">
        <v>175</v>
      </c>
      <c r="G30" s="12">
        <v>2</v>
      </c>
      <c r="H30" s="12" t="s">
        <v>212</v>
      </c>
      <c r="I30" s="12" t="s">
        <v>174</v>
      </c>
      <c r="J30" s="12">
        <v>44</v>
      </c>
      <c r="K30" s="12">
        <v>12</v>
      </c>
      <c r="L30" s="12"/>
      <c r="M30" s="12"/>
      <c r="N30" s="12"/>
      <c r="O30" s="12"/>
      <c r="P30" s="23">
        <f t="shared" si="44"/>
        <v>0</v>
      </c>
      <c r="Q30" s="493">
        <f>9.5*5000</f>
        <v>47500</v>
      </c>
      <c r="R30" s="493">
        <f t="shared" si="1"/>
        <v>47500</v>
      </c>
      <c r="S30" s="494">
        <v>0.49</v>
      </c>
      <c r="T30" s="485">
        <v>0.92</v>
      </c>
      <c r="U30" s="24">
        <f t="shared" si="45"/>
        <v>21413</v>
      </c>
      <c r="V30" s="148">
        <v>12</v>
      </c>
      <c r="W30" s="148">
        <v>14</v>
      </c>
      <c r="X30" s="23">
        <f t="shared" si="41"/>
        <v>26</v>
      </c>
      <c r="Y30" s="23">
        <v>0</v>
      </c>
      <c r="Z30" s="148">
        <v>11</v>
      </c>
      <c r="AA30" s="148">
        <v>6</v>
      </c>
      <c r="AB30" s="23">
        <f t="shared" si="46"/>
        <v>17</v>
      </c>
      <c r="AC30" s="24">
        <f t="shared" si="43"/>
        <v>98.04</v>
      </c>
      <c r="AD30" s="24">
        <f t="shared" si="47"/>
        <v>78416.293333333335</v>
      </c>
      <c r="AE30" s="148">
        <v>24</v>
      </c>
      <c r="AF30" s="148">
        <v>11</v>
      </c>
      <c r="AG30" s="26">
        <f t="shared" si="48"/>
        <v>35</v>
      </c>
      <c r="AH30" s="12"/>
      <c r="AI30" s="24">
        <f t="shared" si="49"/>
        <v>35</v>
      </c>
      <c r="AJ30" s="148">
        <v>0</v>
      </c>
      <c r="AK30" s="148">
        <v>11</v>
      </c>
      <c r="AL30" s="148">
        <v>19</v>
      </c>
      <c r="AM30" s="148">
        <v>7</v>
      </c>
      <c r="AN30" s="29">
        <f t="shared" si="50"/>
        <v>37</v>
      </c>
      <c r="AO30" s="29">
        <f t="shared" ref="AO30:AO31" si="52">P29-M29</f>
        <v>0</v>
      </c>
      <c r="AP30" s="21">
        <f t="shared" si="51"/>
        <v>78344.293333333335</v>
      </c>
      <c r="AQ30" s="486"/>
      <c r="AR30" s="486"/>
      <c r="AS30" s="484"/>
      <c r="AT30" s="484"/>
      <c r="AU30" s="484"/>
      <c r="AV30" s="484"/>
      <c r="AW30" s="484"/>
      <c r="AX30" s="484"/>
      <c r="AY30" s="484"/>
      <c r="AZ30" s="484"/>
      <c r="BA30" s="484"/>
      <c r="BB30" s="484"/>
      <c r="BC30" s="484"/>
      <c r="BD30" s="484"/>
    </row>
    <row r="31" spans="1:56" s="46" customFormat="1" ht="17.25" customHeight="1">
      <c r="A31" s="484"/>
      <c r="B31" s="484"/>
      <c r="C31" s="484"/>
      <c r="D31" s="485"/>
      <c r="E31" s="485"/>
      <c r="F31" s="20" t="s">
        <v>176</v>
      </c>
      <c r="G31" s="12">
        <v>2</v>
      </c>
      <c r="H31" s="12" t="s">
        <v>212</v>
      </c>
      <c r="I31" s="12" t="s">
        <v>174</v>
      </c>
      <c r="J31" s="12">
        <v>44</v>
      </c>
      <c r="K31" s="12">
        <v>12</v>
      </c>
      <c r="L31" s="12"/>
      <c r="M31" s="12"/>
      <c r="N31" s="12"/>
      <c r="O31" s="12"/>
      <c r="P31" s="23">
        <f t="shared" si="44"/>
        <v>0</v>
      </c>
      <c r="Q31" s="493">
        <f>1*5000</f>
        <v>5000</v>
      </c>
      <c r="R31" s="493">
        <f t="shared" si="1"/>
        <v>5000</v>
      </c>
      <c r="S31" s="494">
        <v>0.77</v>
      </c>
      <c r="T31" s="485">
        <v>0.92</v>
      </c>
      <c r="U31" s="24">
        <f t="shared" si="45"/>
        <v>3542</v>
      </c>
      <c r="V31" s="148">
        <v>12</v>
      </c>
      <c r="W31" s="148">
        <v>14</v>
      </c>
      <c r="X31" s="23">
        <f t="shared" si="41"/>
        <v>26</v>
      </c>
      <c r="Y31" s="23">
        <v>0</v>
      </c>
      <c r="Z31" s="148">
        <v>11</v>
      </c>
      <c r="AA31" s="148">
        <v>6</v>
      </c>
      <c r="AB31" s="23">
        <f t="shared" si="46"/>
        <v>17</v>
      </c>
      <c r="AC31" s="24">
        <f t="shared" si="43"/>
        <v>10.32</v>
      </c>
      <c r="AD31" s="24">
        <f t="shared" si="47"/>
        <v>12977.013333333334</v>
      </c>
      <c r="AE31" s="148">
        <v>24</v>
      </c>
      <c r="AF31" s="148">
        <v>11</v>
      </c>
      <c r="AG31" s="26">
        <f t="shared" si="48"/>
        <v>35</v>
      </c>
      <c r="AH31" s="12"/>
      <c r="AI31" s="24">
        <f t="shared" si="49"/>
        <v>35</v>
      </c>
      <c r="AJ31" s="148">
        <v>0</v>
      </c>
      <c r="AK31" s="148">
        <v>11</v>
      </c>
      <c r="AL31" s="148">
        <v>19</v>
      </c>
      <c r="AM31" s="148">
        <v>7</v>
      </c>
      <c r="AN31" s="29">
        <f t="shared" si="50"/>
        <v>37</v>
      </c>
      <c r="AO31" s="29">
        <f t="shared" si="52"/>
        <v>0</v>
      </c>
      <c r="AP31" s="21">
        <f t="shared" si="51"/>
        <v>12905.013333333334</v>
      </c>
      <c r="AQ31" s="486"/>
      <c r="AR31" s="486"/>
      <c r="AS31" s="484"/>
      <c r="AT31" s="484"/>
      <c r="AU31" s="484"/>
      <c r="AV31" s="484"/>
      <c r="AW31" s="484"/>
      <c r="AX31" s="484"/>
      <c r="AY31" s="484"/>
      <c r="AZ31" s="484"/>
      <c r="BA31" s="484"/>
      <c r="BB31" s="484"/>
      <c r="BC31" s="484"/>
      <c r="BD31" s="484"/>
    </row>
    <row r="32" spans="1:56" s="46" customFormat="1" ht="17.25" customHeight="1">
      <c r="A32" s="484"/>
      <c r="B32" s="484"/>
      <c r="C32" s="484"/>
      <c r="D32" s="485"/>
      <c r="E32" s="485"/>
      <c r="F32" s="20"/>
      <c r="G32" s="12"/>
      <c r="H32" s="12"/>
      <c r="I32" s="12"/>
      <c r="J32" s="12"/>
      <c r="K32" s="12"/>
      <c r="L32" s="12"/>
      <c r="M32" s="12"/>
      <c r="N32" s="12"/>
      <c r="O32" s="12"/>
      <c r="P32" s="23"/>
      <c r="Q32" s="493"/>
      <c r="R32" s="58">
        <f>SUM(R26:R31)</f>
        <v>125000</v>
      </c>
      <c r="S32" s="494"/>
      <c r="T32" s="485"/>
      <c r="U32" s="24"/>
      <c r="V32" s="149"/>
      <c r="W32" s="149"/>
      <c r="X32" s="108">
        <f>SUM(X26:X31)</f>
        <v>156</v>
      </c>
      <c r="Y32" s="108">
        <f>SUM(Y26:Y31)</f>
        <v>0</v>
      </c>
      <c r="Z32" s="149"/>
      <c r="AA32" s="149"/>
      <c r="AB32" s="108">
        <f>SUM(AB26:AB31)</f>
        <v>102</v>
      </c>
      <c r="AC32" s="108">
        <f>SUM(AC26:AC31)</f>
        <v>258</v>
      </c>
      <c r="AD32" s="24"/>
      <c r="AE32" s="150"/>
      <c r="AF32" s="150"/>
      <c r="AG32" s="26"/>
      <c r="AH32" s="12"/>
      <c r="AI32" s="24"/>
      <c r="AJ32" s="148"/>
      <c r="AK32" s="151"/>
      <c r="AL32" s="151"/>
      <c r="AM32" s="151"/>
      <c r="AN32" s="29"/>
      <c r="AO32" s="29"/>
      <c r="AP32" s="21"/>
      <c r="AQ32" s="486"/>
      <c r="AR32" s="486"/>
      <c r="AS32" s="484"/>
      <c r="AT32" s="484"/>
      <c r="AU32" s="484"/>
      <c r="AV32" s="484"/>
      <c r="AW32" s="484"/>
      <c r="AX32" s="484"/>
      <c r="AY32" s="484"/>
      <c r="AZ32" s="484"/>
      <c r="BA32" s="484"/>
      <c r="BB32" s="484"/>
      <c r="BC32" s="484"/>
      <c r="BD32" s="484"/>
    </row>
    <row r="33" spans="1:56" s="46" customFormat="1" ht="17.25" customHeight="1">
      <c r="A33" s="484"/>
      <c r="B33" s="484"/>
      <c r="C33" s="484"/>
      <c r="D33" s="485"/>
      <c r="E33" s="485"/>
      <c r="F33" s="20" t="s">
        <v>172</v>
      </c>
      <c r="G33" s="12">
        <v>2</v>
      </c>
      <c r="H33" s="12" t="s">
        <v>173</v>
      </c>
      <c r="I33" s="12" t="s">
        <v>213</v>
      </c>
      <c r="J33" s="12">
        <v>44</v>
      </c>
      <c r="K33" s="12">
        <v>12</v>
      </c>
      <c r="L33" s="12"/>
      <c r="M33" s="12"/>
      <c r="N33" s="12"/>
      <c r="O33" s="12"/>
      <c r="P33" s="23">
        <f t="shared" si="44"/>
        <v>0</v>
      </c>
      <c r="Q33" s="493">
        <f>2*5000</f>
        <v>10000</v>
      </c>
      <c r="R33" s="493">
        <f t="shared" si="1"/>
        <v>10000</v>
      </c>
      <c r="S33" s="147">
        <v>0.65</v>
      </c>
      <c r="T33" s="485">
        <v>0.89</v>
      </c>
      <c r="U33" s="24">
        <f t="shared" si="45"/>
        <v>5785</v>
      </c>
      <c r="V33" s="148">
        <v>8</v>
      </c>
      <c r="W33" s="148">
        <v>9</v>
      </c>
      <c r="X33" s="23">
        <f t="shared" ref="X33:X38" si="53">V33+W33</f>
        <v>17</v>
      </c>
      <c r="Y33" s="23">
        <v>0</v>
      </c>
      <c r="Z33" s="148">
        <v>7</v>
      </c>
      <c r="AA33" s="148">
        <v>4</v>
      </c>
      <c r="AB33" s="23">
        <f t="shared" si="46"/>
        <v>11</v>
      </c>
      <c r="AC33" s="24">
        <f>($X$39+$Y$39+$AB$39)*(Q33/$R$39)</f>
        <v>13.44</v>
      </c>
      <c r="AD33" s="24">
        <f t="shared" si="47"/>
        <v>21198.226666666669</v>
      </c>
      <c r="AE33" s="148">
        <v>15</v>
      </c>
      <c r="AF33" s="148">
        <v>19</v>
      </c>
      <c r="AG33" s="26">
        <f t="shared" si="48"/>
        <v>34</v>
      </c>
      <c r="AH33" s="12"/>
      <c r="AI33" s="24">
        <f t="shared" si="49"/>
        <v>34</v>
      </c>
      <c r="AJ33" s="148">
        <v>0</v>
      </c>
      <c r="AK33" s="148">
        <v>11</v>
      </c>
      <c r="AL33" s="148">
        <v>19</v>
      </c>
      <c r="AM33" s="148">
        <v>7</v>
      </c>
      <c r="AN33" s="29">
        <f t="shared" si="50"/>
        <v>37</v>
      </c>
      <c r="AO33" s="29">
        <f>P19-M19</f>
        <v>0</v>
      </c>
      <c r="AP33" s="21">
        <f t="shared" si="51"/>
        <v>21127.226666666669</v>
      </c>
      <c r="AQ33" s="486"/>
      <c r="AR33" s="486"/>
      <c r="AS33" s="484"/>
      <c r="AT33" s="484"/>
      <c r="AU33" s="484"/>
      <c r="AV33" s="484"/>
      <c r="AW33" s="484"/>
      <c r="AX33" s="484"/>
      <c r="AY33" s="484"/>
      <c r="AZ33" s="484"/>
      <c r="BA33" s="484"/>
      <c r="BB33" s="484"/>
      <c r="BC33" s="484"/>
      <c r="BD33" s="484"/>
    </row>
    <row r="34" spans="1:56" s="46" customFormat="1" ht="17.25" customHeight="1">
      <c r="A34" s="484"/>
      <c r="B34" s="484"/>
      <c r="C34" s="484"/>
      <c r="D34" s="485"/>
      <c r="E34" s="485"/>
      <c r="F34" s="56" t="s">
        <v>175</v>
      </c>
      <c r="G34" s="12">
        <v>2</v>
      </c>
      <c r="H34" s="12" t="s">
        <v>173</v>
      </c>
      <c r="I34" s="12" t="s">
        <v>213</v>
      </c>
      <c r="J34" s="12">
        <v>44</v>
      </c>
      <c r="K34" s="12">
        <v>12</v>
      </c>
      <c r="L34" s="12"/>
      <c r="M34" s="12"/>
      <c r="N34" s="12"/>
      <c r="O34" s="12"/>
      <c r="P34" s="23">
        <f t="shared" si="44"/>
        <v>0</v>
      </c>
      <c r="Q34" s="493">
        <f>9.5*5000</f>
        <v>47500</v>
      </c>
      <c r="R34" s="493">
        <f t="shared" si="1"/>
        <v>47500</v>
      </c>
      <c r="S34" s="147">
        <v>0.72</v>
      </c>
      <c r="T34" s="494">
        <v>0.89</v>
      </c>
      <c r="U34" s="24">
        <f t="shared" si="45"/>
        <v>30438</v>
      </c>
      <c r="V34" s="148">
        <v>8</v>
      </c>
      <c r="W34" s="148">
        <v>9</v>
      </c>
      <c r="X34" s="23">
        <f t="shared" si="53"/>
        <v>17</v>
      </c>
      <c r="Y34" s="23">
        <v>0</v>
      </c>
      <c r="Z34" s="148">
        <v>7</v>
      </c>
      <c r="AA34" s="148">
        <v>4</v>
      </c>
      <c r="AB34" s="23">
        <f t="shared" si="46"/>
        <v>11</v>
      </c>
      <c r="AC34" s="24">
        <f>($X$39+$Y$39+$AB$39)*(Q34/$R$39)</f>
        <v>63.84</v>
      </c>
      <c r="AD34" s="24">
        <f t="shared" si="47"/>
        <v>111542.16</v>
      </c>
      <c r="AE34" s="148">
        <v>15</v>
      </c>
      <c r="AF34" s="148">
        <v>19</v>
      </c>
      <c r="AG34" s="26">
        <f t="shared" si="48"/>
        <v>34</v>
      </c>
      <c r="AH34" s="12"/>
      <c r="AI34" s="24">
        <f t="shared" si="49"/>
        <v>34</v>
      </c>
      <c r="AJ34" s="148">
        <v>0</v>
      </c>
      <c r="AK34" s="148">
        <v>11</v>
      </c>
      <c r="AL34" s="148">
        <v>19</v>
      </c>
      <c r="AM34" s="148">
        <v>7</v>
      </c>
      <c r="AN34" s="29">
        <f t="shared" si="50"/>
        <v>37</v>
      </c>
      <c r="AO34" s="29">
        <f>P33-M33</f>
        <v>0</v>
      </c>
      <c r="AP34" s="21">
        <f t="shared" si="51"/>
        <v>111471.16</v>
      </c>
      <c r="AQ34" s="486"/>
      <c r="AR34" s="486"/>
      <c r="AS34" s="484"/>
      <c r="AT34" s="484"/>
      <c r="AU34" s="484"/>
      <c r="AV34" s="484"/>
      <c r="AW34" s="484"/>
      <c r="AX34" s="484"/>
      <c r="AY34" s="484"/>
      <c r="AZ34" s="484"/>
      <c r="BA34" s="484"/>
      <c r="BB34" s="484"/>
      <c r="BC34" s="484"/>
      <c r="BD34" s="484"/>
    </row>
    <row r="35" spans="1:56" s="46" customFormat="1" ht="17.25" customHeight="1">
      <c r="A35" s="484"/>
      <c r="B35" s="484"/>
      <c r="C35" s="484"/>
      <c r="D35" s="485"/>
      <c r="E35" s="485"/>
      <c r="F35" s="20" t="s">
        <v>176</v>
      </c>
      <c r="G35" s="12">
        <v>2</v>
      </c>
      <c r="H35" s="12" t="s">
        <v>173</v>
      </c>
      <c r="I35" s="12" t="s">
        <v>213</v>
      </c>
      <c r="J35" s="12">
        <v>44</v>
      </c>
      <c r="K35" s="12">
        <v>12</v>
      </c>
      <c r="L35" s="12"/>
      <c r="M35" s="12"/>
      <c r="N35" s="12"/>
      <c r="O35" s="12"/>
      <c r="P35" s="23">
        <f t="shared" si="44"/>
        <v>0</v>
      </c>
      <c r="Q35" s="493">
        <f>1*5000</f>
        <v>5000</v>
      </c>
      <c r="R35" s="493">
        <f t="shared" si="1"/>
        <v>5000</v>
      </c>
      <c r="S35" s="147">
        <v>0.79</v>
      </c>
      <c r="T35" s="494">
        <v>0.89</v>
      </c>
      <c r="U35" s="24">
        <f t="shared" si="45"/>
        <v>3515.5</v>
      </c>
      <c r="V35" s="148">
        <v>8</v>
      </c>
      <c r="W35" s="148">
        <v>9</v>
      </c>
      <c r="X35" s="23">
        <f t="shared" si="53"/>
        <v>17</v>
      </c>
      <c r="Y35" s="23">
        <v>0</v>
      </c>
      <c r="Z35" s="148">
        <v>7</v>
      </c>
      <c r="AA35" s="148">
        <v>4</v>
      </c>
      <c r="AB35" s="23">
        <f t="shared" si="46"/>
        <v>11</v>
      </c>
      <c r="AC35" s="24">
        <f t="shared" ref="AC35:AC38" si="54">($X$39+$Y$39+$AB$39)*(Q35/$R$39)</f>
        <v>6.72</v>
      </c>
      <c r="AD35" s="24">
        <f t="shared" si="47"/>
        <v>12883.446666666667</v>
      </c>
      <c r="AE35" s="148">
        <v>15</v>
      </c>
      <c r="AF35" s="148">
        <v>19</v>
      </c>
      <c r="AG35" s="26">
        <f t="shared" si="48"/>
        <v>34</v>
      </c>
      <c r="AH35" s="12"/>
      <c r="AI35" s="24">
        <f t="shared" si="49"/>
        <v>34</v>
      </c>
      <c r="AJ35" s="148">
        <v>0</v>
      </c>
      <c r="AK35" s="148">
        <v>11</v>
      </c>
      <c r="AL35" s="148">
        <v>19</v>
      </c>
      <c r="AM35" s="148">
        <v>7</v>
      </c>
      <c r="AN35" s="29">
        <f t="shared" si="50"/>
        <v>37</v>
      </c>
      <c r="AO35" s="29">
        <f t="shared" ref="AO35" si="55">P34-M34</f>
        <v>0</v>
      </c>
      <c r="AP35" s="21">
        <f t="shared" si="51"/>
        <v>12812.446666666667</v>
      </c>
      <c r="AQ35" s="486"/>
      <c r="AR35" s="486"/>
      <c r="AS35" s="484"/>
      <c r="AT35" s="484"/>
      <c r="AU35" s="484"/>
      <c r="AV35" s="484"/>
      <c r="AW35" s="484"/>
      <c r="AX35" s="484"/>
      <c r="AY35" s="484"/>
      <c r="AZ35" s="484"/>
      <c r="BA35" s="484"/>
      <c r="BB35" s="484"/>
      <c r="BC35" s="484"/>
      <c r="BD35" s="484"/>
    </row>
    <row r="36" spans="1:56" s="46" customFormat="1" ht="17.25" customHeight="1">
      <c r="A36" s="484"/>
      <c r="B36" s="484"/>
      <c r="C36" s="484"/>
      <c r="D36" s="485"/>
      <c r="E36" s="485"/>
      <c r="F36" s="20" t="s">
        <v>172</v>
      </c>
      <c r="G36" s="12">
        <v>2</v>
      </c>
      <c r="H36" s="12" t="s">
        <v>212</v>
      </c>
      <c r="I36" s="12" t="s">
        <v>213</v>
      </c>
      <c r="J36" s="12">
        <v>44</v>
      </c>
      <c r="K36" s="12">
        <v>12</v>
      </c>
      <c r="L36" s="12"/>
      <c r="M36" s="12"/>
      <c r="N36" s="12"/>
      <c r="O36" s="12"/>
      <c r="P36" s="23">
        <f t="shared" si="44"/>
        <v>0</v>
      </c>
      <c r="Q36" s="493">
        <f>2*5000</f>
        <v>10000</v>
      </c>
      <c r="R36" s="493">
        <f t="shared" si="1"/>
        <v>10000</v>
      </c>
      <c r="S36" s="147">
        <v>0.65</v>
      </c>
      <c r="T36" s="485">
        <v>0.92</v>
      </c>
      <c r="U36" s="24">
        <f t="shared" si="45"/>
        <v>5980</v>
      </c>
      <c r="V36" s="148">
        <v>8</v>
      </c>
      <c r="W36" s="148">
        <v>9</v>
      </c>
      <c r="X36" s="23">
        <f t="shared" si="53"/>
        <v>17</v>
      </c>
      <c r="Y36" s="23">
        <v>0</v>
      </c>
      <c r="Z36" s="148">
        <v>7</v>
      </c>
      <c r="AA36" s="148">
        <v>4</v>
      </c>
      <c r="AB36" s="23">
        <f t="shared" si="46"/>
        <v>11</v>
      </c>
      <c r="AC36" s="24">
        <f t="shared" si="54"/>
        <v>13.44</v>
      </c>
      <c r="AD36" s="24">
        <f t="shared" si="47"/>
        <v>21913.226666666669</v>
      </c>
      <c r="AE36" s="148">
        <v>24</v>
      </c>
      <c r="AF36" s="148">
        <v>11</v>
      </c>
      <c r="AG36" s="26">
        <f t="shared" si="48"/>
        <v>35</v>
      </c>
      <c r="AH36" s="12"/>
      <c r="AI36" s="24">
        <f t="shared" si="49"/>
        <v>35</v>
      </c>
      <c r="AJ36" s="148">
        <v>0</v>
      </c>
      <c r="AK36" s="148">
        <v>11</v>
      </c>
      <c r="AL36" s="148">
        <v>19</v>
      </c>
      <c r="AM36" s="148">
        <v>7</v>
      </c>
      <c r="AN36" s="29">
        <f t="shared" si="50"/>
        <v>37</v>
      </c>
      <c r="AO36" s="29">
        <f>P22-M22</f>
        <v>0</v>
      </c>
      <c r="AP36" s="21">
        <f t="shared" si="51"/>
        <v>21841.226666666669</v>
      </c>
      <c r="AQ36" s="486"/>
      <c r="AR36" s="486"/>
      <c r="AS36" s="484"/>
      <c r="AT36" s="484"/>
      <c r="AU36" s="484"/>
      <c r="AV36" s="484"/>
      <c r="AW36" s="484"/>
      <c r="AX36" s="484"/>
      <c r="AY36" s="484"/>
      <c r="AZ36" s="484"/>
      <c r="BA36" s="484"/>
      <c r="BB36" s="484"/>
      <c r="BC36" s="484"/>
      <c r="BD36" s="484"/>
    </row>
    <row r="37" spans="1:56" s="46" customFormat="1" ht="17.25" customHeight="1">
      <c r="A37" s="484"/>
      <c r="B37" s="484"/>
      <c r="C37" s="484"/>
      <c r="D37" s="485"/>
      <c r="E37" s="485"/>
      <c r="F37" s="56" t="s">
        <v>175</v>
      </c>
      <c r="G37" s="12">
        <v>2</v>
      </c>
      <c r="H37" s="12" t="s">
        <v>212</v>
      </c>
      <c r="I37" s="12" t="s">
        <v>213</v>
      </c>
      <c r="J37" s="12">
        <v>44</v>
      </c>
      <c r="K37" s="12">
        <v>12</v>
      </c>
      <c r="L37" s="12"/>
      <c r="M37" s="12"/>
      <c r="N37" s="12"/>
      <c r="O37" s="12"/>
      <c r="P37" s="23">
        <f t="shared" si="44"/>
        <v>0</v>
      </c>
      <c r="Q37" s="493">
        <f>9.5*5000</f>
        <v>47500</v>
      </c>
      <c r="R37" s="493">
        <f t="shared" si="1"/>
        <v>47500</v>
      </c>
      <c r="S37" s="147">
        <v>0.72</v>
      </c>
      <c r="T37" s="485">
        <v>0.92</v>
      </c>
      <c r="U37" s="24">
        <f t="shared" si="45"/>
        <v>31464</v>
      </c>
      <c r="V37" s="148">
        <v>8</v>
      </c>
      <c r="W37" s="148">
        <v>9</v>
      </c>
      <c r="X37" s="23">
        <f t="shared" si="53"/>
        <v>17</v>
      </c>
      <c r="Y37" s="23">
        <v>0</v>
      </c>
      <c r="Z37" s="148">
        <v>7</v>
      </c>
      <c r="AA37" s="148">
        <v>4</v>
      </c>
      <c r="AB37" s="23">
        <f t="shared" si="46"/>
        <v>11</v>
      </c>
      <c r="AC37" s="24">
        <f t="shared" si="54"/>
        <v>63.84</v>
      </c>
      <c r="AD37" s="24">
        <f t="shared" si="47"/>
        <v>115304.16</v>
      </c>
      <c r="AE37" s="148">
        <v>24</v>
      </c>
      <c r="AF37" s="148">
        <v>11</v>
      </c>
      <c r="AG37" s="26">
        <f t="shared" si="48"/>
        <v>35</v>
      </c>
      <c r="AH37" s="12"/>
      <c r="AI37" s="24">
        <f t="shared" si="49"/>
        <v>35</v>
      </c>
      <c r="AJ37" s="148">
        <v>0</v>
      </c>
      <c r="AK37" s="148">
        <v>11</v>
      </c>
      <c r="AL37" s="148">
        <v>19</v>
      </c>
      <c r="AM37" s="148">
        <v>7</v>
      </c>
      <c r="AN37" s="29">
        <f t="shared" si="50"/>
        <v>37</v>
      </c>
      <c r="AO37" s="29">
        <f t="shared" ref="AO37:AO38" si="56">P36-M36</f>
        <v>0</v>
      </c>
      <c r="AP37" s="21">
        <f t="shared" si="51"/>
        <v>115232.16</v>
      </c>
      <c r="AQ37" s="486"/>
      <c r="AR37" s="486"/>
      <c r="AS37" s="484"/>
      <c r="AT37" s="484"/>
      <c r="AU37" s="484"/>
      <c r="AV37" s="484"/>
      <c r="AW37" s="484"/>
      <c r="AX37" s="484"/>
      <c r="AY37" s="484"/>
      <c r="AZ37" s="484"/>
      <c r="BA37" s="484"/>
      <c r="BB37" s="484"/>
      <c r="BC37" s="484"/>
      <c r="BD37" s="484"/>
    </row>
    <row r="38" spans="1:56" s="46" customFormat="1" ht="17.25" customHeight="1">
      <c r="A38" s="484"/>
      <c r="B38" s="484"/>
      <c r="C38" s="484"/>
      <c r="D38" s="485"/>
      <c r="E38" s="485"/>
      <c r="F38" s="20" t="s">
        <v>176</v>
      </c>
      <c r="G38" s="12">
        <v>2</v>
      </c>
      <c r="H38" s="12" t="s">
        <v>212</v>
      </c>
      <c r="I38" s="12" t="s">
        <v>213</v>
      </c>
      <c r="J38" s="12">
        <v>44</v>
      </c>
      <c r="K38" s="12">
        <v>12</v>
      </c>
      <c r="L38" s="12"/>
      <c r="M38" s="12"/>
      <c r="N38" s="12"/>
      <c r="O38" s="12"/>
      <c r="P38" s="23">
        <f t="shared" si="44"/>
        <v>0</v>
      </c>
      <c r="Q38" s="493">
        <f>1*5000</f>
        <v>5000</v>
      </c>
      <c r="R38" s="493">
        <f t="shared" si="1"/>
        <v>5000</v>
      </c>
      <c r="S38" s="147">
        <v>0.79</v>
      </c>
      <c r="T38" s="485">
        <v>0.92</v>
      </c>
      <c r="U38" s="24">
        <f t="shared" si="45"/>
        <v>3634</v>
      </c>
      <c r="V38" s="148">
        <v>8</v>
      </c>
      <c r="W38" s="148">
        <v>9</v>
      </c>
      <c r="X38" s="23">
        <f t="shared" si="53"/>
        <v>17</v>
      </c>
      <c r="Y38" s="23">
        <v>0</v>
      </c>
      <c r="Z38" s="148">
        <v>7</v>
      </c>
      <c r="AA38" s="148">
        <v>4</v>
      </c>
      <c r="AB38" s="23">
        <f t="shared" si="46"/>
        <v>11</v>
      </c>
      <c r="AC38" s="24">
        <f t="shared" si="54"/>
        <v>6.72</v>
      </c>
      <c r="AD38" s="24">
        <f t="shared" si="47"/>
        <v>13317.946666666667</v>
      </c>
      <c r="AE38" s="148">
        <v>24</v>
      </c>
      <c r="AF38" s="148">
        <v>11</v>
      </c>
      <c r="AG38" s="26">
        <f t="shared" si="48"/>
        <v>35</v>
      </c>
      <c r="AH38" s="12"/>
      <c r="AI38" s="24">
        <f t="shared" si="49"/>
        <v>35</v>
      </c>
      <c r="AJ38" s="148">
        <v>0</v>
      </c>
      <c r="AK38" s="148">
        <v>11</v>
      </c>
      <c r="AL38" s="148">
        <v>19</v>
      </c>
      <c r="AM38" s="148">
        <v>7</v>
      </c>
      <c r="AN38" s="29">
        <f t="shared" si="50"/>
        <v>37</v>
      </c>
      <c r="AO38" s="29">
        <f t="shared" si="56"/>
        <v>0</v>
      </c>
      <c r="AP38" s="21">
        <f t="shared" si="51"/>
        <v>13245.946666666667</v>
      </c>
      <c r="AQ38" s="486"/>
      <c r="AR38" s="486"/>
      <c r="AS38" s="484"/>
      <c r="AT38" s="484"/>
      <c r="AU38" s="484"/>
      <c r="AV38" s="484"/>
      <c r="AW38" s="484"/>
      <c r="AX38" s="484"/>
      <c r="AY38" s="484"/>
      <c r="AZ38" s="484"/>
      <c r="BA38" s="484"/>
      <c r="BB38" s="484"/>
      <c r="BC38" s="484"/>
      <c r="BD38" s="484"/>
    </row>
    <row r="39" spans="1:56" ht="16" thickBot="1">
      <c r="A39" s="484"/>
      <c r="B39" s="484"/>
      <c r="C39" s="484"/>
      <c r="D39" s="485"/>
      <c r="E39" s="485"/>
      <c r="F39" s="495"/>
      <c r="G39" s="496"/>
      <c r="H39" s="496"/>
      <c r="I39" s="496"/>
      <c r="J39" s="496"/>
      <c r="K39" s="496"/>
      <c r="L39" s="496"/>
      <c r="M39" s="496"/>
      <c r="N39" s="496"/>
      <c r="O39" s="496"/>
      <c r="P39" s="496"/>
      <c r="Q39" s="496"/>
      <c r="R39" s="59">
        <f>SUM(R33:R38)</f>
        <v>125000</v>
      </c>
      <c r="S39" s="496"/>
      <c r="T39" s="496"/>
      <c r="U39" s="496"/>
      <c r="V39" s="109"/>
      <c r="W39" s="109"/>
      <c r="X39" s="110">
        <f>SUM(X33:X38)</f>
        <v>102</v>
      </c>
      <c r="Y39" s="110">
        <f>SUM(Y33:Y38)</f>
        <v>0</v>
      </c>
      <c r="Z39" s="109"/>
      <c r="AA39" s="109"/>
      <c r="AB39" s="110">
        <f>SUM(AB33:AB38)</f>
        <v>66</v>
      </c>
      <c r="AC39" s="110">
        <f>SUM(AC33:AC38)</f>
        <v>168</v>
      </c>
      <c r="AD39" s="496"/>
      <c r="AE39" s="496"/>
      <c r="AF39" s="496"/>
      <c r="AG39" s="496"/>
      <c r="AH39" s="496"/>
      <c r="AI39" s="496"/>
      <c r="AJ39" s="497"/>
      <c r="AK39" s="60"/>
      <c r="AL39" s="61"/>
      <c r="AM39" s="61"/>
      <c r="AN39" s="61"/>
      <c r="AO39" s="62"/>
      <c r="AP39" s="498"/>
      <c r="AQ39" s="11"/>
      <c r="AR39" s="484"/>
      <c r="AS39" s="484"/>
      <c r="AT39" s="484"/>
      <c r="AU39" s="484"/>
      <c r="AV39" s="484"/>
      <c r="AW39" s="484"/>
      <c r="AX39" s="484"/>
      <c r="AY39" s="484"/>
      <c r="AZ39" s="484"/>
      <c r="BA39" s="484"/>
      <c r="BB39" s="484"/>
      <c r="BC39" s="484"/>
      <c r="BD39" s="484"/>
    </row>
    <row r="40" spans="1:56" s="46" customFormat="1">
      <c r="A40" s="484"/>
      <c r="B40" s="484"/>
      <c r="C40" s="484"/>
      <c r="D40" s="485"/>
      <c r="E40" s="485"/>
      <c r="F40" s="54" t="s">
        <v>214</v>
      </c>
      <c r="G40" s="485"/>
      <c r="H40" s="485"/>
      <c r="I40" s="485"/>
      <c r="J40" s="485"/>
      <c r="K40" s="485"/>
      <c r="L40" s="485"/>
      <c r="M40" s="485"/>
      <c r="N40" s="485"/>
      <c r="O40" s="485"/>
      <c r="P40" s="485"/>
      <c r="Q40" s="485"/>
      <c r="R40" s="485"/>
      <c r="S40" s="485"/>
      <c r="T40" s="485"/>
      <c r="U40" s="485"/>
      <c r="V40" s="485"/>
      <c r="W40" s="485"/>
      <c r="X40" s="485"/>
      <c r="Y40" s="485"/>
      <c r="Z40" s="485"/>
      <c r="AA40" s="485"/>
      <c r="AB40" s="485"/>
      <c r="AC40" s="485"/>
      <c r="AD40" s="485"/>
      <c r="AE40" s="485"/>
      <c r="AF40" s="485"/>
      <c r="AG40" s="485"/>
      <c r="AH40" s="485"/>
      <c r="AI40" s="485"/>
      <c r="AJ40" s="486"/>
      <c r="AK40" s="8"/>
      <c r="AL40" s="9"/>
      <c r="AM40" s="10"/>
      <c r="AN40" s="10"/>
      <c r="AO40" s="7"/>
      <c r="AP40" s="57">
        <f>SUM(AP12:AP38)</f>
        <v>1052060.1666666665</v>
      </c>
      <c r="AQ40" s="6"/>
      <c r="AR40" s="484"/>
      <c r="AS40" s="484"/>
      <c r="AT40" s="484"/>
      <c r="AU40" s="484"/>
      <c r="AV40" s="484"/>
      <c r="AW40" s="484"/>
      <c r="AX40" s="484"/>
      <c r="AY40" s="484"/>
      <c r="AZ40" s="484"/>
      <c r="BA40" s="484"/>
      <c r="BB40" s="484"/>
      <c r="BC40" s="484"/>
      <c r="BD40" s="484"/>
    </row>
    <row r="41" spans="1:56" s="46" customFormat="1" ht="16" thickBot="1">
      <c r="A41" s="484"/>
      <c r="B41" s="484"/>
      <c r="C41" s="484"/>
      <c r="D41" s="485"/>
      <c r="E41" s="485"/>
      <c r="F41" s="54" t="s">
        <v>215</v>
      </c>
      <c r="G41" s="485"/>
      <c r="H41" s="485"/>
      <c r="I41" s="485"/>
      <c r="J41" s="485"/>
      <c r="K41" s="485"/>
      <c r="L41" s="485"/>
      <c r="M41" s="485"/>
      <c r="N41" s="485"/>
      <c r="O41" s="485"/>
      <c r="P41" s="485"/>
      <c r="Q41" s="485"/>
      <c r="R41" s="485"/>
      <c r="S41" s="485"/>
      <c r="T41" s="485"/>
      <c r="U41" s="485"/>
      <c r="V41" s="485"/>
      <c r="W41" s="485"/>
      <c r="X41" s="485"/>
      <c r="Y41" s="485"/>
      <c r="Z41" s="485"/>
      <c r="AA41" s="485"/>
      <c r="AB41" s="485"/>
      <c r="AC41" s="485"/>
      <c r="AD41" s="485"/>
      <c r="AE41" s="485"/>
      <c r="AF41" s="485"/>
      <c r="AG41" s="485"/>
      <c r="AH41" s="485"/>
      <c r="AI41" s="485"/>
      <c r="AJ41" s="486"/>
      <c r="AK41" s="485"/>
      <c r="AL41" s="486"/>
      <c r="AM41" s="486"/>
      <c r="AN41" s="486"/>
      <c r="AO41" s="500"/>
      <c r="AP41" s="500"/>
      <c r="AQ41" s="6"/>
      <c r="AR41" s="484"/>
      <c r="AS41" s="484"/>
      <c r="AT41" s="484"/>
      <c r="AU41" s="484"/>
      <c r="AV41" s="484"/>
      <c r="AW41" s="484"/>
      <c r="AX41" s="484"/>
      <c r="AY41" s="484"/>
      <c r="AZ41" s="484"/>
      <c r="BA41" s="484"/>
      <c r="BB41" s="484"/>
      <c r="BC41" s="484"/>
      <c r="BD41" s="484"/>
    </row>
    <row r="42" spans="1:56" ht="16" thickBot="1">
      <c r="A42" s="484"/>
      <c r="B42" s="484"/>
      <c r="C42" s="484"/>
      <c r="D42" s="484"/>
      <c r="E42" s="485"/>
      <c r="F42" s="485"/>
      <c r="G42" s="485"/>
      <c r="H42" s="485"/>
      <c r="I42" s="485"/>
      <c r="J42" s="485"/>
      <c r="K42" s="485"/>
      <c r="L42" s="485"/>
      <c r="M42" s="485"/>
      <c r="N42" s="485"/>
      <c r="O42" s="485"/>
      <c r="P42" s="485"/>
      <c r="Q42" s="485"/>
      <c r="R42" s="485"/>
      <c r="S42" s="485"/>
      <c r="T42" s="485"/>
      <c r="U42" s="485"/>
      <c r="V42" s="485"/>
      <c r="W42" s="485"/>
      <c r="X42" s="485"/>
      <c r="Y42" s="485"/>
      <c r="Z42" s="485"/>
      <c r="AA42" s="485"/>
      <c r="AB42" s="485"/>
      <c r="AC42" s="485"/>
      <c r="AD42" s="485"/>
      <c r="AE42" s="485"/>
      <c r="AF42" s="485"/>
      <c r="AG42" s="485"/>
      <c r="AH42" s="486"/>
      <c r="AI42" s="486"/>
      <c r="AJ42" s="486"/>
      <c r="AK42" s="578"/>
      <c r="AL42" s="484"/>
      <c r="AM42" s="484"/>
      <c r="AN42" s="484"/>
      <c r="AO42" s="484"/>
      <c r="AP42" s="484"/>
      <c r="AQ42" s="579"/>
      <c r="AR42" s="484"/>
      <c r="AS42" s="484"/>
      <c r="AT42" s="484"/>
      <c r="AU42" s="484"/>
      <c r="AV42" s="484"/>
      <c r="AW42" s="484"/>
      <c r="AX42" s="484"/>
      <c r="AY42" s="484"/>
      <c r="AZ42" s="484"/>
      <c r="BA42" s="484"/>
      <c r="BB42" s="484"/>
      <c r="BC42" s="484"/>
      <c r="BD42" s="484"/>
    </row>
    <row r="43" spans="1:56">
      <c r="A43" s="484"/>
      <c r="B43" s="484"/>
      <c r="C43" s="484"/>
      <c r="D43" s="484"/>
      <c r="E43" s="485"/>
      <c r="F43" s="485" t="s">
        <v>184</v>
      </c>
      <c r="G43" s="485"/>
      <c r="H43" s="485"/>
      <c r="I43" s="485"/>
      <c r="J43" s="485"/>
      <c r="K43" s="485"/>
      <c r="L43" s="485"/>
      <c r="M43" s="485"/>
      <c r="N43" s="485"/>
      <c r="O43" s="485"/>
      <c r="P43" s="485"/>
      <c r="Q43" s="485"/>
      <c r="R43" s="485"/>
      <c r="S43" s="485"/>
      <c r="T43" s="485"/>
      <c r="U43" s="485"/>
      <c r="V43" s="485"/>
      <c r="W43" s="485"/>
      <c r="X43" s="485"/>
      <c r="Y43" s="485"/>
      <c r="Z43" s="485"/>
      <c r="AA43" s="485"/>
      <c r="AB43" s="485"/>
      <c r="AC43" s="485"/>
      <c r="AD43" s="485"/>
      <c r="AE43" s="485"/>
      <c r="AF43" s="485"/>
      <c r="AG43" s="485"/>
      <c r="AH43" s="486"/>
      <c r="AI43" s="486"/>
      <c r="AJ43" s="486"/>
      <c r="AK43" s="484"/>
      <c r="AL43" s="484"/>
      <c r="AM43" s="484"/>
      <c r="AN43" s="484"/>
      <c r="AO43" s="484"/>
      <c r="AP43" s="484"/>
      <c r="AQ43" s="484"/>
      <c r="AR43" s="484"/>
      <c r="AS43" s="484"/>
      <c r="AT43" s="484"/>
      <c r="AU43" s="484"/>
      <c r="AV43" s="484"/>
      <c r="AW43" s="484"/>
      <c r="AX43" s="484"/>
      <c r="AY43" s="484"/>
      <c r="AZ43" s="484"/>
      <c r="BA43" s="484"/>
      <c r="BB43" s="484"/>
      <c r="BC43" s="484"/>
      <c r="BD43" s="484"/>
    </row>
    <row r="44" spans="1:56" ht="16" thickBot="1">
      <c r="A44" s="484"/>
      <c r="B44" s="484"/>
      <c r="C44" s="484"/>
      <c r="D44" s="484"/>
      <c r="E44" s="485"/>
      <c r="F44" s="485"/>
      <c r="G44" s="485"/>
      <c r="H44" s="485"/>
      <c r="I44" s="485"/>
      <c r="J44" s="485"/>
      <c r="K44" s="485"/>
      <c r="L44" s="485"/>
      <c r="M44" s="653"/>
      <c r="N44" s="653"/>
      <c r="O44" s="653"/>
      <c r="P44" s="653"/>
      <c r="Q44" s="653"/>
      <c r="R44" s="485"/>
      <c r="S44" s="485"/>
      <c r="T44" s="485"/>
      <c r="U44" s="485"/>
      <c r="V44" s="485"/>
      <c r="W44" s="485"/>
      <c r="X44" s="485"/>
      <c r="Y44" s="485"/>
      <c r="Z44" s="654"/>
      <c r="AA44" s="654"/>
      <c r="AB44" s="654"/>
      <c r="AC44" s="654"/>
      <c r="AD44" s="654"/>
      <c r="AE44" s="654"/>
      <c r="AF44" s="654"/>
      <c r="AG44" s="653"/>
      <c r="AH44" s="653"/>
      <c r="AI44" s="653"/>
      <c r="AJ44" s="653"/>
      <c r="AK44" s="653"/>
      <c r="AL44" s="484"/>
      <c r="AM44" s="484"/>
      <c r="AN44" s="484"/>
      <c r="AO44" s="484"/>
      <c r="AP44" s="484"/>
      <c r="AQ44" s="484"/>
      <c r="AR44" s="484"/>
      <c r="AS44" s="484"/>
      <c r="AT44" s="484"/>
      <c r="AU44" s="484"/>
      <c r="AV44" s="499">
        <f>AP40+AS78</f>
        <v>1275224.833333333</v>
      </c>
      <c r="AW44" s="484"/>
      <c r="AX44" s="484"/>
      <c r="AY44" s="484"/>
      <c r="AZ44" s="484"/>
      <c r="BA44" s="484"/>
      <c r="BB44" s="484"/>
      <c r="BC44" s="484"/>
      <c r="BD44" s="484"/>
    </row>
    <row r="45" spans="1:56">
      <c r="A45" s="484"/>
      <c r="B45" s="484"/>
      <c r="C45" s="484"/>
      <c r="D45" s="484"/>
      <c r="E45" s="485"/>
      <c r="F45" s="560"/>
      <c r="G45" s="516"/>
      <c r="H45" s="516"/>
      <c r="I45" s="516"/>
      <c r="J45" s="516"/>
      <c r="K45" s="516"/>
      <c r="L45" s="516"/>
      <c r="M45" s="516"/>
      <c r="N45" s="516"/>
      <c r="O45" s="516"/>
      <c r="P45" s="516"/>
      <c r="Q45" s="561"/>
      <c r="R45" s="516"/>
      <c r="S45" s="516"/>
      <c r="T45" s="516"/>
      <c r="U45" s="516"/>
      <c r="V45" s="516"/>
      <c r="W45" s="516"/>
      <c r="X45" s="561"/>
      <c r="Y45" s="561"/>
      <c r="Z45" s="561"/>
      <c r="AA45" s="516"/>
      <c r="AB45" s="562"/>
      <c r="AC45" s="516"/>
      <c r="AD45" s="516"/>
      <c r="AE45" s="561"/>
      <c r="AF45" s="561"/>
      <c r="AG45" s="561"/>
      <c r="AH45" s="516"/>
      <c r="AI45" s="516"/>
      <c r="AJ45" s="561"/>
      <c r="AK45" s="516"/>
      <c r="AL45" s="561"/>
      <c r="AM45" s="516"/>
      <c r="AN45" s="563"/>
      <c r="AO45" s="563"/>
      <c r="AP45" s="563"/>
      <c r="AQ45" s="564"/>
      <c r="AR45" s="564"/>
      <c r="AS45" s="565"/>
      <c r="AT45" s="484"/>
      <c r="AU45" s="484"/>
      <c r="AV45" s="559">
        <f>AQ41+AS80</f>
        <v>0</v>
      </c>
      <c r="AW45" s="484"/>
      <c r="AX45" s="484"/>
      <c r="AY45" s="484"/>
      <c r="AZ45" s="484"/>
      <c r="BA45" s="484"/>
      <c r="BB45" s="484"/>
      <c r="BC45" s="484"/>
      <c r="BD45" s="484"/>
    </row>
    <row r="46" spans="1:56" ht="16">
      <c r="A46" s="484"/>
      <c r="B46" s="484"/>
      <c r="C46" s="484"/>
      <c r="D46" s="484"/>
      <c r="E46" s="485"/>
      <c r="F46" s="566" t="s">
        <v>128</v>
      </c>
      <c r="G46" s="485" t="s">
        <v>129</v>
      </c>
      <c r="H46" s="485" t="s">
        <v>130</v>
      </c>
      <c r="I46" s="485" t="s">
        <v>131</v>
      </c>
      <c r="J46" s="485" t="s">
        <v>190</v>
      </c>
      <c r="K46" s="485" t="s">
        <v>132</v>
      </c>
      <c r="L46" s="485" t="s">
        <v>133</v>
      </c>
      <c r="M46" s="485"/>
      <c r="N46" s="485"/>
      <c r="O46" s="485"/>
      <c r="P46" s="485"/>
      <c r="Q46" s="509"/>
      <c r="R46" s="485"/>
      <c r="S46" s="485"/>
      <c r="T46" s="485"/>
      <c r="U46" s="485"/>
      <c r="V46" s="485"/>
      <c r="W46" s="485"/>
      <c r="X46" s="509" t="s">
        <v>191</v>
      </c>
      <c r="Y46" s="509" t="s">
        <v>41</v>
      </c>
      <c r="Z46" s="509" t="s">
        <v>192</v>
      </c>
      <c r="AA46" s="485"/>
      <c r="AB46" s="487"/>
      <c r="AC46" s="485"/>
      <c r="AD46" s="485"/>
      <c r="AE46" s="509" t="s">
        <v>193</v>
      </c>
      <c r="AF46" s="509" t="s">
        <v>194</v>
      </c>
      <c r="AG46" s="509" t="s">
        <v>12</v>
      </c>
      <c r="AH46" s="485"/>
      <c r="AI46" s="485"/>
      <c r="AJ46" s="509" t="s">
        <v>72</v>
      </c>
      <c r="AK46" s="485"/>
      <c r="AL46" s="509" t="s">
        <v>67</v>
      </c>
      <c r="AM46" s="485"/>
      <c r="AN46" s="486"/>
      <c r="AO46" s="486"/>
      <c r="AP46" s="486"/>
      <c r="AQ46" s="510" t="s">
        <v>53</v>
      </c>
      <c r="AR46" s="510" t="s">
        <v>95</v>
      </c>
      <c r="AS46" s="567" t="s">
        <v>102</v>
      </c>
      <c r="AT46" s="484"/>
      <c r="AU46" s="484"/>
      <c r="AV46" s="484"/>
      <c r="AW46" s="484"/>
      <c r="AX46" s="484"/>
      <c r="AY46" s="484"/>
      <c r="AZ46" s="484"/>
      <c r="BA46" s="484"/>
      <c r="BB46" s="484"/>
      <c r="BC46" s="484"/>
      <c r="BD46" s="484"/>
    </row>
    <row r="47" spans="1:56" ht="18" thickBot="1">
      <c r="A47" s="484"/>
      <c r="B47" s="484"/>
      <c r="C47" s="484"/>
      <c r="D47" s="484"/>
      <c r="E47" s="485"/>
      <c r="F47" s="580" t="s">
        <v>137</v>
      </c>
      <c r="G47" s="485" t="s">
        <v>138</v>
      </c>
      <c r="H47" s="485" t="s">
        <v>139</v>
      </c>
      <c r="I47" s="485" t="s">
        <v>140</v>
      </c>
      <c r="J47" s="485"/>
      <c r="K47" s="485"/>
      <c r="L47" s="485"/>
      <c r="M47" s="63" t="s">
        <v>195</v>
      </c>
      <c r="N47" s="513" t="s">
        <v>110</v>
      </c>
      <c r="O47" s="63" t="s">
        <v>196</v>
      </c>
      <c r="P47" s="63" t="s">
        <v>197</v>
      </c>
      <c r="Q47" s="514" t="s">
        <v>97</v>
      </c>
      <c r="R47" s="485" t="s">
        <v>40</v>
      </c>
      <c r="S47" s="485" t="s">
        <v>47</v>
      </c>
      <c r="T47" s="485" t="s">
        <v>83</v>
      </c>
      <c r="U47" s="485" t="s">
        <v>198</v>
      </c>
      <c r="V47" s="485" t="s">
        <v>199</v>
      </c>
      <c r="W47" s="485" t="s">
        <v>200</v>
      </c>
      <c r="X47" s="105" t="s">
        <v>216</v>
      </c>
      <c r="Y47" s="105" t="s">
        <v>217</v>
      </c>
      <c r="Z47" s="105" t="s">
        <v>218</v>
      </c>
      <c r="AA47" s="485" t="s">
        <v>64</v>
      </c>
      <c r="AB47" s="485" t="s">
        <v>62</v>
      </c>
      <c r="AC47" s="3" t="s">
        <v>201</v>
      </c>
      <c r="AD47" s="485" t="s">
        <v>112</v>
      </c>
      <c r="AE47" s="64" t="s">
        <v>202</v>
      </c>
      <c r="AF47" s="105" t="s">
        <v>219</v>
      </c>
      <c r="AG47" s="65" t="s">
        <v>204</v>
      </c>
      <c r="AH47" s="485" t="s">
        <v>104</v>
      </c>
      <c r="AI47" s="485" t="s">
        <v>99</v>
      </c>
      <c r="AJ47" s="509" t="s">
        <v>66</v>
      </c>
      <c r="AK47" s="485" t="s">
        <v>69</v>
      </c>
      <c r="AL47" s="66" t="s">
        <v>74</v>
      </c>
      <c r="AM47" s="513" t="s">
        <v>52</v>
      </c>
      <c r="AN47" s="513" t="s">
        <v>55</v>
      </c>
      <c r="AO47" s="513" t="s">
        <v>60</v>
      </c>
      <c r="AP47" s="513" t="s">
        <v>57</v>
      </c>
      <c r="AQ47" s="514" t="s">
        <v>81</v>
      </c>
      <c r="AR47" s="514" t="s">
        <v>94</v>
      </c>
      <c r="AS47" s="581" t="s">
        <v>101</v>
      </c>
      <c r="AT47" s="484"/>
      <c r="AU47" s="484"/>
      <c r="AV47" s="499">
        <f>AV44-AV45</f>
        <v>1275224.833333333</v>
      </c>
      <c r="AW47" s="484"/>
      <c r="AX47" s="484"/>
      <c r="AY47" s="484"/>
      <c r="AZ47" s="484"/>
      <c r="BA47" s="484"/>
      <c r="BB47" s="484"/>
      <c r="BC47" s="484"/>
      <c r="BD47" s="484"/>
    </row>
    <row r="48" spans="1:56">
      <c r="A48" s="484"/>
      <c r="B48" s="484"/>
      <c r="C48" s="484"/>
      <c r="D48" s="485"/>
      <c r="E48" s="485"/>
      <c r="F48" s="36" t="s">
        <v>172</v>
      </c>
      <c r="G48" s="15">
        <v>1</v>
      </c>
      <c r="H48" s="15" t="s">
        <v>173</v>
      </c>
      <c r="I48" s="15" t="s">
        <v>220</v>
      </c>
      <c r="J48" s="516" t="s">
        <v>174</v>
      </c>
      <c r="K48" s="516">
        <v>44</v>
      </c>
      <c r="L48" s="516">
        <v>12</v>
      </c>
      <c r="M48" s="492"/>
      <c r="N48" s="492"/>
      <c r="O48" s="492"/>
      <c r="P48" s="492"/>
      <c r="Q48" s="517">
        <f t="shared" ref="Q48:Q60" si="57">O48+P48</f>
        <v>0</v>
      </c>
      <c r="R48" s="518">
        <v>4.9000000000000002E-2</v>
      </c>
      <c r="S48" s="491">
        <v>28</v>
      </c>
      <c r="T48" s="519">
        <v>0</v>
      </c>
      <c r="U48" s="520"/>
      <c r="V48" s="521"/>
      <c r="W48" s="114"/>
      <c r="X48" s="522">
        <f t="shared" ref="X48:X60" si="58">W48+V48</f>
        <v>0</v>
      </c>
      <c r="Y48" s="523">
        <f>(R48*S48*AA48)</f>
        <v>13720.000000000002</v>
      </c>
      <c r="Z48" s="522">
        <f t="shared" ref="Z48:Z50" si="59">U48+T48</f>
        <v>0</v>
      </c>
      <c r="AA48" s="491">
        <f>2*5000</f>
        <v>10000</v>
      </c>
      <c r="AB48" s="491">
        <f t="shared" ref="AB48:AB60" si="60">AA48</f>
        <v>10000</v>
      </c>
      <c r="AC48" s="492">
        <v>0.77</v>
      </c>
      <c r="AD48" s="492">
        <v>0.89</v>
      </c>
      <c r="AE48" s="523">
        <f>(AA48*AC48*AD48)</f>
        <v>6853</v>
      </c>
      <c r="AF48" s="523">
        <f>($X$54+$Y$54+$Z$54)*(AA48/$AB$54)</f>
        <v>13720.000000000002</v>
      </c>
      <c r="AG48" s="523">
        <f>(AE48*K48/L48)-AF48</f>
        <v>11407.666666666666</v>
      </c>
      <c r="AH48" s="492"/>
      <c r="AI48" s="520"/>
      <c r="AJ48" s="524">
        <f>AI48+AH48</f>
        <v>0</v>
      </c>
      <c r="AK48" s="492"/>
      <c r="AL48" s="517">
        <f>(AJ48+AK48)</f>
        <v>0</v>
      </c>
      <c r="AM48" s="492"/>
      <c r="AN48" s="525"/>
      <c r="AO48" s="526"/>
      <c r="AP48" s="526"/>
      <c r="AQ48" s="527">
        <f t="shared" ref="AQ48:AQ50" si="61">AM48+AN48+AO48+AP48</f>
        <v>0</v>
      </c>
      <c r="AR48" s="527">
        <f t="shared" ref="AR48:AR60" si="62">Q48-N48</f>
        <v>0</v>
      </c>
      <c r="AS48" s="528">
        <f t="shared" ref="AS48:AS60" si="63">AR48+AG48-AL48-AQ48</f>
        <v>11407.666666666666</v>
      </c>
      <c r="AT48" s="484"/>
      <c r="AU48" s="484"/>
      <c r="AV48" s="484"/>
      <c r="AW48" s="484"/>
      <c r="AX48" s="484"/>
      <c r="AY48" s="484"/>
      <c r="AZ48" s="484"/>
      <c r="BA48" s="484"/>
      <c r="BB48" s="484"/>
      <c r="BC48" s="484"/>
      <c r="BD48" s="484"/>
    </row>
    <row r="49" spans="1:56">
      <c r="A49" s="484"/>
      <c r="B49" s="484"/>
      <c r="C49" s="484"/>
      <c r="D49" s="485"/>
      <c r="E49" s="485"/>
      <c r="F49" s="56" t="s">
        <v>175</v>
      </c>
      <c r="G49" s="12">
        <v>1</v>
      </c>
      <c r="H49" s="12" t="s">
        <v>173</v>
      </c>
      <c r="I49" s="12" t="s">
        <v>220</v>
      </c>
      <c r="J49" s="485" t="s">
        <v>174</v>
      </c>
      <c r="K49" s="485">
        <v>44</v>
      </c>
      <c r="L49" s="485">
        <v>12</v>
      </c>
      <c r="M49" s="494"/>
      <c r="N49" s="494"/>
      <c r="O49" s="494"/>
      <c r="P49" s="494"/>
      <c r="Q49" s="530">
        <f t="shared" si="57"/>
        <v>0</v>
      </c>
      <c r="R49" s="531">
        <v>4.9000000000000002E-2</v>
      </c>
      <c r="S49" s="493">
        <v>28</v>
      </c>
      <c r="T49" s="532">
        <v>0</v>
      </c>
      <c r="U49" s="494"/>
      <c r="V49" s="494"/>
      <c r="W49" s="107"/>
      <c r="X49" s="533">
        <f t="shared" si="58"/>
        <v>0</v>
      </c>
      <c r="Y49" s="534">
        <f t="shared" ref="Y49:Y60" si="64">(R49*S49*AA49)</f>
        <v>65170.000000000007</v>
      </c>
      <c r="Z49" s="533">
        <f t="shared" si="59"/>
        <v>0</v>
      </c>
      <c r="AA49" s="493">
        <f>9.5*5000</f>
        <v>47500</v>
      </c>
      <c r="AB49" s="493">
        <f t="shared" si="60"/>
        <v>47500</v>
      </c>
      <c r="AC49" s="494">
        <v>0.49</v>
      </c>
      <c r="AD49" s="494">
        <v>0.89</v>
      </c>
      <c r="AE49" s="534">
        <f t="shared" ref="AE49:AE60" si="65">(AA49*AC49*AD49)</f>
        <v>20714.75</v>
      </c>
      <c r="AF49" s="534">
        <f>($X$54+$Y$54+$Z$54)*(AA49/$AB$54)</f>
        <v>65170.000000000015</v>
      </c>
      <c r="AG49" s="534">
        <f t="shared" ref="AG49:AG60" si="66">(AE49*K49/L49)-AF49</f>
        <v>10784.083333333314</v>
      </c>
      <c r="AH49" s="494"/>
      <c r="AI49" s="494"/>
      <c r="AJ49" s="535">
        <f t="shared" ref="AJ49:AJ50" si="67">AI49+AH49</f>
        <v>0</v>
      </c>
      <c r="AK49" s="494"/>
      <c r="AL49" s="530">
        <f t="shared" ref="AL49:AL50" si="68">(AJ49+AK49)</f>
        <v>0</v>
      </c>
      <c r="AM49" s="494"/>
      <c r="AN49" s="536"/>
      <c r="AO49" s="537"/>
      <c r="AP49" s="537"/>
      <c r="AQ49" s="538">
        <f t="shared" si="61"/>
        <v>0</v>
      </c>
      <c r="AR49" s="538">
        <f t="shared" si="62"/>
        <v>0</v>
      </c>
      <c r="AS49" s="539">
        <f t="shared" si="63"/>
        <v>10784.083333333314</v>
      </c>
      <c r="AT49" s="484"/>
      <c r="AU49" s="484"/>
      <c r="AV49" s="484"/>
      <c r="AW49" s="484"/>
      <c r="AX49" s="484"/>
      <c r="AY49" s="484"/>
      <c r="AZ49" s="484"/>
      <c r="BA49" s="484"/>
      <c r="BB49" s="484"/>
      <c r="BC49" s="484"/>
      <c r="BD49" s="484"/>
    </row>
    <row r="50" spans="1:56">
      <c r="A50" s="484"/>
      <c r="B50" s="484"/>
      <c r="C50" s="484"/>
      <c r="D50" s="485"/>
      <c r="E50" s="485"/>
      <c r="F50" s="20" t="s">
        <v>176</v>
      </c>
      <c r="G50" s="12">
        <v>1</v>
      </c>
      <c r="H50" s="12" t="s">
        <v>173</v>
      </c>
      <c r="I50" s="12" t="s">
        <v>220</v>
      </c>
      <c r="J50" s="485" t="s">
        <v>174</v>
      </c>
      <c r="K50" s="485">
        <v>44</v>
      </c>
      <c r="L50" s="485">
        <v>12</v>
      </c>
      <c r="M50" s="485"/>
      <c r="N50" s="485"/>
      <c r="O50" s="485"/>
      <c r="P50" s="485"/>
      <c r="Q50" s="530">
        <f t="shared" si="57"/>
        <v>0</v>
      </c>
      <c r="R50" s="531">
        <v>4.9000000000000002E-2</v>
      </c>
      <c r="S50" s="493">
        <v>28</v>
      </c>
      <c r="T50" s="532">
        <v>0</v>
      </c>
      <c r="U50" s="485"/>
      <c r="V50" s="485"/>
      <c r="W50" s="107"/>
      <c r="X50" s="533">
        <f t="shared" si="58"/>
        <v>0</v>
      </c>
      <c r="Y50" s="534">
        <f t="shared" si="64"/>
        <v>6860.0000000000009</v>
      </c>
      <c r="Z50" s="533">
        <f t="shared" si="59"/>
        <v>0</v>
      </c>
      <c r="AA50" s="493">
        <f>1*5000</f>
        <v>5000</v>
      </c>
      <c r="AB50" s="493">
        <f t="shared" si="60"/>
        <v>5000</v>
      </c>
      <c r="AC50" s="494">
        <v>0.77</v>
      </c>
      <c r="AD50" s="494">
        <v>0.89</v>
      </c>
      <c r="AE50" s="534">
        <f t="shared" si="65"/>
        <v>3426.5</v>
      </c>
      <c r="AF50" s="534">
        <f>($X$54+$Y$54+$Z$54)*(AA50/$AB$54)</f>
        <v>6860.0000000000009</v>
      </c>
      <c r="AG50" s="534">
        <f t="shared" si="66"/>
        <v>5703.833333333333</v>
      </c>
      <c r="AH50" s="485"/>
      <c r="AI50" s="485"/>
      <c r="AJ50" s="535">
        <f t="shared" si="67"/>
        <v>0</v>
      </c>
      <c r="AK50" s="485"/>
      <c r="AL50" s="530">
        <f t="shared" si="68"/>
        <v>0</v>
      </c>
      <c r="AM50" s="485"/>
      <c r="AN50" s="486"/>
      <c r="AO50" s="486"/>
      <c r="AP50" s="486"/>
      <c r="AQ50" s="538">
        <f t="shared" si="61"/>
        <v>0</v>
      </c>
      <c r="AR50" s="538">
        <f t="shared" si="62"/>
        <v>0</v>
      </c>
      <c r="AS50" s="539">
        <f t="shared" si="63"/>
        <v>5703.833333333333</v>
      </c>
      <c r="AT50" s="484"/>
      <c r="AU50" s="484"/>
      <c r="AV50" s="484"/>
      <c r="AW50" s="484"/>
      <c r="AX50" s="484"/>
      <c r="AY50" s="484"/>
      <c r="AZ50" s="484"/>
      <c r="BA50" s="484"/>
      <c r="BB50" s="484"/>
      <c r="BC50" s="484"/>
      <c r="BD50" s="484"/>
    </row>
    <row r="51" spans="1:56" s="46" customFormat="1">
      <c r="A51" s="484"/>
      <c r="B51" s="484"/>
      <c r="C51" s="484"/>
      <c r="D51" s="485"/>
      <c r="E51" s="485"/>
      <c r="F51" s="20" t="s">
        <v>172</v>
      </c>
      <c r="G51" s="12">
        <v>1</v>
      </c>
      <c r="H51" s="12" t="s">
        <v>212</v>
      </c>
      <c r="I51" s="12" t="s">
        <v>220</v>
      </c>
      <c r="J51" s="485" t="s">
        <v>174</v>
      </c>
      <c r="K51" s="485">
        <v>44</v>
      </c>
      <c r="L51" s="485">
        <v>12</v>
      </c>
      <c r="M51" s="485"/>
      <c r="N51" s="485"/>
      <c r="O51" s="485"/>
      <c r="P51" s="485"/>
      <c r="Q51" s="530">
        <f t="shared" si="57"/>
        <v>0</v>
      </c>
      <c r="R51" s="531">
        <v>4.9000000000000002E-2</v>
      </c>
      <c r="S51" s="493">
        <v>28</v>
      </c>
      <c r="T51" s="532">
        <v>0</v>
      </c>
      <c r="U51" s="540"/>
      <c r="V51" s="541"/>
      <c r="W51" s="107"/>
      <c r="X51" s="533">
        <f t="shared" si="58"/>
        <v>0</v>
      </c>
      <c r="Y51" s="534">
        <f t="shared" si="64"/>
        <v>13720.000000000002</v>
      </c>
      <c r="Z51" s="533">
        <f t="shared" ref="Z51:Z60" si="69">U51+T51</f>
        <v>0</v>
      </c>
      <c r="AA51" s="493">
        <f>2*5000</f>
        <v>10000</v>
      </c>
      <c r="AB51" s="493">
        <f t="shared" si="60"/>
        <v>10000</v>
      </c>
      <c r="AC51" s="494">
        <v>0.77</v>
      </c>
      <c r="AD51" s="494">
        <v>0.89</v>
      </c>
      <c r="AE51" s="534">
        <f t="shared" si="65"/>
        <v>6853</v>
      </c>
      <c r="AF51" s="534">
        <f t="shared" ref="AF51:AF53" si="70">($X$54+$Y$54+$Z$54)*(AA51/$AB$54)</f>
        <v>13720.000000000002</v>
      </c>
      <c r="AG51" s="534">
        <f>(AE51*K51/L51)-AF51</f>
        <v>11407.666666666666</v>
      </c>
      <c r="AH51" s="494"/>
      <c r="AI51" s="540"/>
      <c r="AJ51" s="535">
        <f>AI51+AH51</f>
        <v>0</v>
      </c>
      <c r="AK51" s="494"/>
      <c r="AL51" s="530">
        <f>(AJ51+AK51)</f>
        <v>0</v>
      </c>
      <c r="AM51" s="494"/>
      <c r="AN51" s="536"/>
      <c r="AO51" s="542"/>
      <c r="AP51" s="542"/>
      <c r="AQ51" s="538">
        <f t="shared" ref="AQ51:AQ60" si="71">AM51+AN51+AO51+AP51</f>
        <v>0</v>
      </c>
      <c r="AR51" s="538">
        <f t="shared" si="62"/>
        <v>0</v>
      </c>
      <c r="AS51" s="539">
        <f t="shared" si="63"/>
        <v>11407.666666666666</v>
      </c>
      <c r="AT51" s="484"/>
      <c r="AU51" s="484"/>
      <c r="AV51" s="484"/>
      <c r="AW51" s="484"/>
      <c r="AX51" s="484"/>
      <c r="AY51" s="484"/>
      <c r="AZ51" s="484"/>
      <c r="BA51" s="484"/>
      <c r="BB51" s="484"/>
      <c r="BC51" s="484"/>
      <c r="BD51" s="484"/>
    </row>
    <row r="52" spans="1:56" s="46" customFormat="1">
      <c r="A52" s="484"/>
      <c r="B52" s="484"/>
      <c r="C52" s="484"/>
      <c r="D52" s="485"/>
      <c r="E52" s="485"/>
      <c r="F52" s="56" t="s">
        <v>175</v>
      </c>
      <c r="G52" s="12">
        <v>1</v>
      </c>
      <c r="H52" s="12" t="s">
        <v>212</v>
      </c>
      <c r="I52" s="12" t="s">
        <v>220</v>
      </c>
      <c r="J52" s="485" t="s">
        <v>174</v>
      </c>
      <c r="K52" s="485">
        <v>44</v>
      </c>
      <c r="L52" s="485">
        <v>12</v>
      </c>
      <c r="M52" s="485"/>
      <c r="N52" s="485"/>
      <c r="O52" s="485"/>
      <c r="P52" s="485"/>
      <c r="Q52" s="530">
        <f t="shared" si="57"/>
        <v>0</v>
      </c>
      <c r="R52" s="531">
        <v>4.9000000000000002E-2</v>
      </c>
      <c r="S52" s="493">
        <v>28</v>
      </c>
      <c r="T52" s="532">
        <v>0</v>
      </c>
      <c r="U52" s="494"/>
      <c r="V52" s="494"/>
      <c r="W52" s="107"/>
      <c r="X52" s="533">
        <f t="shared" si="58"/>
        <v>0</v>
      </c>
      <c r="Y52" s="534">
        <f t="shared" si="64"/>
        <v>65170.000000000007</v>
      </c>
      <c r="Z52" s="533">
        <f t="shared" si="69"/>
        <v>0</v>
      </c>
      <c r="AA52" s="493">
        <f>9.5*5000</f>
        <v>47500</v>
      </c>
      <c r="AB52" s="493">
        <f t="shared" si="60"/>
        <v>47500</v>
      </c>
      <c r="AC52" s="494">
        <v>0.49</v>
      </c>
      <c r="AD52" s="494">
        <v>0.89</v>
      </c>
      <c r="AE52" s="534">
        <f t="shared" si="65"/>
        <v>20714.75</v>
      </c>
      <c r="AF52" s="534">
        <f t="shared" si="70"/>
        <v>65170.000000000015</v>
      </c>
      <c r="AG52" s="534">
        <f t="shared" si="66"/>
        <v>10784.083333333314</v>
      </c>
      <c r="AH52" s="494"/>
      <c r="AI52" s="494"/>
      <c r="AJ52" s="535">
        <f t="shared" ref="AJ52:AJ53" si="72">AI52+AH52</f>
        <v>0</v>
      </c>
      <c r="AK52" s="494"/>
      <c r="AL52" s="530">
        <f t="shared" ref="AL52:AL53" si="73">(AJ52+AK52)</f>
        <v>0</v>
      </c>
      <c r="AM52" s="494"/>
      <c r="AN52" s="536"/>
      <c r="AO52" s="537"/>
      <c r="AP52" s="537"/>
      <c r="AQ52" s="538">
        <f t="shared" si="71"/>
        <v>0</v>
      </c>
      <c r="AR52" s="538">
        <f t="shared" si="62"/>
        <v>0</v>
      </c>
      <c r="AS52" s="539">
        <f t="shared" si="63"/>
        <v>10784.083333333314</v>
      </c>
      <c r="AT52" s="484"/>
      <c r="AU52" s="484"/>
      <c r="AV52" s="484"/>
      <c r="AW52" s="484"/>
      <c r="AX52" s="484"/>
      <c r="AY52" s="484"/>
      <c r="AZ52" s="484"/>
      <c r="BA52" s="484"/>
      <c r="BB52" s="484"/>
      <c r="BC52" s="484"/>
      <c r="BD52" s="484"/>
    </row>
    <row r="53" spans="1:56" s="46" customFormat="1">
      <c r="A53" s="484"/>
      <c r="B53" s="484"/>
      <c r="C53" s="484"/>
      <c r="D53" s="485"/>
      <c r="E53" s="485"/>
      <c r="F53" s="20" t="s">
        <v>176</v>
      </c>
      <c r="G53" s="12">
        <v>1</v>
      </c>
      <c r="H53" s="12" t="s">
        <v>212</v>
      </c>
      <c r="I53" s="12" t="s">
        <v>220</v>
      </c>
      <c r="J53" s="485" t="s">
        <v>174</v>
      </c>
      <c r="K53" s="485">
        <v>44</v>
      </c>
      <c r="L53" s="485">
        <v>12</v>
      </c>
      <c r="M53" s="485"/>
      <c r="N53" s="485"/>
      <c r="O53" s="485"/>
      <c r="P53" s="485"/>
      <c r="Q53" s="530">
        <f t="shared" si="57"/>
        <v>0</v>
      </c>
      <c r="R53" s="531">
        <v>4.9000000000000002E-2</v>
      </c>
      <c r="S53" s="493">
        <v>28</v>
      </c>
      <c r="T53" s="532">
        <v>0</v>
      </c>
      <c r="U53" s="485"/>
      <c r="V53" s="485"/>
      <c r="W53" s="107"/>
      <c r="X53" s="533">
        <f t="shared" si="58"/>
        <v>0</v>
      </c>
      <c r="Y53" s="534">
        <f t="shared" si="64"/>
        <v>6860.0000000000009</v>
      </c>
      <c r="Z53" s="533">
        <f t="shared" si="69"/>
        <v>0</v>
      </c>
      <c r="AA53" s="493">
        <f>1*5000</f>
        <v>5000</v>
      </c>
      <c r="AB53" s="493">
        <f t="shared" si="60"/>
        <v>5000</v>
      </c>
      <c r="AC53" s="494">
        <v>0.77</v>
      </c>
      <c r="AD53" s="494">
        <v>0.89</v>
      </c>
      <c r="AE53" s="534">
        <f t="shared" si="65"/>
        <v>3426.5</v>
      </c>
      <c r="AF53" s="534">
        <f t="shared" si="70"/>
        <v>6860.0000000000009</v>
      </c>
      <c r="AG53" s="534">
        <f t="shared" si="66"/>
        <v>5703.833333333333</v>
      </c>
      <c r="AH53" s="485"/>
      <c r="AI53" s="485"/>
      <c r="AJ53" s="535">
        <f t="shared" si="72"/>
        <v>0</v>
      </c>
      <c r="AK53" s="485"/>
      <c r="AL53" s="530">
        <f t="shared" si="73"/>
        <v>0</v>
      </c>
      <c r="AM53" s="485"/>
      <c r="AN53" s="486"/>
      <c r="AO53" s="486"/>
      <c r="AP53" s="486"/>
      <c r="AQ53" s="538">
        <f t="shared" si="71"/>
        <v>0</v>
      </c>
      <c r="AR53" s="538">
        <f t="shared" si="62"/>
        <v>0</v>
      </c>
      <c r="AS53" s="539">
        <f t="shared" si="63"/>
        <v>5703.833333333333</v>
      </c>
      <c r="AT53" s="484"/>
      <c r="AU53" s="484"/>
      <c r="AV53" s="484"/>
      <c r="AW53" s="484"/>
      <c r="AX53" s="484"/>
      <c r="AY53" s="484"/>
      <c r="AZ53" s="484"/>
      <c r="BA53" s="484"/>
      <c r="BB53" s="484"/>
      <c r="BC53" s="484"/>
      <c r="BD53" s="484"/>
    </row>
    <row r="54" spans="1:56" s="46" customFormat="1">
      <c r="A54" s="484"/>
      <c r="B54" s="484"/>
      <c r="C54" s="484"/>
      <c r="D54" s="485"/>
      <c r="E54" s="485"/>
      <c r="F54" s="20"/>
      <c r="G54" s="12"/>
      <c r="H54" s="12"/>
      <c r="I54" s="12"/>
      <c r="J54" s="485"/>
      <c r="K54" s="485"/>
      <c r="L54" s="485"/>
      <c r="M54" s="485"/>
      <c r="N54" s="485"/>
      <c r="O54" s="485"/>
      <c r="P54" s="485"/>
      <c r="Q54" s="530"/>
      <c r="R54" s="531"/>
      <c r="S54" s="493"/>
      <c r="T54" s="532"/>
      <c r="U54" s="485"/>
      <c r="V54" s="485"/>
      <c r="W54" s="111"/>
      <c r="X54" s="112">
        <f>SUM(X48:X53)</f>
        <v>0</v>
      </c>
      <c r="Y54" s="113">
        <f>SUM(Y48:Y53)</f>
        <v>171500.00000000003</v>
      </c>
      <c r="Z54" s="112">
        <f>SUM(Z48:Z53)</f>
        <v>0</v>
      </c>
      <c r="AA54" s="493"/>
      <c r="AB54" s="58">
        <f>SUM(AA48:AA53)</f>
        <v>125000</v>
      </c>
      <c r="AC54" s="494"/>
      <c r="AD54" s="485"/>
      <c r="AE54" s="534"/>
      <c r="AF54" s="106">
        <f>SUM(AF48:AF53)</f>
        <v>171500.00000000003</v>
      </c>
      <c r="AG54" s="534"/>
      <c r="AH54" s="485"/>
      <c r="AI54" s="485"/>
      <c r="AJ54" s="535"/>
      <c r="AK54" s="485"/>
      <c r="AL54" s="530"/>
      <c r="AM54" s="485"/>
      <c r="AN54" s="486"/>
      <c r="AO54" s="486"/>
      <c r="AP54" s="486"/>
      <c r="AQ54" s="538"/>
      <c r="AR54" s="538"/>
      <c r="AS54" s="539"/>
      <c r="AT54" s="484"/>
      <c r="AU54" s="484"/>
      <c r="AV54" s="484"/>
      <c r="AW54" s="484"/>
      <c r="AX54" s="484"/>
      <c r="AY54" s="484"/>
      <c r="AZ54" s="484"/>
      <c r="BA54" s="484"/>
      <c r="BB54" s="484"/>
      <c r="BC54" s="484"/>
      <c r="BD54" s="484"/>
    </row>
    <row r="55" spans="1:56" s="46" customFormat="1">
      <c r="A55" s="484"/>
      <c r="B55" s="484"/>
      <c r="C55" s="484"/>
      <c r="D55" s="485"/>
      <c r="E55" s="485"/>
      <c r="F55" s="20" t="s">
        <v>172</v>
      </c>
      <c r="G55" s="12">
        <v>1</v>
      </c>
      <c r="H55" s="12" t="s">
        <v>173</v>
      </c>
      <c r="I55" s="12" t="s">
        <v>221</v>
      </c>
      <c r="J55" s="485" t="s">
        <v>174</v>
      </c>
      <c r="K55" s="485">
        <v>44</v>
      </c>
      <c r="L55" s="485">
        <v>12</v>
      </c>
      <c r="M55" s="485"/>
      <c r="N55" s="485"/>
      <c r="O55" s="485"/>
      <c r="P55" s="485"/>
      <c r="Q55" s="530">
        <f t="shared" si="57"/>
        <v>0</v>
      </c>
      <c r="R55" s="531">
        <v>4.9000000000000002E-2</v>
      </c>
      <c r="S55" s="493">
        <v>28</v>
      </c>
      <c r="T55" s="532">
        <v>0</v>
      </c>
      <c r="U55" s="540"/>
      <c r="V55" s="541"/>
      <c r="W55" s="107"/>
      <c r="X55" s="533">
        <f t="shared" si="58"/>
        <v>0</v>
      </c>
      <c r="Y55" s="534">
        <f t="shared" si="64"/>
        <v>13720.000000000002</v>
      </c>
      <c r="Z55" s="533">
        <f t="shared" si="69"/>
        <v>0</v>
      </c>
      <c r="AA55" s="493">
        <f>2*5000</f>
        <v>10000</v>
      </c>
      <c r="AB55" s="493">
        <f t="shared" si="60"/>
        <v>10000</v>
      </c>
      <c r="AC55" s="494">
        <v>0.77</v>
      </c>
      <c r="AD55" s="494">
        <v>0.89</v>
      </c>
      <c r="AE55" s="534">
        <f t="shared" si="65"/>
        <v>6853</v>
      </c>
      <c r="AF55" s="534">
        <f>($X$61+$Y$61+$Z$61)*(AA55/$AB$61)</f>
        <v>13720.000000000002</v>
      </c>
      <c r="AG55" s="534">
        <f t="shared" si="66"/>
        <v>11407.666666666666</v>
      </c>
      <c r="AH55" s="494"/>
      <c r="AI55" s="540"/>
      <c r="AJ55" s="535">
        <f>AI55+AH55</f>
        <v>0</v>
      </c>
      <c r="AK55" s="494"/>
      <c r="AL55" s="530">
        <f>(AJ55+AK55)</f>
        <v>0</v>
      </c>
      <c r="AM55" s="494"/>
      <c r="AN55" s="536"/>
      <c r="AO55" s="542"/>
      <c r="AP55" s="542"/>
      <c r="AQ55" s="538">
        <f t="shared" si="71"/>
        <v>0</v>
      </c>
      <c r="AR55" s="538">
        <f t="shared" si="62"/>
        <v>0</v>
      </c>
      <c r="AS55" s="539">
        <f t="shared" si="63"/>
        <v>11407.666666666666</v>
      </c>
      <c r="AT55" s="484"/>
      <c r="AU55" s="484"/>
      <c r="AV55" s="484"/>
      <c r="AW55" s="484"/>
      <c r="AX55" s="484"/>
      <c r="AY55" s="484"/>
      <c r="AZ55" s="484"/>
      <c r="BA55" s="484"/>
      <c r="BB55" s="484"/>
      <c r="BC55" s="484"/>
      <c r="BD55" s="484"/>
    </row>
    <row r="56" spans="1:56" s="46" customFormat="1">
      <c r="A56" s="484"/>
      <c r="B56" s="484"/>
      <c r="C56" s="484"/>
      <c r="D56" s="485"/>
      <c r="E56" s="485"/>
      <c r="F56" s="56" t="s">
        <v>175</v>
      </c>
      <c r="G56" s="12">
        <v>1</v>
      </c>
      <c r="H56" s="12" t="s">
        <v>173</v>
      </c>
      <c r="I56" s="12" t="s">
        <v>221</v>
      </c>
      <c r="J56" s="485" t="s">
        <v>174</v>
      </c>
      <c r="K56" s="485">
        <v>44</v>
      </c>
      <c r="L56" s="485">
        <v>12</v>
      </c>
      <c r="M56" s="485"/>
      <c r="N56" s="485"/>
      <c r="O56" s="485"/>
      <c r="P56" s="485"/>
      <c r="Q56" s="530">
        <f t="shared" si="57"/>
        <v>0</v>
      </c>
      <c r="R56" s="531">
        <v>4.9000000000000002E-2</v>
      </c>
      <c r="S56" s="493">
        <v>28</v>
      </c>
      <c r="T56" s="532">
        <v>0</v>
      </c>
      <c r="U56" s="494"/>
      <c r="V56" s="494"/>
      <c r="W56" s="107"/>
      <c r="X56" s="533">
        <f t="shared" si="58"/>
        <v>0</v>
      </c>
      <c r="Y56" s="534">
        <f t="shared" si="64"/>
        <v>65170.000000000007</v>
      </c>
      <c r="Z56" s="533">
        <f t="shared" si="69"/>
        <v>0</v>
      </c>
      <c r="AA56" s="493">
        <f>9.5*5000</f>
        <v>47500</v>
      </c>
      <c r="AB56" s="493">
        <f t="shared" si="60"/>
        <v>47500</v>
      </c>
      <c r="AC56" s="494">
        <v>0.49</v>
      </c>
      <c r="AD56" s="494">
        <v>0.89</v>
      </c>
      <c r="AE56" s="534">
        <f t="shared" si="65"/>
        <v>20714.75</v>
      </c>
      <c r="AF56" s="534">
        <f t="shared" ref="AF56:AF60" si="74">($X$61+$Y$61+$Z$61)*(AA56/$AB$61)</f>
        <v>65170.000000000015</v>
      </c>
      <c r="AG56" s="534">
        <f t="shared" si="66"/>
        <v>10784.083333333314</v>
      </c>
      <c r="AH56" s="494"/>
      <c r="AI56" s="494"/>
      <c r="AJ56" s="535">
        <f t="shared" ref="AJ56:AJ57" si="75">AI56+AH56</f>
        <v>0</v>
      </c>
      <c r="AK56" s="494"/>
      <c r="AL56" s="530">
        <f t="shared" ref="AL56:AL57" si="76">(AJ56+AK56)</f>
        <v>0</v>
      </c>
      <c r="AM56" s="494"/>
      <c r="AN56" s="536"/>
      <c r="AO56" s="537"/>
      <c r="AP56" s="537"/>
      <c r="AQ56" s="538">
        <f t="shared" si="71"/>
        <v>0</v>
      </c>
      <c r="AR56" s="538">
        <f t="shared" si="62"/>
        <v>0</v>
      </c>
      <c r="AS56" s="539">
        <f t="shared" si="63"/>
        <v>10784.083333333314</v>
      </c>
      <c r="AT56" s="484"/>
      <c r="AU56" s="484"/>
      <c r="AV56" s="484"/>
      <c r="AW56" s="484"/>
      <c r="AX56" s="484"/>
      <c r="AY56" s="484"/>
      <c r="AZ56" s="484"/>
      <c r="BA56" s="484"/>
      <c r="BB56" s="484"/>
      <c r="BC56" s="484"/>
      <c r="BD56" s="484"/>
    </row>
    <row r="57" spans="1:56" s="46" customFormat="1">
      <c r="A57" s="484"/>
      <c r="B57" s="484"/>
      <c r="C57" s="484"/>
      <c r="D57" s="485"/>
      <c r="E57" s="485"/>
      <c r="F57" s="20" t="s">
        <v>176</v>
      </c>
      <c r="G57" s="12">
        <v>1</v>
      </c>
      <c r="H57" s="12" t="s">
        <v>173</v>
      </c>
      <c r="I57" s="12" t="s">
        <v>221</v>
      </c>
      <c r="J57" s="485" t="s">
        <v>174</v>
      </c>
      <c r="K57" s="485">
        <v>44</v>
      </c>
      <c r="L57" s="485">
        <v>12</v>
      </c>
      <c r="M57" s="485"/>
      <c r="N57" s="485"/>
      <c r="O57" s="485"/>
      <c r="P57" s="485"/>
      <c r="Q57" s="530">
        <f t="shared" si="57"/>
        <v>0</v>
      </c>
      <c r="R57" s="531">
        <v>4.9000000000000002E-2</v>
      </c>
      <c r="S57" s="493">
        <v>28</v>
      </c>
      <c r="T57" s="532">
        <v>0</v>
      </c>
      <c r="U57" s="485"/>
      <c r="V57" s="485"/>
      <c r="W57" s="107"/>
      <c r="X57" s="533">
        <f t="shared" si="58"/>
        <v>0</v>
      </c>
      <c r="Y57" s="534">
        <f t="shared" si="64"/>
        <v>6860.0000000000009</v>
      </c>
      <c r="Z57" s="533">
        <f t="shared" si="69"/>
        <v>0</v>
      </c>
      <c r="AA57" s="493">
        <f>1*5000</f>
        <v>5000</v>
      </c>
      <c r="AB57" s="493">
        <f t="shared" si="60"/>
        <v>5000</v>
      </c>
      <c r="AC57" s="494">
        <v>0.77</v>
      </c>
      <c r="AD57" s="494">
        <v>0.89</v>
      </c>
      <c r="AE57" s="534">
        <f t="shared" si="65"/>
        <v>3426.5</v>
      </c>
      <c r="AF57" s="534">
        <f t="shared" si="74"/>
        <v>6860.0000000000009</v>
      </c>
      <c r="AG57" s="534">
        <f t="shared" si="66"/>
        <v>5703.833333333333</v>
      </c>
      <c r="AH57" s="485"/>
      <c r="AI57" s="485"/>
      <c r="AJ57" s="535">
        <f t="shared" si="75"/>
        <v>0</v>
      </c>
      <c r="AK57" s="485"/>
      <c r="AL57" s="530">
        <f t="shared" si="76"/>
        <v>0</v>
      </c>
      <c r="AM57" s="485"/>
      <c r="AN57" s="486"/>
      <c r="AO57" s="486"/>
      <c r="AP57" s="486"/>
      <c r="AQ57" s="538">
        <f t="shared" si="71"/>
        <v>0</v>
      </c>
      <c r="AR57" s="538">
        <f t="shared" si="62"/>
        <v>0</v>
      </c>
      <c r="AS57" s="539">
        <f t="shared" si="63"/>
        <v>5703.833333333333</v>
      </c>
      <c r="AT57" s="484"/>
      <c r="AU57" s="484"/>
      <c r="AV57" s="484"/>
      <c r="AW57" s="484"/>
      <c r="AX57" s="484"/>
      <c r="AY57" s="484"/>
      <c r="AZ57" s="484"/>
      <c r="BA57" s="484"/>
      <c r="BB57" s="484"/>
      <c r="BC57" s="484"/>
      <c r="BD57" s="484"/>
    </row>
    <row r="58" spans="1:56" s="46" customFormat="1">
      <c r="A58" s="484"/>
      <c r="B58" s="484"/>
      <c r="C58" s="484"/>
      <c r="D58" s="485"/>
      <c r="E58" s="485"/>
      <c r="F58" s="20" t="s">
        <v>172</v>
      </c>
      <c r="G58" s="12">
        <v>1</v>
      </c>
      <c r="H58" s="12" t="s">
        <v>212</v>
      </c>
      <c r="I58" s="12" t="s">
        <v>221</v>
      </c>
      <c r="J58" s="485" t="s">
        <v>174</v>
      </c>
      <c r="K58" s="485">
        <v>44</v>
      </c>
      <c r="L58" s="485">
        <v>12</v>
      </c>
      <c r="M58" s="485"/>
      <c r="N58" s="485"/>
      <c r="O58" s="485"/>
      <c r="P58" s="485"/>
      <c r="Q58" s="530">
        <f t="shared" si="57"/>
        <v>0</v>
      </c>
      <c r="R58" s="531">
        <v>4.9000000000000002E-2</v>
      </c>
      <c r="S58" s="493">
        <v>28</v>
      </c>
      <c r="T58" s="532">
        <v>0</v>
      </c>
      <c r="U58" s="540"/>
      <c r="V58" s="541"/>
      <c r="W58" s="107"/>
      <c r="X58" s="533">
        <f t="shared" si="58"/>
        <v>0</v>
      </c>
      <c r="Y58" s="534">
        <f t="shared" si="64"/>
        <v>13720.000000000002</v>
      </c>
      <c r="Z58" s="533">
        <f t="shared" si="69"/>
        <v>0</v>
      </c>
      <c r="AA58" s="493">
        <f>2*5000</f>
        <v>10000</v>
      </c>
      <c r="AB58" s="493">
        <f t="shared" si="60"/>
        <v>10000</v>
      </c>
      <c r="AC58" s="494">
        <v>0.77</v>
      </c>
      <c r="AD58" s="494">
        <v>0.89</v>
      </c>
      <c r="AE58" s="534">
        <f t="shared" si="65"/>
        <v>6853</v>
      </c>
      <c r="AF58" s="534">
        <f t="shared" si="74"/>
        <v>13720.000000000002</v>
      </c>
      <c r="AG58" s="534">
        <f t="shared" si="66"/>
        <v>11407.666666666666</v>
      </c>
      <c r="AH58" s="494"/>
      <c r="AI58" s="540"/>
      <c r="AJ58" s="535">
        <f>AI58+AH58</f>
        <v>0</v>
      </c>
      <c r="AK58" s="494"/>
      <c r="AL58" s="530">
        <f>(AJ58+AK58)</f>
        <v>0</v>
      </c>
      <c r="AM58" s="494"/>
      <c r="AN58" s="536"/>
      <c r="AO58" s="542"/>
      <c r="AP58" s="542"/>
      <c r="AQ58" s="538">
        <f t="shared" si="71"/>
        <v>0</v>
      </c>
      <c r="AR58" s="538">
        <f t="shared" si="62"/>
        <v>0</v>
      </c>
      <c r="AS58" s="539">
        <f t="shared" si="63"/>
        <v>11407.666666666666</v>
      </c>
      <c r="AT58" s="484"/>
      <c r="AU58" s="484"/>
      <c r="AV58" s="484"/>
      <c r="AW58" s="484"/>
      <c r="AX58" s="484"/>
      <c r="AY58" s="484"/>
      <c r="AZ58" s="484"/>
      <c r="BA58" s="484"/>
      <c r="BB58" s="484"/>
      <c r="BC58" s="484"/>
      <c r="BD58" s="484"/>
    </row>
    <row r="59" spans="1:56" s="46" customFormat="1">
      <c r="A59" s="484"/>
      <c r="B59" s="484"/>
      <c r="C59" s="484"/>
      <c r="D59" s="485"/>
      <c r="E59" s="485"/>
      <c r="F59" s="56" t="s">
        <v>175</v>
      </c>
      <c r="G59" s="12">
        <v>1</v>
      </c>
      <c r="H59" s="12" t="s">
        <v>212</v>
      </c>
      <c r="I59" s="12" t="s">
        <v>221</v>
      </c>
      <c r="J59" s="485" t="s">
        <v>174</v>
      </c>
      <c r="K59" s="485">
        <v>44</v>
      </c>
      <c r="L59" s="485">
        <v>12</v>
      </c>
      <c r="M59" s="485"/>
      <c r="N59" s="485"/>
      <c r="O59" s="485"/>
      <c r="P59" s="485"/>
      <c r="Q59" s="530">
        <f t="shared" si="57"/>
        <v>0</v>
      </c>
      <c r="R59" s="531">
        <v>4.9000000000000002E-2</v>
      </c>
      <c r="S59" s="493">
        <v>28</v>
      </c>
      <c r="T59" s="532">
        <v>0</v>
      </c>
      <c r="U59" s="494"/>
      <c r="V59" s="494"/>
      <c r="W59" s="107"/>
      <c r="X59" s="533">
        <f t="shared" si="58"/>
        <v>0</v>
      </c>
      <c r="Y59" s="534">
        <f t="shared" si="64"/>
        <v>65170.000000000007</v>
      </c>
      <c r="Z59" s="533">
        <f t="shared" si="69"/>
        <v>0</v>
      </c>
      <c r="AA59" s="493">
        <f>9.5*5000</f>
        <v>47500</v>
      </c>
      <c r="AB59" s="493">
        <f t="shared" si="60"/>
        <v>47500</v>
      </c>
      <c r="AC59" s="494">
        <v>0.49</v>
      </c>
      <c r="AD59" s="494">
        <v>0.89</v>
      </c>
      <c r="AE59" s="534">
        <f t="shared" si="65"/>
        <v>20714.75</v>
      </c>
      <c r="AF59" s="534">
        <f t="shared" si="74"/>
        <v>65170.000000000015</v>
      </c>
      <c r="AG59" s="534">
        <f t="shared" si="66"/>
        <v>10784.083333333314</v>
      </c>
      <c r="AH59" s="494"/>
      <c r="AI59" s="494"/>
      <c r="AJ59" s="535">
        <f t="shared" ref="AJ59:AJ60" si="77">AI59+AH59</f>
        <v>0</v>
      </c>
      <c r="AK59" s="494"/>
      <c r="AL59" s="530">
        <f t="shared" ref="AL59:AL60" si="78">(AJ59+AK59)</f>
        <v>0</v>
      </c>
      <c r="AM59" s="494"/>
      <c r="AN59" s="536"/>
      <c r="AO59" s="537"/>
      <c r="AP59" s="537"/>
      <c r="AQ59" s="538">
        <f t="shared" si="71"/>
        <v>0</v>
      </c>
      <c r="AR59" s="538">
        <f t="shared" si="62"/>
        <v>0</v>
      </c>
      <c r="AS59" s="539">
        <f t="shared" si="63"/>
        <v>10784.083333333314</v>
      </c>
      <c r="AT59" s="484"/>
      <c r="AU59" s="484"/>
      <c r="AV59" s="484"/>
      <c r="AW59" s="484"/>
      <c r="AX59" s="484"/>
      <c r="AY59" s="484"/>
      <c r="AZ59" s="484"/>
      <c r="BA59" s="484"/>
      <c r="BB59" s="484"/>
      <c r="BC59" s="484"/>
      <c r="BD59" s="484"/>
    </row>
    <row r="60" spans="1:56" s="46" customFormat="1">
      <c r="A60" s="484"/>
      <c r="B60" s="484"/>
      <c r="C60" s="484"/>
      <c r="D60" s="485"/>
      <c r="E60" s="485"/>
      <c r="F60" s="20" t="s">
        <v>176</v>
      </c>
      <c r="G60" s="12">
        <v>1</v>
      </c>
      <c r="H60" s="12" t="s">
        <v>212</v>
      </c>
      <c r="I60" s="12" t="s">
        <v>221</v>
      </c>
      <c r="J60" s="485" t="s">
        <v>174</v>
      </c>
      <c r="K60" s="485">
        <v>44</v>
      </c>
      <c r="L60" s="485">
        <v>12</v>
      </c>
      <c r="M60" s="485"/>
      <c r="N60" s="485"/>
      <c r="O60" s="485"/>
      <c r="P60" s="485"/>
      <c r="Q60" s="530">
        <f t="shared" si="57"/>
        <v>0</v>
      </c>
      <c r="R60" s="531">
        <v>4.9000000000000002E-2</v>
      </c>
      <c r="S60" s="493">
        <v>28</v>
      </c>
      <c r="T60" s="532">
        <v>0</v>
      </c>
      <c r="U60" s="485"/>
      <c r="V60" s="485"/>
      <c r="W60" s="107"/>
      <c r="X60" s="533">
        <f t="shared" si="58"/>
        <v>0</v>
      </c>
      <c r="Y60" s="534">
        <f t="shared" si="64"/>
        <v>6860.0000000000009</v>
      </c>
      <c r="Z60" s="533">
        <f t="shared" si="69"/>
        <v>0</v>
      </c>
      <c r="AA60" s="493">
        <f>1*5000</f>
        <v>5000</v>
      </c>
      <c r="AB60" s="493">
        <f t="shared" si="60"/>
        <v>5000</v>
      </c>
      <c r="AC60" s="494">
        <v>0.77</v>
      </c>
      <c r="AD60" s="494">
        <v>0.89</v>
      </c>
      <c r="AE60" s="534">
        <f t="shared" si="65"/>
        <v>3426.5</v>
      </c>
      <c r="AF60" s="534">
        <f t="shared" si="74"/>
        <v>6860.0000000000009</v>
      </c>
      <c r="AG60" s="534">
        <f t="shared" si="66"/>
        <v>5703.833333333333</v>
      </c>
      <c r="AH60" s="485"/>
      <c r="AI60" s="485"/>
      <c r="AJ60" s="535">
        <f t="shared" si="77"/>
        <v>0</v>
      </c>
      <c r="AK60" s="485"/>
      <c r="AL60" s="530">
        <f t="shared" si="78"/>
        <v>0</v>
      </c>
      <c r="AM60" s="485"/>
      <c r="AN60" s="486"/>
      <c r="AO60" s="486"/>
      <c r="AP60" s="486"/>
      <c r="AQ60" s="538">
        <f t="shared" si="71"/>
        <v>0</v>
      </c>
      <c r="AR60" s="538">
        <f t="shared" si="62"/>
        <v>0</v>
      </c>
      <c r="AS60" s="539">
        <f t="shared" si="63"/>
        <v>5703.833333333333</v>
      </c>
      <c r="AT60" s="484"/>
      <c r="AU60" s="484"/>
      <c r="AV60" s="484"/>
      <c r="AW60" s="484"/>
      <c r="AX60" s="484"/>
      <c r="AY60" s="484"/>
      <c r="AZ60" s="484"/>
      <c r="BA60" s="484"/>
      <c r="BB60" s="484"/>
      <c r="BC60" s="484"/>
      <c r="BD60" s="484"/>
    </row>
    <row r="61" spans="1:56" s="46" customFormat="1">
      <c r="A61" s="484"/>
      <c r="B61" s="484"/>
      <c r="C61" s="484"/>
      <c r="D61" s="485"/>
      <c r="E61" s="485"/>
      <c r="F61" s="529"/>
      <c r="G61" s="485"/>
      <c r="H61" s="485"/>
      <c r="I61" s="485"/>
      <c r="J61" s="485"/>
      <c r="K61" s="485"/>
      <c r="L61" s="485"/>
      <c r="M61" s="485"/>
      <c r="N61" s="485"/>
      <c r="O61" s="485"/>
      <c r="P61" s="485"/>
      <c r="Q61" s="530"/>
      <c r="R61" s="531"/>
      <c r="S61" s="493"/>
      <c r="T61" s="532"/>
      <c r="U61" s="485"/>
      <c r="V61" s="485"/>
      <c r="W61" s="485"/>
      <c r="X61" s="112">
        <f>SUM(X55:X60)</f>
        <v>0</v>
      </c>
      <c r="Y61" s="113">
        <f>SUM(Y55:Y60)</f>
        <v>171500.00000000003</v>
      </c>
      <c r="Z61" s="112">
        <f>SUM(Z55:Z60)</f>
        <v>0</v>
      </c>
      <c r="AA61" s="493"/>
      <c r="AB61" s="58">
        <f>SUM(AA55:AA60)</f>
        <v>125000</v>
      </c>
      <c r="AC61" s="494"/>
      <c r="AD61" s="485"/>
      <c r="AE61" s="534"/>
      <c r="AF61" s="534"/>
      <c r="AG61" s="534"/>
      <c r="AH61" s="485"/>
      <c r="AI61" s="485"/>
      <c r="AJ61" s="535"/>
      <c r="AK61" s="485"/>
      <c r="AL61" s="530"/>
      <c r="AM61" s="485"/>
      <c r="AN61" s="486"/>
      <c r="AO61" s="486"/>
      <c r="AP61" s="486"/>
      <c r="AQ61" s="538"/>
      <c r="AR61" s="538"/>
      <c r="AS61" s="539"/>
      <c r="AT61" s="484"/>
      <c r="AU61" s="484"/>
      <c r="AV61" s="484"/>
      <c r="AW61" s="484"/>
      <c r="AX61" s="484"/>
      <c r="AY61" s="484"/>
      <c r="AZ61" s="484"/>
      <c r="BA61" s="484"/>
      <c r="BB61" s="484"/>
      <c r="BC61" s="484"/>
      <c r="BD61" s="484"/>
    </row>
    <row r="62" spans="1:56" s="2" customFormat="1">
      <c r="A62" s="4"/>
      <c r="B62" s="4"/>
      <c r="C62" s="4"/>
      <c r="D62" s="3"/>
      <c r="E62" s="3"/>
      <c r="F62" s="74"/>
      <c r="G62" s="3"/>
      <c r="H62" s="3"/>
      <c r="I62" s="3"/>
      <c r="J62" s="3"/>
      <c r="K62" s="3"/>
      <c r="L62" s="3"/>
      <c r="M62" s="3"/>
      <c r="N62" s="3"/>
      <c r="O62" s="3"/>
      <c r="P62" s="3"/>
      <c r="Q62" s="67"/>
      <c r="R62" s="68"/>
      <c r="S62" s="83"/>
      <c r="T62" s="69"/>
      <c r="U62" s="3"/>
      <c r="V62" s="3"/>
      <c r="W62" s="3"/>
      <c r="X62" s="90"/>
      <c r="Y62" s="90"/>
      <c r="Z62" s="90"/>
      <c r="AA62" s="92"/>
      <c r="AB62" s="92"/>
      <c r="AC62" s="92"/>
      <c r="AD62" s="92"/>
      <c r="AE62" s="90"/>
      <c r="AF62" s="90"/>
      <c r="AG62" s="91"/>
      <c r="AH62" s="70"/>
      <c r="AI62" s="70"/>
      <c r="AJ62" s="71"/>
      <c r="AK62" s="4"/>
      <c r="AL62" s="67"/>
      <c r="AM62" s="4"/>
      <c r="AN62" s="4"/>
      <c r="AO62" s="4"/>
      <c r="AP62" s="4"/>
      <c r="AQ62" s="72"/>
      <c r="AR62" s="72"/>
      <c r="AS62" s="80"/>
      <c r="AT62" s="4"/>
      <c r="AU62" s="4"/>
      <c r="AV62" s="4"/>
      <c r="AW62" s="4"/>
      <c r="AX62" s="4"/>
      <c r="AY62" s="4"/>
      <c r="AZ62" s="4"/>
      <c r="BA62" s="4"/>
      <c r="BB62" s="4"/>
      <c r="BC62" s="4"/>
      <c r="BD62" s="4"/>
    </row>
    <row r="63" spans="1:56">
      <c r="A63" s="484"/>
      <c r="B63" s="484"/>
      <c r="C63" s="484"/>
      <c r="D63" s="485"/>
      <c r="E63" s="485"/>
      <c r="F63" s="20" t="s">
        <v>172</v>
      </c>
      <c r="G63" s="12">
        <v>2</v>
      </c>
      <c r="H63" s="12" t="s">
        <v>173</v>
      </c>
      <c r="I63" s="12" t="s">
        <v>220</v>
      </c>
      <c r="J63" s="485" t="s">
        <v>174</v>
      </c>
      <c r="K63" s="485">
        <v>44</v>
      </c>
      <c r="L63" s="485">
        <v>12</v>
      </c>
      <c r="M63" s="494"/>
      <c r="N63" s="494"/>
      <c r="O63" s="494"/>
      <c r="P63" s="494"/>
      <c r="Q63" s="530">
        <f t="shared" ref="Q63:Q75" si="79">O63+P63</f>
        <v>0</v>
      </c>
      <c r="R63" s="531">
        <v>4.9000000000000002E-2</v>
      </c>
      <c r="S63" s="493">
        <v>28</v>
      </c>
      <c r="T63" s="532">
        <v>0</v>
      </c>
      <c r="U63" s="540"/>
      <c r="V63" s="541"/>
      <c r="W63" s="107"/>
      <c r="X63" s="533">
        <f t="shared" ref="X63:X75" si="80">W63+V63</f>
        <v>0</v>
      </c>
      <c r="Y63" s="534">
        <f t="shared" ref="Y63:Y75" si="81">(R63*S63*AA63)</f>
        <v>13720.000000000002</v>
      </c>
      <c r="Z63" s="533">
        <f t="shared" ref="Z63:Z75" si="82">U63+T63</f>
        <v>0</v>
      </c>
      <c r="AA63" s="493">
        <f>2*5000</f>
        <v>10000</v>
      </c>
      <c r="AB63" s="493">
        <f t="shared" ref="AB63:AB75" si="83">AA63</f>
        <v>10000</v>
      </c>
      <c r="AC63" s="494">
        <v>0.77</v>
      </c>
      <c r="AD63" s="494">
        <v>0.89</v>
      </c>
      <c r="AE63" s="534">
        <f t="shared" ref="AE63:AE75" si="84">(AA63*AC63*AD63)</f>
        <v>6853</v>
      </c>
      <c r="AF63" s="534">
        <f>($X$69+$Y$69+$Z$69)*(AA63/$AB$69)</f>
        <v>13720.000000000002</v>
      </c>
      <c r="AG63" s="534">
        <f t="shared" ref="AG63:AG75" si="85">(AE63*K63/L63)-AF63</f>
        <v>11407.666666666666</v>
      </c>
      <c r="AH63" s="494"/>
      <c r="AI63" s="540"/>
      <c r="AJ63" s="535">
        <f t="shared" ref="AJ63:AJ75" si="86">AI63+AH63</f>
        <v>0</v>
      </c>
      <c r="AK63" s="494"/>
      <c r="AL63" s="530">
        <f t="shared" ref="AL63:AL75" si="87">(AJ63+AK63)</f>
        <v>0</v>
      </c>
      <c r="AM63" s="494"/>
      <c r="AN63" s="536"/>
      <c r="AO63" s="542"/>
      <c r="AP63" s="542"/>
      <c r="AQ63" s="538">
        <f t="shared" ref="AQ63:AQ75" si="88">AM63+AN63+AO63+AP63</f>
        <v>0</v>
      </c>
      <c r="AR63" s="538">
        <f t="shared" ref="AR63:AR75" si="89">Q63-N63</f>
        <v>0</v>
      </c>
      <c r="AS63" s="539">
        <f t="shared" ref="AS63:AS75" si="90">AR63+AG63-AL63-AQ63</f>
        <v>11407.666666666666</v>
      </c>
      <c r="AT63" s="484"/>
      <c r="AU63" s="484"/>
      <c r="AV63" s="484"/>
      <c r="AW63" s="484"/>
      <c r="AX63" s="484"/>
      <c r="AY63" s="484"/>
      <c r="AZ63" s="484"/>
      <c r="BA63" s="484"/>
      <c r="BB63" s="484"/>
      <c r="BC63" s="484"/>
      <c r="BD63" s="484"/>
    </row>
    <row r="64" spans="1:56">
      <c r="A64" s="484"/>
      <c r="B64" s="484"/>
      <c r="C64" s="484"/>
      <c r="D64" s="485"/>
      <c r="E64" s="485"/>
      <c r="F64" s="56" t="s">
        <v>175</v>
      </c>
      <c r="G64" s="12">
        <v>2</v>
      </c>
      <c r="H64" s="12" t="s">
        <v>173</v>
      </c>
      <c r="I64" s="12" t="s">
        <v>220</v>
      </c>
      <c r="J64" s="485" t="s">
        <v>174</v>
      </c>
      <c r="K64" s="485">
        <v>44</v>
      </c>
      <c r="L64" s="485">
        <v>12</v>
      </c>
      <c r="M64" s="494"/>
      <c r="N64" s="494"/>
      <c r="O64" s="494"/>
      <c r="P64" s="494"/>
      <c r="Q64" s="530">
        <f t="shared" si="79"/>
        <v>0</v>
      </c>
      <c r="R64" s="531">
        <v>4.9000000000000002E-2</v>
      </c>
      <c r="S64" s="493">
        <v>28</v>
      </c>
      <c r="T64" s="532">
        <v>0</v>
      </c>
      <c r="U64" s="494"/>
      <c r="V64" s="494"/>
      <c r="W64" s="107"/>
      <c r="X64" s="533">
        <f t="shared" si="80"/>
        <v>0</v>
      </c>
      <c r="Y64" s="534">
        <f t="shared" si="81"/>
        <v>65170.000000000007</v>
      </c>
      <c r="Z64" s="533">
        <f t="shared" si="82"/>
        <v>0</v>
      </c>
      <c r="AA64" s="493">
        <f>9.5*5000</f>
        <v>47500</v>
      </c>
      <c r="AB64" s="493">
        <f t="shared" si="83"/>
        <v>47500</v>
      </c>
      <c r="AC64" s="494">
        <v>0.49</v>
      </c>
      <c r="AD64" s="494">
        <v>0.89</v>
      </c>
      <c r="AE64" s="534">
        <f t="shared" si="84"/>
        <v>20714.75</v>
      </c>
      <c r="AF64" s="534">
        <f t="shared" ref="AF64:AF68" si="91">($X$69+$Y$69+$Z$69)*(AA64/$AB$69)</f>
        <v>65170.000000000015</v>
      </c>
      <c r="AG64" s="534">
        <f t="shared" si="85"/>
        <v>10784.083333333314</v>
      </c>
      <c r="AH64" s="494"/>
      <c r="AI64" s="494"/>
      <c r="AJ64" s="535">
        <f t="shared" si="86"/>
        <v>0</v>
      </c>
      <c r="AK64" s="494"/>
      <c r="AL64" s="530">
        <f t="shared" si="87"/>
        <v>0</v>
      </c>
      <c r="AM64" s="494"/>
      <c r="AN64" s="536"/>
      <c r="AO64" s="537"/>
      <c r="AP64" s="537"/>
      <c r="AQ64" s="538">
        <f t="shared" si="88"/>
        <v>0</v>
      </c>
      <c r="AR64" s="538">
        <f t="shared" si="89"/>
        <v>0</v>
      </c>
      <c r="AS64" s="539">
        <f t="shared" si="90"/>
        <v>10784.083333333314</v>
      </c>
      <c r="AT64" s="484"/>
      <c r="AU64" s="484"/>
      <c r="AV64" s="484"/>
      <c r="AW64" s="484"/>
      <c r="AX64" s="484"/>
      <c r="AY64" s="484"/>
      <c r="AZ64" s="484"/>
      <c r="BA64" s="484"/>
      <c r="BB64" s="484"/>
      <c r="BC64" s="484"/>
      <c r="BD64" s="484"/>
    </row>
    <row r="65" spans="1:56" s="46" customFormat="1">
      <c r="A65" s="484"/>
      <c r="B65" s="484"/>
      <c r="C65" s="484"/>
      <c r="D65" s="485"/>
      <c r="E65" s="485"/>
      <c r="F65" s="20" t="s">
        <v>176</v>
      </c>
      <c r="G65" s="12">
        <v>2</v>
      </c>
      <c r="H65" s="12" t="s">
        <v>173</v>
      </c>
      <c r="I65" s="12" t="s">
        <v>220</v>
      </c>
      <c r="J65" s="485" t="s">
        <v>174</v>
      </c>
      <c r="K65" s="485">
        <v>44</v>
      </c>
      <c r="L65" s="485">
        <v>12</v>
      </c>
      <c r="M65" s="485"/>
      <c r="N65" s="485"/>
      <c r="O65" s="485"/>
      <c r="P65" s="485"/>
      <c r="Q65" s="530">
        <f t="shared" si="79"/>
        <v>0</v>
      </c>
      <c r="R65" s="531">
        <v>4.9000000000000002E-2</v>
      </c>
      <c r="S65" s="493">
        <v>28</v>
      </c>
      <c r="T65" s="532">
        <v>0</v>
      </c>
      <c r="U65" s="485"/>
      <c r="V65" s="485"/>
      <c r="W65" s="107"/>
      <c r="X65" s="533">
        <f t="shared" si="80"/>
        <v>0</v>
      </c>
      <c r="Y65" s="534">
        <f t="shared" si="81"/>
        <v>6860.0000000000009</v>
      </c>
      <c r="Z65" s="533">
        <f t="shared" si="82"/>
        <v>0</v>
      </c>
      <c r="AA65" s="493">
        <f>1*5000</f>
        <v>5000</v>
      </c>
      <c r="AB65" s="493">
        <f t="shared" si="83"/>
        <v>5000</v>
      </c>
      <c r="AC65" s="494">
        <v>0.77</v>
      </c>
      <c r="AD65" s="494">
        <v>0.89</v>
      </c>
      <c r="AE65" s="534">
        <f t="shared" si="84"/>
        <v>3426.5</v>
      </c>
      <c r="AF65" s="534">
        <f t="shared" si="91"/>
        <v>6860.0000000000009</v>
      </c>
      <c r="AG65" s="534">
        <f t="shared" si="85"/>
        <v>5703.833333333333</v>
      </c>
      <c r="AH65" s="485"/>
      <c r="AI65" s="485"/>
      <c r="AJ65" s="535">
        <f t="shared" si="86"/>
        <v>0</v>
      </c>
      <c r="AK65" s="485"/>
      <c r="AL65" s="530">
        <f t="shared" si="87"/>
        <v>0</v>
      </c>
      <c r="AM65" s="485"/>
      <c r="AN65" s="486"/>
      <c r="AO65" s="486"/>
      <c r="AP65" s="486"/>
      <c r="AQ65" s="538">
        <f t="shared" si="88"/>
        <v>0</v>
      </c>
      <c r="AR65" s="538">
        <f t="shared" si="89"/>
        <v>0</v>
      </c>
      <c r="AS65" s="539">
        <f t="shared" si="90"/>
        <v>5703.833333333333</v>
      </c>
      <c r="AT65" s="484"/>
      <c r="AU65" s="484"/>
      <c r="AV65" s="484"/>
      <c r="AW65" s="484"/>
      <c r="AX65" s="484"/>
      <c r="AY65" s="484"/>
      <c r="AZ65" s="484"/>
      <c r="BA65" s="484"/>
      <c r="BB65" s="484"/>
      <c r="BC65" s="484"/>
      <c r="BD65" s="484"/>
    </row>
    <row r="66" spans="1:56" s="46" customFormat="1">
      <c r="A66" s="484"/>
      <c r="B66" s="484"/>
      <c r="C66" s="484"/>
      <c r="D66" s="485"/>
      <c r="E66" s="485"/>
      <c r="F66" s="20" t="s">
        <v>172</v>
      </c>
      <c r="G66" s="12">
        <v>2</v>
      </c>
      <c r="H66" s="12" t="s">
        <v>212</v>
      </c>
      <c r="I66" s="12" t="s">
        <v>220</v>
      </c>
      <c r="J66" s="485" t="s">
        <v>174</v>
      </c>
      <c r="K66" s="485">
        <v>44</v>
      </c>
      <c r="L66" s="485">
        <v>12</v>
      </c>
      <c r="M66" s="485"/>
      <c r="N66" s="485"/>
      <c r="O66" s="485"/>
      <c r="P66" s="485"/>
      <c r="Q66" s="530">
        <f t="shared" si="79"/>
        <v>0</v>
      </c>
      <c r="R66" s="531">
        <v>4.9000000000000002E-2</v>
      </c>
      <c r="S66" s="493">
        <v>28</v>
      </c>
      <c r="T66" s="532">
        <v>0</v>
      </c>
      <c r="U66" s="540"/>
      <c r="V66" s="541"/>
      <c r="W66" s="107"/>
      <c r="X66" s="533">
        <f t="shared" si="80"/>
        <v>0</v>
      </c>
      <c r="Y66" s="534">
        <f t="shared" si="81"/>
        <v>13720.000000000002</v>
      </c>
      <c r="Z66" s="533">
        <f t="shared" si="82"/>
        <v>0</v>
      </c>
      <c r="AA66" s="493">
        <f>2*5000</f>
        <v>10000</v>
      </c>
      <c r="AB66" s="493">
        <f t="shared" si="83"/>
        <v>10000</v>
      </c>
      <c r="AC66" s="494">
        <v>0.77</v>
      </c>
      <c r="AD66" s="494">
        <v>0.89</v>
      </c>
      <c r="AE66" s="534">
        <f t="shared" si="84"/>
        <v>6853</v>
      </c>
      <c r="AF66" s="534">
        <f t="shared" si="91"/>
        <v>13720.000000000002</v>
      </c>
      <c r="AG66" s="534">
        <f t="shared" si="85"/>
        <v>11407.666666666666</v>
      </c>
      <c r="AH66" s="494"/>
      <c r="AI66" s="540"/>
      <c r="AJ66" s="535">
        <f t="shared" si="86"/>
        <v>0</v>
      </c>
      <c r="AK66" s="494"/>
      <c r="AL66" s="530">
        <f t="shared" si="87"/>
        <v>0</v>
      </c>
      <c r="AM66" s="494"/>
      <c r="AN66" s="536"/>
      <c r="AO66" s="542"/>
      <c r="AP66" s="542"/>
      <c r="AQ66" s="538">
        <f t="shared" si="88"/>
        <v>0</v>
      </c>
      <c r="AR66" s="538">
        <f t="shared" si="89"/>
        <v>0</v>
      </c>
      <c r="AS66" s="539">
        <f t="shared" si="90"/>
        <v>11407.666666666666</v>
      </c>
      <c r="AT66" s="484"/>
      <c r="AU66" s="484"/>
      <c r="AV66" s="484"/>
      <c r="AW66" s="484"/>
      <c r="AX66" s="484"/>
      <c r="AY66" s="484"/>
      <c r="AZ66" s="484"/>
      <c r="BA66" s="484"/>
      <c r="BB66" s="484"/>
      <c r="BC66" s="484"/>
      <c r="BD66" s="484"/>
    </row>
    <row r="67" spans="1:56" s="46" customFormat="1">
      <c r="A67" s="484"/>
      <c r="B67" s="484"/>
      <c r="C67" s="484"/>
      <c r="D67" s="485"/>
      <c r="E67" s="485"/>
      <c r="F67" s="56" t="s">
        <v>175</v>
      </c>
      <c r="G67" s="12">
        <v>2</v>
      </c>
      <c r="H67" s="12" t="s">
        <v>212</v>
      </c>
      <c r="I67" s="12" t="s">
        <v>220</v>
      </c>
      <c r="J67" s="485" t="s">
        <v>174</v>
      </c>
      <c r="K67" s="485">
        <v>44</v>
      </c>
      <c r="L67" s="485">
        <v>12</v>
      </c>
      <c r="M67" s="485"/>
      <c r="N67" s="485"/>
      <c r="O67" s="485"/>
      <c r="P67" s="485"/>
      <c r="Q67" s="530">
        <f t="shared" si="79"/>
        <v>0</v>
      </c>
      <c r="R67" s="531">
        <v>4.9000000000000002E-2</v>
      </c>
      <c r="S67" s="493">
        <v>28</v>
      </c>
      <c r="T67" s="532">
        <v>0</v>
      </c>
      <c r="U67" s="494"/>
      <c r="V67" s="494"/>
      <c r="W67" s="107"/>
      <c r="X67" s="533">
        <f t="shared" si="80"/>
        <v>0</v>
      </c>
      <c r="Y67" s="534">
        <f t="shared" si="81"/>
        <v>65170.000000000007</v>
      </c>
      <c r="Z67" s="533">
        <f t="shared" si="82"/>
        <v>0</v>
      </c>
      <c r="AA67" s="493">
        <f>9.5*5000</f>
        <v>47500</v>
      </c>
      <c r="AB67" s="493">
        <f t="shared" si="83"/>
        <v>47500</v>
      </c>
      <c r="AC67" s="494">
        <v>0.49</v>
      </c>
      <c r="AD67" s="494">
        <v>0.89</v>
      </c>
      <c r="AE67" s="534">
        <f t="shared" si="84"/>
        <v>20714.75</v>
      </c>
      <c r="AF67" s="534">
        <f t="shared" si="91"/>
        <v>65170.000000000015</v>
      </c>
      <c r="AG67" s="534">
        <f t="shared" si="85"/>
        <v>10784.083333333314</v>
      </c>
      <c r="AH67" s="494"/>
      <c r="AI67" s="494"/>
      <c r="AJ67" s="535">
        <f t="shared" si="86"/>
        <v>0</v>
      </c>
      <c r="AK67" s="494"/>
      <c r="AL67" s="530">
        <f t="shared" si="87"/>
        <v>0</v>
      </c>
      <c r="AM67" s="494"/>
      <c r="AN67" s="536"/>
      <c r="AO67" s="537"/>
      <c r="AP67" s="537"/>
      <c r="AQ67" s="538">
        <f t="shared" si="88"/>
        <v>0</v>
      </c>
      <c r="AR67" s="538">
        <f t="shared" si="89"/>
        <v>0</v>
      </c>
      <c r="AS67" s="539">
        <f t="shared" si="90"/>
        <v>10784.083333333314</v>
      </c>
      <c r="AT67" s="484"/>
      <c r="AU67" s="484"/>
      <c r="AV67" s="484"/>
      <c r="AW67" s="484"/>
      <c r="AX67" s="484"/>
      <c r="AY67" s="484"/>
      <c r="AZ67" s="484"/>
      <c r="BA67" s="484"/>
      <c r="BB67" s="484"/>
      <c r="BC67" s="484"/>
      <c r="BD67" s="484"/>
    </row>
    <row r="68" spans="1:56" s="46" customFormat="1">
      <c r="A68" s="484"/>
      <c r="B68" s="484"/>
      <c r="C68" s="484"/>
      <c r="D68" s="485"/>
      <c r="E68" s="485"/>
      <c r="F68" s="20" t="s">
        <v>176</v>
      </c>
      <c r="G68" s="12">
        <v>2</v>
      </c>
      <c r="H68" s="12" t="s">
        <v>212</v>
      </c>
      <c r="I68" s="12" t="s">
        <v>220</v>
      </c>
      <c r="J68" s="485" t="s">
        <v>174</v>
      </c>
      <c r="K68" s="485">
        <v>44</v>
      </c>
      <c r="L68" s="485">
        <v>12</v>
      </c>
      <c r="M68" s="485"/>
      <c r="N68" s="485"/>
      <c r="O68" s="485"/>
      <c r="P68" s="485"/>
      <c r="Q68" s="530">
        <f t="shared" si="79"/>
        <v>0</v>
      </c>
      <c r="R68" s="531">
        <v>4.9000000000000002E-2</v>
      </c>
      <c r="S68" s="493">
        <v>28</v>
      </c>
      <c r="T68" s="532">
        <v>0</v>
      </c>
      <c r="U68" s="485"/>
      <c r="V68" s="485"/>
      <c r="W68" s="107"/>
      <c r="X68" s="533">
        <f t="shared" si="80"/>
        <v>0</v>
      </c>
      <c r="Y68" s="534">
        <f t="shared" si="81"/>
        <v>6860.0000000000009</v>
      </c>
      <c r="Z68" s="533">
        <f t="shared" si="82"/>
        <v>0</v>
      </c>
      <c r="AA68" s="493">
        <f>1*5000</f>
        <v>5000</v>
      </c>
      <c r="AB68" s="493">
        <f t="shared" si="83"/>
        <v>5000</v>
      </c>
      <c r="AC68" s="494">
        <v>0.77</v>
      </c>
      <c r="AD68" s="494">
        <v>0.89</v>
      </c>
      <c r="AE68" s="534">
        <f t="shared" si="84"/>
        <v>3426.5</v>
      </c>
      <c r="AF68" s="534">
        <f t="shared" si="91"/>
        <v>6860.0000000000009</v>
      </c>
      <c r="AG68" s="534">
        <f t="shared" si="85"/>
        <v>5703.833333333333</v>
      </c>
      <c r="AH68" s="485"/>
      <c r="AI68" s="485"/>
      <c r="AJ68" s="535">
        <f t="shared" si="86"/>
        <v>0</v>
      </c>
      <c r="AK68" s="485"/>
      <c r="AL68" s="530">
        <f t="shared" si="87"/>
        <v>0</v>
      </c>
      <c r="AM68" s="485"/>
      <c r="AN68" s="486"/>
      <c r="AO68" s="486"/>
      <c r="AP68" s="486"/>
      <c r="AQ68" s="538">
        <f t="shared" si="88"/>
        <v>0</v>
      </c>
      <c r="AR68" s="538">
        <f t="shared" si="89"/>
        <v>0</v>
      </c>
      <c r="AS68" s="539">
        <f t="shared" si="90"/>
        <v>5703.833333333333</v>
      </c>
      <c r="AT68" s="484"/>
      <c r="AU68" s="484"/>
      <c r="AV68" s="484"/>
      <c r="AW68" s="484"/>
      <c r="AX68" s="484"/>
      <c r="AY68" s="484"/>
      <c r="AZ68" s="484"/>
      <c r="BA68" s="484"/>
      <c r="BB68" s="484"/>
      <c r="BC68" s="484"/>
      <c r="BD68" s="484"/>
    </row>
    <row r="69" spans="1:56" s="46" customFormat="1">
      <c r="A69" s="484"/>
      <c r="B69" s="484"/>
      <c r="C69" s="484"/>
      <c r="D69" s="485"/>
      <c r="E69" s="485"/>
      <c r="F69" s="20"/>
      <c r="G69" s="12"/>
      <c r="H69" s="12"/>
      <c r="I69" s="12"/>
      <c r="J69" s="485"/>
      <c r="K69" s="485"/>
      <c r="L69" s="485"/>
      <c r="M69" s="485"/>
      <c r="N69" s="485"/>
      <c r="O69" s="485"/>
      <c r="P69" s="485"/>
      <c r="Q69" s="530"/>
      <c r="R69" s="531"/>
      <c r="S69" s="493"/>
      <c r="T69" s="532"/>
      <c r="U69" s="485"/>
      <c r="V69" s="485"/>
      <c r="W69" s="111"/>
      <c r="X69" s="112">
        <f>SUM(X63:X68)</f>
        <v>0</v>
      </c>
      <c r="Y69" s="113">
        <f>SUM(Y63:Y68)</f>
        <v>171500.00000000003</v>
      </c>
      <c r="Z69" s="112">
        <f>SUM(Z63:Z68)</f>
        <v>0</v>
      </c>
      <c r="AA69" s="493"/>
      <c r="AB69" s="58">
        <f>SUM(AA63:AA68)</f>
        <v>125000</v>
      </c>
      <c r="AC69" s="494"/>
      <c r="AD69" s="485"/>
      <c r="AE69" s="534"/>
      <c r="AF69" s="534"/>
      <c r="AG69" s="534"/>
      <c r="AH69" s="485"/>
      <c r="AI69" s="485"/>
      <c r="AJ69" s="535"/>
      <c r="AK69" s="485"/>
      <c r="AL69" s="530"/>
      <c r="AM69" s="485"/>
      <c r="AN69" s="486"/>
      <c r="AO69" s="486"/>
      <c r="AP69" s="486"/>
      <c r="AQ69" s="538"/>
      <c r="AR69" s="538"/>
      <c r="AS69" s="539"/>
      <c r="AT69" s="484"/>
      <c r="AU69" s="484"/>
      <c r="AV69" s="484"/>
      <c r="AW69" s="484"/>
      <c r="AX69" s="484"/>
      <c r="AY69" s="484"/>
      <c r="AZ69" s="484"/>
      <c r="BA69" s="484"/>
      <c r="BB69" s="484"/>
      <c r="BC69" s="484"/>
      <c r="BD69" s="484"/>
    </row>
    <row r="70" spans="1:56" s="46" customFormat="1">
      <c r="A70" s="484"/>
      <c r="B70" s="484"/>
      <c r="C70" s="484"/>
      <c r="D70" s="485"/>
      <c r="E70" s="485"/>
      <c r="F70" s="20" t="s">
        <v>172</v>
      </c>
      <c r="G70" s="12">
        <v>2</v>
      </c>
      <c r="H70" s="12" t="s">
        <v>173</v>
      </c>
      <c r="I70" s="12" t="s">
        <v>221</v>
      </c>
      <c r="J70" s="485" t="s">
        <v>174</v>
      </c>
      <c r="K70" s="485">
        <v>44</v>
      </c>
      <c r="L70" s="485">
        <v>12</v>
      </c>
      <c r="M70" s="485"/>
      <c r="N70" s="485"/>
      <c r="O70" s="485"/>
      <c r="P70" s="485"/>
      <c r="Q70" s="530">
        <f t="shared" si="79"/>
        <v>0</v>
      </c>
      <c r="R70" s="531">
        <v>4.9000000000000002E-2</v>
      </c>
      <c r="S70" s="493">
        <v>28</v>
      </c>
      <c r="T70" s="532">
        <v>0</v>
      </c>
      <c r="U70" s="540"/>
      <c r="V70" s="541"/>
      <c r="W70" s="107"/>
      <c r="X70" s="533">
        <f t="shared" si="80"/>
        <v>0</v>
      </c>
      <c r="Y70" s="534">
        <f t="shared" si="81"/>
        <v>13720.000000000002</v>
      </c>
      <c r="Z70" s="533">
        <f t="shared" si="82"/>
        <v>0</v>
      </c>
      <c r="AA70" s="493">
        <f>2*5000</f>
        <v>10000</v>
      </c>
      <c r="AB70" s="493">
        <f t="shared" si="83"/>
        <v>10000</v>
      </c>
      <c r="AC70" s="494">
        <v>0.77</v>
      </c>
      <c r="AD70" s="494">
        <v>0.89</v>
      </c>
      <c r="AE70" s="534">
        <f t="shared" si="84"/>
        <v>6853</v>
      </c>
      <c r="AF70" s="534">
        <f>($X$76+$Y$76+$Z$76)*(AA70/$AB$76)</f>
        <v>13720.000000000002</v>
      </c>
      <c r="AG70" s="534">
        <f t="shared" si="85"/>
        <v>11407.666666666666</v>
      </c>
      <c r="AH70" s="494"/>
      <c r="AI70" s="540"/>
      <c r="AJ70" s="535">
        <f t="shared" si="86"/>
        <v>0</v>
      </c>
      <c r="AK70" s="494"/>
      <c r="AL70" s="530">
        <f t="shared" si="87"/>
        <v>0</v>
      </c>
      <c r="AM70" s="494"/>
      <c r="AN70" s="536"/>
      <c r="AO70" s="542"/>
      <c r="AP70" s="542"/>
      <c r="AQ70" s="538">
        <f t="shared" si="88"/>
        <v>0</v>
      </c>
      <c r="AR70" s="538">
        <f t="shared" si="89"/>
        <v>0</v>
      </c>
      <c r="AS70" s="539">
        <f t="shared" si="90"/>
        <v>11407.666666666666</v>
      </c>
      <c r="AT70" s="484"/>
      <c r="AU70" s="484"/>
      <c r="AV70" s="484"/>
      <c r="AW70" s="484"/>
      <c r="AX70" s="484"/>
      <c r="AY70" s="484"/>
      <c r="AZ70" s="484"/>
      <c r="BA70" s="484"/>
      <c r="BB70" s="484"/>
      <c r="BC70" s="484"/>
      <c r="BD70" s="484"/>
    </row>
    <row r="71" spans="1:56" s="46" customFormat="1">
      <c r="A71" s="484"/>
      <c r="B71" s="484"/>
      <c r="C71" s="484"/>
      <c r="D71" s="485"/>
      <c r="E71" s="485"/>
      <c r="F71" s="56" t="s">
        <v>175</v>
      </c>
      <c r="G71" s="12">
        <v>2</v>
      </c>
      <c r="H71" s="12" t="s">
        <v>173</v>
      </c>
      <c r="I71" s="12" t="s">
        <v>221</v>
      </c>
      <c r="J71" s="485" t="s">
        <v>174</v>
      </c>
      <c r="K71" s="485">
        <v>44</v>
      </c>
      <c r="L71" s="485">
        <v>12</v>
      </c>
      <c r="M71" s="485"/>
      <c r="N71" s="485"/>
      <c r="O71" s="485"/>
      <c r="P71" s="485"/>
      <c r="Q71" s="530">
        <f t="shared" si="79"/>
        <v>0</v>
      </c>
      <c r="R71" s="531">
        <v>4.9000000000000002E-2</v>
      </c>
      <c r="S71" s="493">
        <v>28</v>
      </c>
      <c r="T71" s="532">
        <v>0</v>
      </c>
      <c r="U71" s="494"/>
      <c r="V71" s="494"/>
      <c r="W71" s="107"/>
      <c r="X71" s="533">
        <f t="shared" si="80"/>
        <v>0</v>
      </c>
      <c r="Y71" s="534">
        <f t="shared" si="81"/>
        <v>65170.000000000007</v>
      </c>
      <c r="Z71" s="533">
        <f t="shared" si="82"/>
        <v>0</v>
      </c>
      <c r="AA71" s="493">
        <f>9.5*5000</f>
        <v>47500</v>
      </c>
      <c r="AB71" s="493">
        <f t="shared" si="83"/>
        <v>47500</v>
      </c>
      <c r="AC71" s="494">
        <v>0.49</v>
      </c>
      <c r="AD71" s="494">
        <v>0.89</v>
      </c>
      <c r="AE71" s="534">
        <f t="shared" si="84"/>
        <v>20714.75</v>
      </c>
      <c r="AF71" s="534">
        <f t="shared" ref="AF71:AF75" si="92">($X$76+$Y$76+$Z$76)*(AA71/$AB$76)</f>
        <v>65170.000000000015</v>
      </c>
      <c r="AG71" s="534">
        <f t="shared" si="85"/>
        <v>10784.083333333314</v>
      </c>
      <c r="AH71" s="494"/>
      <c r="AI71" s="494"/>
      <c r="AJ71" s="535">
        <f t="shared" si="86"/>
        <v>0</v>
      </c>
      <c r="AK71" s="494"/>
      <c r="AL71" s="530">
        <f t="shared" si="87"/>
        <v>0</v>
      </c>
      <c r="AM71" s="494"/>
      <c r="AN71" s="536"/>
      <c r="AO71" s="537"/>
      <c r="AP71" s="537"/>
      <c r="AQ71" s="538">
        <f t="shared" si="88"/>
        <v>0</v>
      </c>
      <c r="AR71" s="538">
        <f t="shared" si="89"/>
        <v>0</v>
      </c>
      <c r="AS71" s="539">
        <f t="shared" si="90"/>
        <v>10784.083333333314</v>
      </c>
      <c r="AT71" s="484"/>
      <c r="AU71" s="484"/>
      <c r="AV71" s="484"/>
      <c r="AW71" s="484"/>
      <c r="AX71" s="484"/>
      <c r="AY71" s="484"/>
      <c r="AZ71" s="484"/>
      <c r="BA71" s="484"/>
      <c r="BB71" s="484"/>
      <c r="BC71" s="484"/>
      <c r="BD71" s="484"/>
    </row>
    <row r="72" spans="1:56" s="46" customFormat="1">
      <c r="A72" s="484"/>
      <c r="B72" s="484"/>
      <c r="C72" s="484"/>
      <c r="D72" s="485"/>
      <c r="E72" s="485"/>
      <c r="F72" s="20" t="s">
        <v>176</v>
      </c>
      <c r="G72" s="12">
        <v>2</v>
      </c>
      <c r="H72" s="12" t="s">
        <v>173</v>
      </c>
      <c r="I72" s="12" t="s">
        <v>221</v>
      </c>
      <c r="J72" s="485" t="s">
        <v>174</v>
      </c>
      <c r="K72" s="485">
        <v>44</v>
      </c>
      <c r="L72" s="485">
        <v>12</v>
      </c>
      <c r="M72" s="485"/>
      <c r="N72" s="485"/>
      <c r="O72" s="485"/>
      <c r="P72" s="485"/>
      <c r="Q72" s="530">
        <f t="shared" si="79"/>
        <v>0</v>
      </c>
      <c r="R72" s="531">
        <v>4.9000000000000002E-2</v>
      </c>
      <c r="S72" s="493">
        <v>28</v>
      </c>
      <c r="T72" s="532">
        <v>0</v>
      </c>
      <c r="U72" s="485"/>
      <c r="V72" s="485"/>
      <c r="W72" s="107"/>
      <c r="X72" s="533">
        <f t="shared" si="80"/>
        <v>0</v>
      </c>
      <c r="Y72" s="534">
        <f t="shared" si="81"/>
        <v>6860.0000000000009</v>
      </c>
      <c r="Z72" s="533">
        <f t="shared" si="82"/>
        <v>0</v>
      </c>
      <c r="AA72" s="493">
        <f>1*5000</f>
        <v>5000</v>
      </c>
      <c r="AB72" s="493">
        <f t="shared" si="83"/>
        <v>5000</v>
      </c>
      <c r="AC72" s="494">
        <v>0.77</v>
      </c>
      <c r="AD72" s="494">
        <v>0.89</v>
      </c>
      <c r="AE72" s="534">
        <f t="shared" si="84"/>
        <v>3426.5</v>
      </c>
      <c r="AF72" s="534">
        <f t="shared" si="92"/>
        <v>6860.0000000000009</v>
      </c>
      <c r="AG72" s="534">
        <f t="shared" si="85"/>
        <v>5703.833333333333</v>
      </c>
      <c r="AH72" s="485"/>
      <c r="AI72" s="485"/>
      <c r="AJ72" s="535">
        <f t="shared" si="86"/>
        <v>0</v>
      </c>
      <c r="AK72" s="485"/>
      <c r="AL72" s="530">
        <f t="shared" si="87"/>
        <v>0</v>
      </c>
      <c r="AM72" s="485"/>
      <c r="AN72" s="486"/>
      <c r="AO72" s="486"/>
      <c r="AP72" s="486"/>
      <c r="AQ72" s="538">
        <f t="shared" si="88"/>
        <v>0</v>
      </c>
      <c r="AR72" s="538">
        <f t="shared" si="89"/>
        <v>0</v>
      </c>
      <c r="AS72" s="539">
        <f t="shared" si="90"/>
        <v>5703.833333333333</v>
      </c>
      <c r="AT72" s="484"/>
      <c r="AU72" s="484"/>
      <c r="AV72" s="484"/>
      <c r="AW72" s="484"/>
      <c r="AX72" s="484"/>
      <c r="AY72" s="484"/>
      <c r="AZ72" s="484"/>
      <c r="BA72" s="484"/>
      <c r="BB72" s="484"/>
      <c r="BC72" s="484"/>
      <c r="BD72" s="484"/>
    </row>
    <row r="73" spans="1:56" s="46" customFormat="1">
      <c r="A73" s="484"/>
      <c r="B73" s="484"/>
      <c r="C73" s="484"/>
      <c r="D73" s="485"/>
      <c r="E73" s="485"/>
      <c r="F73" s="20" t="s">
        <v>172</v>
      </c>
      <c r="G73" s="12">
        <v>2</v>
      </c>
      <c r="H73" s="12" t="s">
        <v>212</v>
      </c>
      <c r="I73" s="12" t="s">
        <v>221</v>
      </c>
      <c r="J73" s="485" t="s">
        <v>174</v>
      </c>
      <c r="K73" s="485">
        <v>44</v>
      </c>
      <c r="L73" s="485">
        <v>12</v>
      </c>
      <c r="M73" s="485"/>
      <c r="N73" s="485"/>
      <c r="O73" s="485"/>
      <c r="P73" s="485"/>
      <c r="Q73" s="530">
        <f t="shared" si="79"/>
        <v>0</v>
      </c>
      <c r="R73" s="531">
        <v>4.9000000000000002E-2</v>
      </c>
      <c r="S73" s="493">
        <v>28</v>
      </c>
      <c r="T73" s="532">
        <v>0</v>
      </c>
      <c r="U73" s="540"/>
      <c r="V73" s="541"/>
      <c r="W73" s="107"/>
      <c r="X73" s="533">
        <f t="shared" si="80"/>
        <v>0</v>
      </c>
      <c r="Y73" s="534">
        <f t="shared" si="81"/>
        <v>13720.000000000002</v>
      </c>
      <c r="Z73" s="533">
        <f t="shared" si="82"/>
        <v>0</v>
      </c>
      <c r="AA73" s="493">
        <f>2*5000</f>
        <v>10000</v>
      </c>
      <c r="AB73" s="493">
        <f t="shared" si="83"/>
        <v>10000</v>
      </c>
      <c r="AC73" s="494">
        <v>0.77</v>
      </c>
      <c r="AD73" s="494">
        <v>0.89</v>
      </c>
      <c r="AE73" s="534">
        <f t="shared" si="84"/>
        <v>6853</v>
      </c>
      <c r="AF73" s="534">
        <f t="shared" si="92"/>
        <v>13720.000000000002</v>
      </c>
      <c r="AG73" s="534">
        <f t="shared" si="85"/>
        <v>11407.666666666666</v>
      </c>
      <c r="AH73" s="494"/>
      <c r="AI73" s="540"/>
      <c r="AJ73" s="535">
        <f t="shared" si="86"/>
        <v>0</v>
      </c>
      <c r="AK73" s="494"/>
      <c r="AL73" s="530">
        <f t="shared" si="87"/>
        <v>0</v>
      </c>
      <c r="AM73" s="494"/>
      <c r="AN73" s="536"/>
      <c r="AO73" s="542"/>
      <c r="AP73" s="542"/>
      <c r="AQ73" s="538">
        <f t="shared" si="88"/>
        <v>0</v>
      </c>
      <c r="AR73" s="538">
        <f t="shared" si="89"/>
        <v>0</v>
      </c>
      <c r="AS73" s="539">
        <f t="shared" si="90"/>
        <v>11407.666666666666</v>
      </c>
      <c r="AT73" s="484"/>
      <c r="AU73" s="484"/>
      <c r="AV73" s="484"/>
      <c r="AW73" s="484"/>
      <c r="AX73" s="484"/>
      <c r="AY73" s="484"/>
      <c r="AZ73" s="484"/>
      <c r="BA73" s="484"/>
      <c r="BB73" s="484"/>
      <c r="BC73" s="484"/>
      <c r="BD73" s="484"/>
    </row>
    <row r="74" spans="1:56" s="46" customFormat="1">
      <c r="A74" s="484"/>
      <c r="B74" s="484"/>
      <c r="C74" s="484"/>
      <c r="D74" s="485"/>
      <c r="E74" s="485"/>
      <c r="F74" s="56" t="s">
        <v>175</v>
      </c>
      <c r="G74" s="12">
        <v>2</v>
      </c>
      <c r="H74" s="12" t="s">
        <v>212</v>
      </c>
      <c r="I74" s="12" t="s">
        <v>221</v>
      </c>
      <c r="J74" s="485" t="s">
        <v>174</v>
      </c>
      <c r="K74" s="485">
        <v>44</v>
      </c>
      <c r="L74" s="485">
        <v>12</v>
      </c>
      <c r="M74" s="485"/>
      <c r="N74" s="485"/>
      <c r="O74" s="485"/>
      <c r="P74" s="485"/>
      <c r="Q74" s="530">
        <f t="shared" si="79"/>
        <v>0</v>
      </c>
      <c r="R74" s="531">
        <v>4.9000000000000002E-2</v>
      </c>
      <c r="S74" s="493">
        <v>28</v>
      </c>
      <c r="T74" s="532">
        <v>0</v>
      </c>
      <c r="U74" s="494"/>
      <c r="V74" s="494"/>
      <c r="W74" s="107"/>
      <c r="X74" s="533">
        <f t="shared" si="80"/>
        <v>0</v>
      </c>
      <c r="Y74" s="534">
        <f t="shared" si="81"/>
        <v>65170.000000000007</v>
      </c>
      <c r="Z74" s="533">
        <f t="shared" si="82"/>
        <v>0</v>
      </c>
      <c r="AA74" s="493">
        <f>9.5*5000</f>
        <v>47500</v>
      </c>
      <c r="AB74" s="493">
        <f t="shared" si="83"/>
        <v>47500</v>
      </c>
      <c r="AC74" s="494">
        <v>0.49</v>
      </c>
      <c r="AD74" s="494">
        <v>0.89</v>
      </c>
      <c r="AE74" s="534">
        <f t="shared" si="84"/>
        <v>20714.75</v>
      </c>
      <c r="AF74" s="534">
        <f t="shared" si="92"/>
        <v>65170.000000000015</v>
      </c>
      <c r="AG74" s="534">
        <f t="shared" si="85"/>
        <v>10784.083333333314</v>
      </c>
      <c r="AH74" s="494"/>
      <c r="AI74" s="494"/>
      <c r="AJ74" s="535">
        <f t="shared" si="86"/>
        <v>0</v>
      </c>
      <c r="AK74" s="494"/>
      <c r="AL74" s="530">
        <f t="shared" si="87"/>
        <v>0</v>
      </c>
      <c r="AM74" s="494"/>
      <c r="AN74" s="536"/>
      <c r="AO74" s="537"/>
      <c r="AP74" s="537"/>
      <c r="AQ74" s="538">
        <f t="shared" si="88"/>
        <v>0</v>
      </c>
      <c r="AR74" s="538">
        <f t="shared" si="89"/>
        <v>0</v>
      </c>
      <c r="AS74" s="539">
        <f t="shared" si="90"/>
        <v>10784.083333333314</v>
      </c>
      <c r="AT74" s="484"/>
      <c r="AU74" s="484"/>
      <c r="AV74" s="484"/>
      <c r="AW74" s="484"/>
      <c r="AX74" s="484"/>
      <c r="AY74" s="484"/>
      <c r="AZ74" s="484"/>
      <c r="BA74" s="484"/>
      <c r="BB74" s="484"/>
      <c r="BC74" s="484"/>
      <c r="BD74" s="484"/>
    </row>
    <row r="75" spans="1:56" s="46" customFormat="1">
      <c r="A75" s="484"/>
      <c r="B75" s="484"/>
      <c r="C75" s="484"/>
      <c r="D75" s="485"/>
      <c r="E75" s="485"/>
      <c r="F75" s="20" t="s">
        <v>176</v>
      </c>
      <c r="G75" s="12">
        <v>2</v>
      </c>
      <c r="H75" s="12" t="s">
        <v>212</v>
      </c>
      <c r="I75" s="12" t="s">
        <v>221</v>
      </c>
      <c r="J75" s="485" t="s">
        <v>174</v>
      </c>
      <c r="K75" s="485">
        <v>44</v>
      </c>
      <c r="L75" s="485">
        <v>12</v>
      </c>
      <c r="M75" s="485"/>
      <c r="N75" s="485"/>
      <c r="O75" s="485"/>
      <c r="P75" s="485"/>
      <c r="Q75" s="530">
        <f t="shared" si="79"/>
        <v>0</v>
      </c>
      <c r="R75" s="531">
        <v>4.9000000000000002E-2</v>
      </c>
      <c r="S75" s="493">
        <v>28</v>
      </c>
      <c r="T75" s="532">
        <v>0</v>
      </c>
      <c r="U75" s="485"/>
      <c r="V75" s="485"/>
      <c r="W75" s="107"/>
      <c r="X75" s="533">
        <f t="shared" si="80"/>
        <v>0</v>
      </c>
      <c r="Y75" s="534">
        <f t="shared" si="81"/>
        <v>6860.0000000000009</v>
      </c>
      <c r="Z75" s="533">
        <f t="shared" si="82"/>
        <v>0</v>
      </c>
      <c r="AA75" s="493">
        <f>1*5000</f>
        <v>5000</v>
      </c>
      <c r="AB75" s="493">
        <f t="shared" si="83"/>
        <v>5000</v>
      </c>
      <c r="AC75" s="494">
        <v>0.77</v>
      </c>
      <c r="AD75" s="494">
        <v>0.89</v>
      </c>
      <c r="AE75" s="534">
        <f t="shared" si="84"/>
        <v>3426.5</v>
      </c>
      <c r="AF75" s="534">
        <f t="shared" si="92"/>
        <v>6860.0000000000009</v>
      </c>
      <c r="AG75" s="534">
        <f t="shared" si="85"/>
        <v>5703.833333333333</v>
      </c>
      <c r="AH75" s="485"/>
      <c r="AI75" s="485"/>
      <c r="AJ75" s="535">
        <f t="shared" si="86"/>
        <v>0</v>
      </c>
      <c r="AK75" s="485"/>
      <c r="AL75" s="530">
        <f t="shared" si="87"/>
        <v>0</v>
      </c>
      <c r="AM75" s="485"/>
      <c r="AN75" s="486"/>
      <c r="AO75" s="486"/>
      <c r="AP75" s="486"/>
      <c r="AQ75" s="538">
        <f t="shared" si="88"/>
        <v>0</v>
      </c>
      <c r="AR75" s="538">
        <f t="shared" si="89"/>
        <v>0</v>
      </c>
      <c r="AS75" s="539">
        <f t="shared" si="90"/>
        <v>5703.833333333333</v>
      </c>
      <c r="AT75" s="484"/>
      <c r="AU75" s="484"/>
      <c r="AV75" s="484"/>
      <c r="AW75" s="484"/>
      <c r="AX75" s="484"/>
      <c r="AY75" s="484"/>
      <c r="AZ75" s="484"/>
      <c r="BA75" s="484"/>
      <c r="BB75" s="484"/>
      <c r="BC75" s="484"/>
      <c r="BD75" s="484"/>
    </row>
    <row r="76" spans="1:56" ht="16" thickBot="1">
      <c r="A76" s="484"/>
      <c r="B76" s="484"/>
      <c r="C76" s="484"/>
      <c r="D76" s="485"/>
      <c r="E76" s="485"/>
      <c r="F76" s="89" t="s">
        <v>206</v>
      </c>
      <c r="G76" s="571"/>
      <c r="H76" s="571"/>
      <c r="I76" s="571"/>
      <c r="J76" s="571"/>
      <c r="K76" s="571"/>
      <c r="L76" s="571"/>
      <c r="M76" s="571"/>
      <c r="N76" s="571"/>
      <c r="O76" s="571"/>
      <c r="P76" s="571"/>
      <c r="Q76" s="544"/>
      <c r="R76" s="573"/>
      <c r="S76" s="571"/>
      <c r="T76" s="574"/>
      <c r="U76" s="571"/>
      <c r="V76" s="571"/>
      <c r="W76" s="571"/>
      <c r="X76" s="115">
        <f>SUM(X70:X75)</f>
        <v>0</v>
      </c>
      <c r="Y76" s="116">
        <f>SUM(Y70:Y75)</f>
        <v>171500.00000000003</v>
      </c>
      <c r="Z76" s="115">
        <f>SUM(Z70:Z75)</f>
        <v>0</v>
      </c>
      <c r="AA76" s="544"/>
      <c r="AB76" s="116">
        <f>SUM(AA70:AA75)</f>
        <v>125000</v>
      </c>
      <c r="AC76" s="544"/>
      <c r="AD76" s="571"/>
      <c r="AE76" s="544"/>
      <c r="AF76" s="548"/>
      <c r="AG76" s="548"/>
      <c r="AH76" s="571"/>
      <c r="AI76" s="571"/>
      <c r="AJ76" s="571"/>
      <c r="AK76" s="571"/>
      <c r="AL76" s="544"/>
      <c r="AM76" s="571"/>
      <c r="AN76" s="575"/>
      <c r="AO76" s="575"/>
      <c r="AP76" s="575"/>
      <c r="AQ76" s="551"/>
      <c r="AR76" s="551"/>
      <c r="AS76" s="81"/>
      <c r="AT76" s="484"/>
      <c r="AU76" s="484"/>
      <c r="AV76" s="484"/>
      <c r="AW76" s="484"/>
      <c r="AX76" s="484"/>
      <c r="AY76" s="484"/>
      <c r="AZ76" s="484"/>
      <c r="BA76" s="484"/>
      <c r="BB76" s="484"/>
      <c r="BC76" s="484"/>
      <c r="BD76" s="484"/>
    </row>
    <row r="77" spans="1:56">
      <c r="A77" s="484"/>
      <c r="B77" s="1"/>
      <c r="C77" s="484"/>
      <c r="D77" s="485"/>
      <c r="E77" s="485"/>
      <c r="F77" s="54" t="s">
        <v>214</v>
      </c>
      <c r="G77" s="54"/>
      <c r="H77" s="485"/>
      <c r="I77" s="485"/>
      <c r="J77" s="485"/>
      <c r="K77" s="485"/>
      <c r="L77" s="485"/>
      <c r="M77" s="485"/>
      <c r="N77" s="485"/>
      <c r="O77" s="485"/>
      <c r="P77" s="485"/>
      <c r="Q77" s="485"/>
      <c r="R77" s="485"/>
      <c r="S77" s="485"/>
      <c r="T77" s="485"/>
      <c r="U77" s="485"/>
      <c r="V77" s="485"/>
      <c r="W77" s="485"/>
      <c r="X77" s="485"/>
      <c r="Y77" s="485"/>
      <c r="Z77" s="485"/>
      <c r="AA77" s="485"/>
      <c r="AB77" s="485"/>
      <c r="AC77" s="485"/>
      <c r="AD77" s="485"/>
      <c r="AE77" s="485"/>
      <c r="AF77" s="485"/>
      <c r="AG77" s="485"/>
      <c r="AH77" s="486"/>
      <c r="AI77" s="486"/>
      <c r="AJ77" s="486"/>
      <c r="AK77" s="484"/>
      <c r="AL77" s="484"/>
      <c r="AM77" s="484"/>
      <c r="AN77" s="484"/>
      <c r="AO77" s="484"/>
      <c r="AP77" s="484"/>
      <c r="AQ77" s="484"/>
      <c r="AR77" s="484"/>
      <c r="AS77" s="484"/>
      <c r="AT77" s="484"/>
      <c r="AU77" s="484"/>
      <c r="AV77" s="484"/>
      <c r="AW77" s="484"/>
      <c r="AX77" s="484"/>
      <c r="AY77" s="484"/>
      <c r="AZ77" s="484"/>
      <c r="BA77" s="484"/>
      <c r="BB77" s="484"/>
      <c r="BC77" s="484"/>
      <c r="BD77" s="484"/>
    </row>
    <row r="78" spans="1:56" s="46" customFormat="1">
      <c r="A78" s="484"/>
      <c r="B78" s="1"/>
      <c r="C78" s="484"/>
      <c r="D78" s="485"/>
      <c r="E78" s="485"/>
      <c r="F78" s="51" t="s">
        <v>215</v>
      </c>
      <c r="G78" s="485"/>
      <c r="H78" s="485"/>
      <c r="I78" s="485"/>
      <c r="J78" s="485"/>
      <c r="K78" s="485"/>
      <c r="L78" s="485"/>
      <c r="M78" s="485"/>
      <c r="N78" s="485"/>
      <c r="O78" s="485"/>
      <c r="P78" s="485"/>
      <c r="Q78" s="485"/>
      <c r="R78" s="485"/>
      <c r="S78" s="485"/>
      <c r="T78" s="485"/>
      <c r="U78" s="485"/>
      <c r="V78" s="485"/>
      <c r="W78" s="485"/>
      <c r="X78" s="485"/>
      <c r="Y78" s="485"/>
      <c r="Z78" s="485"/>
      <c r="AA78" s="485"/>
      <c r="AB78" s="485"/>
      <c r="AC78" s="485"/>
      <c r="AD78" s="485"/>
      <c r="AE78" s="485"/>
      <c r="AF78" s="485"/>
      <c r="AG78" s="485"/>
      <c r="AH78" s="486"/>
      <c r="AI78" s="486"/>
      <c r="AJ78" s="486"/>
      <c r="AK78" s="484"/>
      <c r="AL78" s="484"/>
      <c r="AM78" s="484"/>
      <c r="AN78" s="484"/>
      <c r="AO78" s="484"/>
      <c r="AP78" s="484"/>
      <c r="AQ78" s="484"/>
      <c r="AR78" s="484"/>
      <c r="AS78" s="104">
        <f>SUM(AS48:AS75)</f>
        <v>223164.66666666654</v>
      </c>
      <c r="AT78" s="484"/>
      <c r="AU78" s="484"/>
      <c r="AV78" s="484"/>
      <c r="AW78" s="484"/>
      <c r="AX78" s="484"/>
      <c r="AY78" s="484"/>
      <c r="AZ78" s="484"/>
      <c r="BA78" s="484"/>
      <c r="BB78" s="484"/>
      <c r="BC78" s="484"/>
      <c r="BD78" s="484"/>
    </row>
    <row r="79" spans="1:56" s="46" customFormat="1">
      <c r="A79" s="484"/>
      <c r="B79" s="1"/>
      <c r="C79" s="484"/>
      <c r="D79" s="485"/>
      <c r="E79" s="485"/>
      <c r="F79" s="485"/>
      <c r="G79" s="485"/>
      <c r="H79" s="485"/>
      <c r="I79" s="485"/>
      <c r="J79" s="485"/>
      <c r="K79" s="485"/>
      <c r="L79" s="485"/>
      <c r="M79" s="485"/>
      <c r="N79" s="485"/>
      <c r="O79" s="485"/>
      <c r="P79" s="485"/>
      <c r="Q79" s="485"/>
      <c r="R79" s="485"/>
      <c r="S79" s="485"/>
      <c r="T79" s="485"/>
      <c r="U79" s="485"/>
      <c r="V79" s="485"/>
      <c r="W79" s="485"/>
      <c r="X79" s="485"/>
      <c r="Y79" s="485"/>
      <c r="Z79" s="485"/>
      <c r="AA79" s="485"/>
      <c r="AB79" s="485"/>
      <c r="AC79" s="485"/>
      <c r="AD79" s="485"/>
      <c r="AE79" s="485"/>
      <c r="AF79" s="485"/>
      <c r="AG79" s="485"/>
      <c r="AH79" s="486"/>
      <c r="AI79" s="486"/>
      <c r="AJ79" s="486"/>
      <c r="AK79" s="484"/>
      <c r="AL79" s="484"/>
      <c r="AM79" s="484"/>
      <c r="AN79" s="484"/>
      <c r="AO79" s="484"/>
      <c r="AP79" s="484"/>
      <c r="AQ79" s="484"/>
      <c r="AR79" s="484"/>
      <c r="AS79" s="484"/>
      <c r="AT79" s="484"/>
      <c r="AU79" s="484"/>
      <c r="AV79" s="484"/>
      <c r="AW79" s="484"/>
      <c r="AX79" s="484"/>
      <c r="AY79" s="484"/>
      <c r="AZ79" s="484"/>
      <c r="BA79" s="484"/>
      <c r="BB79" s="484"/>
      <c r="BC79" s="484"/>
      <c r="BD79" s="484"/>
    </row>
    <row r="80" spans="1:56">
      <c r="A80" s="484"/>
      <c r="B80" s="484"/>
      <c r="C80" s="484"/>
      <c r="D80" s="485"/>
      <c r="E80" s="485"/>
      <c r="F80" s="485"/>
      <c r="G80" s="485"/>
      <c r="H80" s="485"/>
      <c r="I80" s="485"/>
      <c r="J80" s="485"/>
      <c r="K80" s="485"/>
      <c r="L80" s="485"/>
      <c r="M80" s="485"/>
      <c r="N80" s="485"/>
      <c r="O80" s="485"/>
      <c r="P80" s="485"/>
      <c r="Q80" s="485"/>
      <c r="R80" s="485"/>
      <c r="S80" s="485"/>
      <c r="T80" s="485"/>
      <c r="U80" s="485"/>
      <c r="V80" s="485"/>
      <c r="W80" s="485"/>
      <c r="X80" s="485"/>
      <c r="Y80" s="485"/>
      <c r="Z80" s="485"/>
      <c r="AA80" s="485"/>
      <c r="AB80" s="485"/>
      <c r="AC80" s="485"/>
      <c r="AD80" s="485"/>
      <c r="AE80" s="485"/>
      <c r="AF80" s="485"/>
      <c r="AG80" s="485"/>
      <c r="AH80" s="486"/>
      <c r="AI80" s="486"/>
      <c r="AJ80" s="486"/>
      <c r="AK80" s="484"/>
      <c r="AL80" s="484"/>
      <c r="AM80" s="484"/>
      <c r="AN80" s="484"/>
      <c r="AO80" s="484"/>
      <c r="AP80" s="484"/>
      <c r="AQ80" s="484"/>
      <c r="AR80" s="484"/>
      <c r="AS80" s="484"/>
      <c r="AT80" s="484"/>
      <c r="AU80" s="484"/>
      <c r="AV80" s="484"/>
      <c r="AW80" s="484"/>
      <c r="AX80" s="484"/>
      <c r="AY80" s="484"/>
      <c r="AZ80" s="484"/>
      <c r="BA80" s="484"/>
      <c r="BB80" s="484"/>
      <c r="BC80" s="484"/>
      <c r="BD80" s="484"/>
    </row>
    <row r="81" spans="1:56">
      <c r="A81" s="484"/>
      <c r="B81" s="484"/>
      <c r="C81" s="484"/>
      <c r="D81" s="485"/>
      <c r="E81" s="485"/>
      <c r="F81" s="577"/>
      <c r="G81" s="485"/>
      <c r="H81" s="485"/>
      <c r="I81" s="485"/>
      <c r="J81" s="485"/>
      <c r="K81" s="485"/>
      <c r="L81" s="485"/>
      <c r="M81" s="485"/>
      <c r="N81" s="485"/>
      <c r="O81" s="485"/>
      <c r="P81" s="485"/>
      <c r="Q81" s="485"/>
      <c r="R81" s="485"/>
      <c r="S81" s="485"/>
      <c r="T81" s="485"/>
      <c r="U81" s="485"/>
      <c r="V81" s="485"/>
      <c r="W81" s="485"/>
      <c r="X81" s="485"/>
      <c r="Y81" s="485"/>
      <c r="Z81" s="485"/>
      <c r="AA81" s="485"/>
      <c r="AB81" s="485"/>
      <c r="AC81" s="485"/>
      <c r="AD81" s="485"/>
      <c r="AE81" s="485"/>
      <c r="AF81" s="485"/>
      <c r="AG81" s="485"/>
      <c r="AH81" s="486"/>
      <c r="AI81" s="486"/>
      <c r="AJ81" s="486"/>
      <c r="AK81" s="484"/>
      <c r="AL81" s="484"/>
      <c r="AM81" s="484"/>
      <c r="AN81" s="484"/>
      <c r="AO81" s="484"/>
      <c r="AP81" s="484"/>
      <c r="AQ81" s="484"/>
      <c r="AR81" s="484"/>
      <c r="AS81" s="499"/>
      <c r="AT81" s="484"/>
      <c r="AU81" s="484"/>
      <c r="AV81" s="484"/>
      <c r="AW81" s="484"/>
      <c r="AX81" s="484"/>
      <c r="AY81" s="484"/>
      <c r="AZ81" s="484"/>
      <c r="BA81" s="484"/>
      <c r="BB81" s="484"/>
      <c r="BC81" s="484"/>
      <c r="BD81" s="484"/>
    </row>
    <row r="82" spans="1:56">
      <c r="A82" s="484"/>
      <c r="B82" s="484"/>
      <c r="C82" s="484"/>
      <c r="D82" s="485"/>
      <c r="E82" s="485"/>
      <c r="F82" s="485"/>
      <c r="G82" s="485"/>
      <c r="H82" s="485"/>
      <c r="I82" s="485"/>
      <c r="J82" s="485"/>
      <c r="K82" s="485"/>
      <c r="L82" s="485"/>
      <c r="M82" s="485"/>
      <c r="N82" s="485"/>
      <c r="O82" s="485"/>
      <c r="P82" s="485"/>
      <c r="Q82" s="485"/>
      <c r="R82" s="485"/>
      <c r="S82" s="485"/>
      <c r="T82" s="485"/>
      <c r="U82" s="485"/>
      <c r="V82" s="485"/>
      <c r="W82" s="485"/>
      <c r="X82" s="485"/>
      <c r="Y82" s="485"/>
      <c r="Z82" s="485"/>
      <c r="AA82" s="485"/>
      <c r="AB82" s="485"/>
      <c r="AC82" s="485"/>
      <c r="AD82" s="485"/>
      <c r="AE82" s="485"/>
      <c r="AF82" s="485"/>
      <c r="AG82" s="485"/>
      <c r="AH82" s="486"/>
      <c r="AI82" s="486"/>
      <c r="AJ82" s="486"/>
      <c r="AK82" s="484"/>
      <c r="AL82" s="484"/>
      <c r="AM82" s="484"/>
      <c r="AN82" s="484"/>
      <c r="AO82" s="484"/>
      <c r="AP82" s="484"/>
      <c r="AQ82" s="484"/>
      <c r="AR82" s="484"/>
      <c r="AS82" s="484"/>
      <c r="AT82" s="484"/>
      <c r="AU82" s="484"/>
      <c r="AV82" s="484"/>
      <c r="AW82" s="484"/>
      <c r="AX82" s="484"/>
      <c r="AY82" s="484"/>
      <c r="AZ82" s="484"/>
      <c r="BA82" s="484"/>
      <c r="BB82" s="484"/>
      <c r="BC82" s="484"/>
      <c r="BD82" s="484"/>
    </row>
    <row r="83" spans="1:56">
      <c r="A83" s="484"/>
      <c r="B83" s="484"/>
      <c r="C83" s="484"/>
      <c r="D83" s="485"/>
      <c r="E83" s="485"/>
      <c r="F83" s="485"/>
      <c r="G83" s="485"/>
      <c r="H83" s="485"/>
      <c r="I83" s="485"/>
      <c r="J83" s="485"/>
      <c r="K83" s="485"/>
      <c r="L83" s="485"/>
      <c r="M83" s="485"/>
      <c r="N83" s="485"/>
      <c r="O83" s="485"/>
      <c r="P83" s="485"/>
      <c r="Q83" s="485"/>
      <c r="R83" s="485"/>
      <c r="S83" s="485"/>
      <c r="T83" s="485"/>
      <c r="U83" s="485"/>
      <c r="V83" s="485"/>
      <c r="W83" s="485"/>
      <c r="X83" s="485"/>
      <c r="Y83" s="485"/>
      <c r="Z83" s="485"/>
      <c r="AA83" s="485"/>
      <c r="AB83" s="485"/>
      <c r="AC83" s="485"/>
      <c r="AD83" s="485"/>
      <c r="AE83" s="485"/>
      <c r="AF83" s="485"/>
      <c r="AG83" s="485"/>
      <c r="AH83" s="486"/>
      <c r="AI83" s="486"/>
      <c r="AJ83" s="486"/>
      <c r="AK83" s="484"/>
      <c r="AL83" s="484"/>
      <c r="AM83" s="484"/>
      <c r="AN83" s="484"/>
      <c r="AO83" s="484"/>
      <c r="AP83" s="484"/>
      <c r="AQ83" s="484"/>
      <c r="AR83" s="484"/>
      <c r="AS83" s="484"/>
      <c r="AT83" s="484"/>
      <c r="AU83" s="484"/>
      <c r="AV83" s="484"/>
      <c r="AW83" s="484"/>
      <c r="AX83" s="484"/>
      <c r="AY83" s="484"/>
      <c r="AZ83" s="484"/>
      <c r="BA83" s="484"/>
      <c r="BB83" s="484"/>
      <c r="BC83" s="484"/>
      <c r="BD83" s="484"/>
    </row>
    <row r="84" spans="1:56">
      <c r="A84" s="484"/>
      <c r="B84" s="484"/>
      <c r="C84" s="484"/>
      <c r="D84" s="485"/>
      <c r="E84" s="485"/>
      <c r="F84" s="577"/>
      <c r="G84" s="485"/>
      <c r="H84" s="485"/>
      <c r="I84" s="485"/>
      <c r="J84" s="485"/>
      <c r="K84" s="485"/>
      <c r="L84" s="485"/>
      <c r="M84" s="485"/>
      <c r="N84" s="485"/>
      <c r="O84" s="485"/>
      <c r="P84" s="485"/>
      <c r="Q84" s="485"/>
      <c r="R84" s="485"/>
      <c r="S84" s="485"/>
      <c r="T84" s="485"/>
      <c r="U84" s="485"/>
      <c r="V84" s="485"/>
      <c r="W84" s="485"/>
      <c r="X84" s="485"/>
      <c r="Y84" s="485"/>
      <c r="Z84" s="485"/>
      <c r="AA84" s="485"/>
      <c r="AB84" s="485"/>
      <c r="AC84" s="485"/>
      <c r="AD84" s="485"/>
      <c r="AE84" s="485"/>
      <c r="AF84" s="485"/>
      <c r="AG84" s="485"/>
      <c r="AH84" s="486"/>
      <c r="AI84" s="486"/>
      <c r="AJ84" s="486"/>
      <c r="AK84" s="484"/>
      <c r="AL84" s="484"/>
      <c r="AM84" s="484"/>
      <c r="AN84" s="484"/>
      <c r="AO84" s="484"/>
      <c r="AP84" s="484"/>
      <c r="AQ84" s="484"/>
      <c r="AR84" s="484"/>
      <c r="AS84" s="484"/>
      <c r="AT84" s="484"/>
      <c r="AU84" s="484"/>
      <c r="AV84" s="484"/>
      <c r="AW84" s="484"/>
      <c r="AX84" s="484"/>
      <c r="AY84" s="484"/>
      <c r="AZ84" s="484"/>
      <c r="BA84" s="484"/>
      <c r="BB84" s="484"/>
      <c r="BC84" s="484"/>
      <c r="BD84" s="484"/>
    </row>
    <row r="85" spans="1:56">
      <c r="A85" s="484"/>
      <c r="B85" s="484"/>
      <c r="C85" s="484"/>
      <c r="D85" s="485"/>
      <c r="E85" s="485"/>
      <c r="F85" s="485"/>
      <c r="G85" s="485"/>
      <c r="H85" s="485"/>
      <c r="I85" s="485"/>
      <c r="J85" s="485"/>
      <c r="K85" s="485"/>
      <c r="L85" s="485"/>
      <c r="M85" s="485"/>
      <c r="N85" s="485"/>
      <c r="O85" s="485"/>
      <c r="P85" s="485"/>
      <c r="Q85" s="485"/>
      <c r="R85" s="485"/>
      <c r="S85" s="485"/>
      <c r="T85" s="485"/>
      <c r="U85" s="485"/>
      <c r="V85" s="485"/>
      <c r="W85" s="485"/>
      <c r="X85" s="485"/>
      <c r="Y85" s="485"/>
      <c r="Z85" s="485"/>
      <c r="AA85" s="485"/>
      <c r="AB85" s="485"/>
      <c r="AC85" s="485"/>
      <c r="AD85" s="485"/>
      <c r="AE85" s="485"/>
      <c r="AF85" s="485"/>
      <c r="AG85" s="485"/>
      <c r="AH85" s="486"/>
      <c r="AI85" s="486"/>
      <c r="AJ85" s="486"/>
      <c r="AK85" s="484"/>
      <c r="AL85" s="484"/>
      <c r="AM85" s="484"/>
      <c r="AN85" s="484"/>
      <c r="AO85" s="484"/>
      <c r="AP85" s="484"/>
      <c r="AQ85" s="484"/>
      <c r="AR85" s="484"/>
      <c r="AS85" s="484"/>
      <c r="AT85" s="484"/>
      <c r="AU85" s="484"/>
      <c r="AV85" s="484"/>
      <c r="AW85" s="484"/>
      <c r="AX85" s="484"/>
      <c r="AY85" s="484"/>
      <c r="AZ85" s="484"/>
      <c r="BA85" s="484"/>
      <c r="BB85" s="484"/>
      <c r="BC85" s="484"/>
      <c r="BD85" s="484"/>
    </row>
    <row r="86" spans="1:56">
      <c r="A86" s="484"/>
      <c r="B86" s="484"/>
      <c r="C86" s="484"/>
      <c r="D86" s="485"/>
      <c r="E86" s="485"/>
      <c r="F86" s="485"/>
      <c r="G86" s="485"/>
      <c r="H86" s="485"/>
      <c r="I86" s="485"/>
      <c r="J86" s="485"/>
      <c r="K86" s="485"/>
      <c r="L86" s="485"/>
      <c r="M86" s="485"/>
      <c r="N86" s="485"/>
      <c r="O86" s="485"/>
      <c r="P86" s="485"/>
      <c r="Q86" s="485"/>
      <c r="R86" s="485"/>
      <c r="S86" s="485"/>
      <c r="T86" s="485"/>
      <c r="U86" s="485"/>
      <c r="V86" s="485"/>
      <c r="W86" s="485"/>
      <c r="X86" s="485"/>
      <c r="Y86" s="485"/>
      <c r="Z86" s="485"/>
      <c r="AA86" s="485"/>
      <c r="AB86" s="485"/>
      <c r="AC86" s="485"/>
      <c r="AD86" s="485"/>
      <c r="AE86" s="485"/>
      <c r="AF86" s="485"/>
      <c r="AG86" s="485"/>
      <c r="AH86" s="486"/>
      <c r="AI86" s="486"/>
      <c r="AJ86" s="486"/>
      <c r="AK86" s="484"/>
      <c r="AL86" s="484"/>
      <c r="AM86" s="484"/>
      <c r="AN86" s="484"/>
      <c r="AO86" s="484"/>
      <c r="AP86" s="484"/>
      <c r="AQ86" s="484"/>
      <c r="AR86" s="484"/>
      <c r="AS86" s="484"/>
      <c r="AT86" s="484"/>
      <c r="AU86" s="484"/>
      <c r="AV86" s="484"/>
      <c r="AW86" s="484"/>
      <c r="AX86" s="484"/>
      <c r="AY86" s="484"/>
      <c r="AZ86" s="484"/>
      <c r="BA86" s="484"/>
      <c r="BB86" s="484"/>
      <c r="BC86" s="484"/>
      <c r="BD86" s="484"/>
    </row>
    <row r="87" spans="1:56">
      <c r="A87" s="484"/>
      <c r="B87" s="484"/>
      <c r="C87" s="484"/>
      <c r="D87" s="485"/>
      <c r="E87" s="485"/>
      <c r="F87" s="485"/>
      <c r="G87" s="485"/>
      <c r="H87" s="485"/>
      <c r="I87" s="485"/>
      <c r="J87" s="485"/>
      <c r="K87" s="485"/>
      <c r="L87" s="485"/>
      <c r="M87" s="485"/>
      <c r="N87" s="485"/>
      <c r="O87" s="485"/>
      <c r="P87" s="485"/>
      <c r="Q87" s="485"/>
      <c r="R87" s="485"/>
      <c r="S87" s="485"/>
      <c r="T87" s="485"/>
      <c r="U87" s="485"/>
      <c r="V87" s="485"/>
      <c r="W87" s="485"/>
      <c r="X87" s="485"/>
      <c r="Y87" s="485"/>
      <c r="Z87" s="485"/>
      <c r="AA87" s="485"/>
      <c r="AB87" s="485"/>
      <c r="AC87" s="485"/>
      <c r="AD87" s="485"/>
      <c r="AE87" s="485"/>
      <c r="AF87" s="485"/>
      <c r="AG87" s="485"/>
      <c r="AH87" s="486"/>
      <c r="AI87" s="486"/>
      <c r="AJ87" s="486"/>
      <c r="AK87" s="484"/>
      <c r="AL87" s="484"/>
      <c r="AM87" s="484"/>
      <c r="AN87" s="484"/>
      <c r="AO87" s="484"/>
      <c r="AP87" s="484"/>
      <c r="AQ87" s="484"/>
      <c r="AR87" s="484"/>
      <c r="AS87" s="484"/>
      <c r="AT87" s="484"/>
      <c r="AU87" s="484"/>
      <c r="AV87" s="484"/>
      <c r="AW87" s="484"/>
      <c r="AX87" s="484"/>
      <c r="AY87" s="484"/>
      <c r="AZ87" s="484"/>
      <c r="BA87" s="484"/>
      <c r="BB87" s="484"/>
      <c r="BC87" s="484"/>
      <c r="BD87" s="484"/>
    </row>
    <row r="90" spans="1:56">
      <c r="A90" s="484"/>
      <c r="B90" s="484"/>
      <c r="C90" s="484"/>
      <c r="D90" s="485"/>
      <c r="E90" s="485"/>
      <c r="F90" s="485"/>
      <c r="G90" s="485"/>
      <c r="H90" s="485"/>
      <c r="I90" s="485"/>
      <c r="J90" s="485"/>
      <c r="K90" s="485"/>
      <c r="L90" s="485"/>
      <c r="M90" s="485"/>
      <c r="N90" s="485"/>
      <c r="O90" s="485"/>
      <c r="P90" s="485"/>
      <c r="Q90" s="485"/>
      <c r="R90" s="485"/>
      <c r="S90" s="485"/>
      <c r="T90" s="485"/>
      <c r="U90" s="485"/>
      <c r="V90" s="485"/>
      <c r="W90" s="485"/>
      <c r="X90" s="485"/>
      <c r="Y90" s="485"/>
      <c r="Z90" s="485"/>
      <c r="AA90" s="485"/>
      <c r="AB90" s="485"/>
      <c r="AC90" s="485"/>
      <c r="AD90" s="485"/>
      <c r="AE90" s="485"/>
      <c r="AF90" s="485"/>
      <c r="AG90" s="485"/>
      <c r="AH90" s="486"/>
      <c r="AI90" s="486"/>
      <c r="AJ90" s="486"/>
      <c r="AK90" s="484"/>
      <c r="AL90" s="484"/>
      <c r="AM90" s="484"/>
      <c r="AN90" s="484"/>
      <c r="AO90" s="484"/>
      <c r="AP90" s="484"/>
      <c r="AQ90" s="484"/>
      <c r="AR90" s="484"/>
      <c r="AS90" s="484"/>
      <c r="AT90" s="484"/>
      <c r="AU90" s="484"/>
      <c r="AV90" s="484"/>
      <c r="AW90" s="484"/>
      <c r="AX90" s="484"/>
      <c r="AY90" s="484"/>
      <c r="AZ90" s="484"/>
      <c r="BA90" s="484"/>
      <c r="BB90" s="484"/>
      <c r="BC90" s="484"/>
      <c r="BD90" s="484"/>
    </row>
    <row r="91" spans="1:56">
      <c r="A91" s="484"/>
      <c r="B91" s="484"/>
      <c r="C91" s="484"/>
      <c r="D91" s="485"/>
      <c r="E91" s="485"/>
      <c r="F91" s="485"/>
      <c r="G91" s="485"/>
      <c r="H91" s="485"/>
      <c r="I91" s="485"/>
      <c r="J91" s="485"/>
      <c r="K91" s="485"/>
      <c r="L91" s="485"/>
      <c r="M91" s="485"/>
      <c r="N91" s="485"/>
      <c r="O91" s="485"/>
      <c r="P91" s="485"/>
      <c r="Q91" s="485"/>
      <c r="R91" s="485"/>
      <c r="S91" s="485"/>
      <c r="T91" s="485"/>
      <c r="U91" s="485"/>
      <c r="V91" s="485"/>
      <c r="W91" s="485"/>
      <c r="X91" s="485"/>
      <c r="Y91" s="485"/>
      <c r="Z91" s="485"/>
      <c r="AA91" s="485"/>
      <c r="AB91" s="485"/>
      <c r="AC91" s="485"/>
      <c r="AD91" s="485"/>
      <c r="AE91" s="485"/>
      <c r="AF91" s="485"/>
      <c r="AG91" s="485"/>
      <c r="AH91" s="486"/>
      <c r="AI91" s="486"/>
      <c r="AJ91" s="486"/>
      <c r="AK91" s="484"/>
      <c r="AL91" s="484"/>
      <c r="AM91" s="484"/>
      <c r="AN91" s="484"/>
      <c r="AO91" s="484"/>
      <c r="AP91" s="484"/>
      <c r="AQ91" s="484"/>
      <c r="AR91" s="484"/>
      <c r="AS91" s="484"/>
      <c r="AT91" s="484"/>
      <c r="AU91" s="484"/>
      <c r="AV91" s="484"/>
      <c r="AW91" s="484"/>
      <c r="AX91" s="484"/>
      <c r="AY91" s="484"/>
      <c r="AZ91" s="484"/>
      <c r="BA91" s="484"/>
      <c r="BB91" s="484"/>
      <c r="BC91" s="484"/>
      <c r="BD91" s="484"/>
    </row>
    <row r="92" spans="1:56">
      <c r="A92" s="484"/>
      <c r="B92" s="484"/>
      <c r="C92" s="484"/>
      <c r="D92" s="485"/>
      <c r="E92" s="485"/>
      <c r="F92" s="485"/>
      <c r="G92" s="485"/>
      <c r="H92" s="485"/>
      <c r="I92" s="485"/>
      <c r="J92" s="485"/>
      <c r="K92" s="485"/>
      <c r="L92" s="485"/>
      <c r="M92" s="485"/>
      <c r="N92" s="485"/>
      <c r="O92" s="485"/>
      <c r="P92" s="485"/>
      <c r="Q92" s="485"/>
      <c r="R92" s="485"/>
      <c r="S92" s="485"/>
      <c r="T92" s="485"/>
      <c r="U92" s="485"/>
      <c r="V92" s="485"/>
      <c r="W92" s="485"/>
      <c r="X92" s="485"/>
      <c r="Y92" s="485"/>
      <c r="Z92" s="485"/>
      <c r="AA92" s="485"/>
      <c r="AB92" s="485"/>
      <c r="AC92" s="485"/>
      <c r="AD92" s="485"/>
      <c r="AE92" s="485"/>
      <c r="AF92" s="485"/>
      <c r="AG92" s="485"/>
      <c r="AH92" s="486"/>
      <c r="AI92" s="486"/>
      <c r="AJ92" s="486"/>
      <c r="AK92" s="484"/>
      <c r="AL92" s="484"/>
      <c r="AM92" s="484"/>
      <c r="AN92" s="484"/>
      <c r="AO92" s="484"/>
      <c r="AP92" s="484"/>
      <c r="AQ92" s="484"/>
      <c r="AR92" s="484"/>
      <c r="AS92" s="484"/>
      <c r="AT92" s="484"/>
      <c r="AU92" s="484"/>
      <c r="AV92" s="484"/>
      <c r="AW92" s="484"/>
      <c r="AX92" s="484"/>
      <c r="AY92" s="484"/>
      <c r="AZ92" s="484"/>
      <c r="BA92" s="484"/>
      <c r="BB92" s="484"/>
      <c r="BC92" s="484"/>
      <c r="BD92" s="484"/>
    </row>
    <row r="93" spans="1:56">
      <c r="A93" s="484"/>
      <c r="B93" s="484"/>
      <c r="C93" s="484"/>
      <c r="D93" s="485"/>
      <c r="E93" s="485"/>
      <c r="F93" s="485"/>
      <c r="G93" s="485"/>
      <c r="H93" s="485"/>
      <c r="I93" s="485"/>
      <c r="J93" s="485"/>
      <c r="K93" s="485"/>
      <c r="L93" s="485"/>
      <c r="M93" s="485"/>
      <c r="N93" s="485"/>
      <c r="O93" s="485"/>
      <c r="P93" s="485"/>
      <c r="Q93" s="485"/>
      <c r="R93" s="485"/>
      <c r="S93" s="485"/>
      <c r="T93" s="485"/>
      <c r="U93" s="485"/>
      <c r="V93" s="485"/>
      <c r="W93" s="485"/>
      <c r="X93" s="485"/>
      <c r="Y93" s="485"/>
      <c r="Z93" s="485"/>
      <c r="AA93" s="485"/>
      <c r="AB93" s="485"/>
      <c r="AC93" s="485"/>
      <c r="AD93" s="485"/>
      <c r="AE93" s="485"/>
      <c r="AF93" s="485"/>
      <c r="AG93" s="485"/>
      <c r="AH93" s="486"/>
      <c r="AI93" s="486"/>
      <c r="AJ93" s="486"/>
      <c r="AK93" s="484"/>
      <c r="AL93" s="484"/>
      <c r="AM93" s="484"/>
      <c r="AN93" s="484"/>
      <c r="AO93" s="484"/>
      <c r="AP93" s="484"/>
      <c r="AQ93" s="484"/>
      <c r="AR93" s="484"/>
      <c r="AS93" s="484"/>
      <c r="AT93" s="484"/>
      <c r="AU93" s="484"/>
      <c r="AV93" s="484"/>
      <c r="AW93" s="484"/>
      <c r="AX93" s="484"/>
      <c r="AY93" s="484"/>
      <c r="AZ93" s="484"/>
      <c r="BA93" s="484"/>
      <c r="BB93" s="484"/>
      <c r="BC93" s="484"/>
      <c r="BD93" s="484"/>
    </row>
    <row r="94" spans="1:56">
      <c r="A94" s="484"/>
      <c r="B94" s="484"/>
      <c r="C94" s="484"/>
      <c r="D94" s="485"/>
      <c r="E94" s="485"/>
      <c r="F94" s="485"/>
      <c r="G94" s="485"/>
      <c r="H94" s="485"/>
      <c r="I94" s="485"/>
      <c r="J94" s="485"/>
      <c r="K94" s="485"/>
      <c r="L94" s="485"/>
      <c r="M94" s="485"/>
      <c r="N94" s="485"/>
      <c r="O94" s="485"/>
      <c r="P94" s="485"/>
      <c r="Q94" s="485"/>
      <c r="R94" s="485"/>
      <c r="S94" s="485"/>
      <c r="T94" s="485"/>
      <c r="U94" s="485"/>
      <c r="V94" s="485"/>
      <c r="W94" s="485"/>
      <c r="X94" s="485"/>
      <c r="Y94" s="485"/>
      <c r="Z94" s="485"/>
      <c r="AA94" s="485"/>
      <c r="AB94" s="485"/>
      <c r="AC94" s="485"/>
      <c r="AD94" s="485"/>
      <c r="AE94" s="485"/>
      <c r="AF94" s="485"/>
      <c r="AG94" s="485"/>
      <c r="AH94" s="486"/>
      <c r="AI94" s="486"/>
      <c r="AJ94" s="486"/>
      <c r="AK94" s="484"/>
      <c r="AL94" s="484"/>
      <c r="AM94" s="484"/>
      <c r="AN94" s="484"/>
      <c r="AO94" s="484"/>
      <c r="AP94" s="484"/>
      <c r="AQ94" s="484"/>
      <c r="AR94" s="484"/>
      <c r="AS94" s="484"/>
      <c r="AT94" s="484"/>
      <c r="AU94" s="484"/>
      <c r="AV94" s="484"/>
      <c r="AW94" s="484"/>
      <c r="AX94" s="484"/>
      <c r="AY94" s="484"/>
      <c r="AZ94" s="484"/>
      <c r="BA94" s="484"/>
      <c r="BB94" s="484"/>
      <c r="BC94" s="484"/>
      <c r="BD94" s="484"/>
    </row>
    <row r="95" spans="1:56">
      <c r="A95" s="484"/>
      <c r="B95" s="484"/>
      <c r="C95" s="484"/>
      <c r="D95" s="485"/>
      <c r="E95" s="485"/>
      <c r="F95" s="485"/>
      <c r="G95" s="485"/>
      <c r="H95" s="485"/>
      <c r="I95" s="485"/>
      <c r="J95" s="485"/>
      <c r="K95" s="485"/>
      <c r="L95" s="485"/>
      <c r="M95" s="485"/>
      <c r="N95" s="485"/>
      <c r="O95" s="485"/>
      <c r="P95" s="485"/>
      <c r="Q95" s="485"/>
      <c r="R95" s="485"/>
      <c r="S95" s="485"/>
      <c r="T95" s="485"/>
      <c r="U95" s="485"/>
      <c r="V95" s="485"/>
      <c r="W95" s="485"/>
      <c r="X95" s="485"/>
      <c r="Y95" s="485"/>
      <c r="Z95" s="485"/>
      <c r="AA95" s="485"/>
      <c r="AB95" s="485"/>
      <c r="AC95" s="485"/>
      <c r="AD95" s="485"/>
      <c r="AE95" s="485"/>
      <c r="AF95" s="485"/>
      <c r="AG95" s="485"/>
      <c r="AH95" s="486"/>
      <c r="AI95" s="486"/>
      <c r="AJ95" s="486"/>
      <c r="AK95" s="484"/>
      <c r="AL95" s="484"/>
      <c r="AM95" s="484"/>
      <c r="AN95" s="484"/>
      <c r="AO95" s="484"/>
      <c r="AP95" s="484"/>
      <c r="AQ95" s="484"/>
      <c r="AR95" s="484"/>
      <c r="AS95" s="484"/>
      <c r="AT95" s="484"/>
      <c r="AU95" s="484"/>
      <c r="AV95" s="484"/>
      <c r="AW95" s="484"/>
      <c r="AX95" s="484"/>
      <c r="AY95" s="484"/>
      <c r="AZ95" s="484"/>
      <c r="BA95" s="484"/>
      <c r="BB95" s="484"/>
      <c r="BC95" s="484"/>
      <c r="BD95" s="484"/>
    </row>
    <row r="96" spans="1:56">
      <c r="A96" s="484"/>
      <c r="B96" s="484"/>
      <c r="C96" s="484"/>
      <c r="D96" s="485"/>
      <c r="E96" s="485"/>
      <c r="F96" s="485"/>
      <c r="G96" s="485"/>
      <c r="H96" s="485"/>
      <c r="I96" s="485"/>
      <c r="J96" s="485"/>
      <c r="K96" s="485"/>
      <c r="L96" s="485"/>
      <c r="M96" s="485"/>
      <c r="N96" s="485"/>
      <c r="O96" s="485"/>
      <c r="P96" s="485"/>
      <c r="Q96" s="485"/>
      <c r="R96" s="485"/>
      <c r="S96" s="485"/>
      <c r="T96" s="485"/>
      <c r="U96" s="485"/>
      <c r="V96" s="485"/>
      <c r="W96" s="485"/>
      <c r="X96" s="485"/>
      <c r="Y96" s="485"/>
      <c r="Z96" s="485"/>
      <c r="AA96" s="485"/>
      <c r="AB96" s="485"/>
      <c r="AC96" s="485"/>
      <c r="AD96" s="485"/>
      <c r="AE96" s="485"/>
      <c r="AF96" s="485"/>
      <c r="AG96" s="485"/>
      <c r="AH96" s="486"/>
      <c r="AI96" s="486"/>
      <c r="AJ96" s="486"/>
      <c r="AK96" s="484"/>
      <c r="AL96" s="484"/>
      <c r="AM96" s="484"/>
      <c r="AN96" s="484"/>
      <c r="AO96" s="484"/>
      <c r="AP96" s="484"/>
      <c r="AQ96" s="484"/>
      <c r="AR96" s="484"/>
      <c r="AS96" s="484"/>
      <c r="AT96" s="484"/>
      <c r="AU96" s="484"/>
      <c r="AV96" s="484"/>
      <c r="AW96" s="484"/>
      <c r="AX96" s="484"/>
      <c r="AY96" s="484"/>
      <c r="AZ96" s="484"/>
      <c r="BA96" s="484"/>
      <c r="BB96" s="484"/>
      <c r="BC96" s="484"/>
      <c r="BD96" s="484"/>
    </row>
    <row r="97" spans="6:9">
      <c r="F97" s="485"/>
      <c r="G97" s="485"/>
      <c r="H97" s="485"/>
      <c r="I97" s="485"/>
    </row>
    <row r="98" spans="6:9">
      <c r="F98" s="485"/>
      <c r="G98" s="485"/>
      <c r="H98" s="485"/>
      <c r="I98" s="485"/>
    </row>
  </sheetData>
  <mergeCells count="3">
    <mergeCell ref="M44:Q44"/>
    <mergeCell ref="Z44:AF44"/>
    <mergeCell ref="AG44:AK44"/>
  </mergeCells>
  <hyperlinks>
    <hyperlink ref="B5" r:id="rId1" xr:uid="{1174BE06-8314-419B-9DA2-FDA915C8CFD4}"/>
    <hyperlink ref="B8" r:id="rId2" xr:uid="{934330EE-1E7E-49CD-A45C-0E83B35AD544}"/>
    <hyperlink ref="B9" r:id="rId3" xr:uid="{951F48B4-1FC0-46DE-9C72-881EB1841145}"/>
    <hyperlink ref="F40" r:id="rId4" xr:uid="{5C490996-805A-473E-BFF3-D76C17C2CC62}"/>
    <hyperlink ref="F77" r:id="rId5" xr:uid="{6858FCA4-8A08-45C4-9679-262C76973702}"/>
    <hyperlink ref="F41" r:id="rId6" xr:uid="{15C15D6F-F4E9-4E9C-942A-7F64CBF1B518}"/>
    <hyperlink ref="F78" r:id="rId7" xr:uid="{62B061C4-552F-4076-894F-6CECB56B3A1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C305-0981-41A9-BAF7-22DECDC3D164}">
  <dimension ref="A1:BD91"/>
  <sheetViews>
    <sheetView topLeftCell="V1" zoomScale="90" zoomScaleNormal="90" workbookViewId="0">
      <selection activeCell="AP12" sqref="AP12"/>
    </sheetView>
  </sheetViews>
  <sheetFormatPr baseColWidth="10" defaultColWidth="9.1640625" defaultRowHeight="15"/>
  <cols>
    <col min="1" max="1" width="9.1640625" style="46"/>
    <col min="2" max="2" width="23.1640625" style="46" customWidth="1"/>
    <col min="3" max="3" width="9.1640625" style="46"/>
    <col min="4" max="4" width="9.1640625" style="53"/>
    <col min="5" max="5" width="12.5" style="53" customWidth="1"/>
    <col min="6" max="6" width="15.5" style="53" customWidth="1"/>
    <col min="7" max="7" width="7.5" style="53" customWidth="1"/>
    <col min="8" max="8" width="9.83203125" style="47" customWidth="1"/>
    <col min="9" max="9" width="8.5" style="47" customWidth="1"/>
    <col min="10" max="10" width="9" style="53" customWidth="1"/>
    <col min="11" max="11" width="7.5" style="53" customWidth="1"/>
    <col min="12" max="13" width="5.5" style="53" bestFit="1" customWidth="1"/>
    <col min="14" max="15" width="5" style="53" bestFit="1" customWidth="1"/>
    <col min="16" max="16" width="8.5" style="53" customWidth="1"/>
    <col min="17" max="17" width="10.83203125" style="53" customWidth="1"/>
    <col min="18" max="18" width="8.83203125" style="53" bestFit="1" customWidth="1"/>
    <col min="19" max="20" width="7.83203125" style="53" bestFit="1" customWidth="1"/>
    <col min="21" max="21" width="11" style="53" customWidth="1"/>
    <col min="22" max="22" width="7.83203125" style="53" bestFit="1" customWidth="1"/>
    <col min="23" max="23" width="8.5" style="53" customWidth="1"/>
    <col min="24" max="24" width="11.5" style="53" bestFit="1" customWidth="1"/>
    <col min="25" max="25" width="12.5" style="53" bestFit="1" customWidth="1"/>
    <col min="26" max="26" width="13.83203125" style="53" customWidth="1"/>
    <col min="27" max="27" width="10" style="47" customWidth="1"/>
    <col min="28" max="28" width="12" style="53" customWidth="1"/>
    <col min="29" max="29" width="11.5" style="53" bestFit="1" customWidth="1"/>
    <col min="30" max="30" width="13.5" style="53" bestFit="1" customWidth="1"/>
    <col min="31" max="31" width="8.83203125" style="47" customWidth="1"/>
    <col min="32" max="32" width="10.1640625" style="53" customWidth="1"/>
    <col min="33" max="33" width="12.5" style="53" customWidth="1"/>
    <col min="34" max="34" width="8.5" style="55" customWidth="1"/>
    <col min="35" max="35" width="12.5" style="55" bestFit="1" customWidth="1"/>
    <col min="36" max="36" width="9.5" style="55" customWidth="1"/>
    <col min="37" max="37" width="10.83203125" style="48" customWidth="1"/>
    <col min="38" max="38" width="11.5" style="48" customWidth="1"/>
    <col min="39" max="39" width="9.5" style="48" customWidth="1"/>
    <col min="40" max="40" width="11.1640625" style="48" customWidth="1"/>
    <col min="41" max="41" width="11.5" style="48" customWidth="1"/>
    <col min="42" max="42" width="13.5" style="48" customWidth="1"/>
    <col min="43" max="43" width="11.5" style="48" bestFit="1" customWidth="1"/>
    <col min="44" max="44" width="12.1640625" style="48" bestFit="1" customWidth="1"/>
    <col min="45" max="46" width="11.5" style="48" bestFit="1" customWidth="1"/>
    <col min="47" max="47" width="9.1640625" style="48"/>
    <col min="48" max="48" width="13.5" style="48" bestFit="1" customWidth="1"/>
    <col min="49" max="16384" width="9.1640625" style="48"/>
  </cols>
  <sheetData>
    <row r="1" spans="1:56" s="46" customFormat="1">
      <c r="A1" s="484"/>
      <c r="B1" s="484"/>
      <c r="C1" s="484"/>
      <c r="D1" s="485"/>
      <c r="E1" s="485"/>
      <c r="F1" s="485"/>
      <c r="G1" s="485"/>
      <c r="H1" s="485"/>
      <c r="I1" s="485"/>
      <c r="J1" s="485"/>
      <c r="K1" s="485"/>
      <c r="L1" s="485"/>
      <c r="M1" s="485"/>
      <c r="N1" s="485"/>
      <c r="O1" s="485"/>
      <c r="P1" s="485"/>
      <c r="Q1" s="485"/>
      <c r="R1" s="485"/>
      <c r="S1" s="485"/>
      <c r="T1" s="485"/>
      <c r="U1" s="485"/>
      <c r="V1" s="485"/>
      <c r="W1" s="485"/>
      <c r="X1" s="485"/>
      <c r="Y1" s="485"/>
      <c r="Z1" s="485"/>
      <c r="AA1" s="485"/>
      <c r="AB1" s="485"/>
      <c r="AC1" s="485"/>
      <c r="AD1" s="485"/>
      <c r="AE1" s="485"/>
      <c r="AF1" s="485"/>
      <c r="AG1" s="485"/>
      <c r="AH1" s="486"/>
      <c r="AI1" s="486"/>
      <c r="AJ1" s="486"/>
      <c r="AK1" s="484"/>
      <c r="AL1" s="484"/>
      <c r="AM1" s="484"/>
      <c r="AN1" s="484"/>
      <c r="AO1" s="484"/>
      <c r="AP1" s="484"/>
      <c r="AQ1" s="484"/>
      <c r="AR1" s="484"/>
      <c r="AS1" s="484"/>
      <c r="AT1" s="484"/>
      <c r="AU1" s="484"/>
      <c r="AV1" s="484"/>
      <c r="AW1" s="484"/>
      <c r="AX1" s="484"/>
      <c r="AY1" s="484"/>
      <c r="AZ1" s="484"/>
      <c r="BA1" s="484"/>
      <c r="BB1" s="484"/>
      <c r="BC1" s="484"/>
      <c r="BD1" s="484"/>
    </row>
    <row r="2" spans="1:56" s="46" customFormat="1">
      <c r="A2" s="484"/>
      <c r="B2" s="484"/>
      <c r="C2" s="484"/>
      <c r="D2" s="485"/>
      <c r="E2" s="485"/>
      <c r="F2" s="485"/>
      <c r="G2" s="485"/>
      <c r="H2" s="485"/>
      <c r="I2" s="485"/>
      <c r="J2" s="485"/>
      <c r="K2" s="485"/>
      <c r="L2" s="485"/>
      <c r="M2" s="485"/>
      <c r="N2" s="485"/>
      <c r="O2" s="485"/>
      <c r="P2" s="485"/>
      <c r="Q2" s="485"/>
      <c r="R2" s="485"/>
      <c r="S2" s="485"/>
      <c r="T2" s="485"/>
      <c r="U2" s="485"/>
      <c r="V2" s="485"/>
      <c r="W2" s="485"/>
      <c r="X2" s="485"/>
      <c r="Y2" s="485"/>
      <c r="Z2" s="485"/>
      <c r="AA2" s="485"/>
      <c r="AB2" s="485"/>
      <c r="AC2" s="485"/>
      <c r="AD2" s="485"/>
      <c r="AE2" s="485"/>
      <c r="AF2" s="485"/>
      <c r="AG2" s="485"/>
      <c r="AH2" s="486"/>
      <c r="AI2" s="486"/>
      <c r="AJ2" s="486"/>
      <c r="AK2" s="484"/>
      <c r="AL2" s="484"/>
      <c r="AM2" s="484"/>
      <c r="AN2" s="484"/>
      <c r="AO2" s="484"/>
      <c r="AP2" s="484"/>
      <c r="AQ2" s="484"/>
      <c r="AR2" s="484"/>
      <c r="AS2" s="484"/>
      <c r="AT2" s="484"/>
      <c r="AU2" s="484"/>
      <c r="AV2" s="484"/>
      <c r="AW2" s="484"/>
      <c r="AX2" s="484"/>
      <c r="AY2" s="484"/>
      <c r="AZ2" s="484"/>
      <c r="BA2" s="484"/>
      <c r="BB2" s="484"/>
      <c r="BC2" s="484"/>
      <c r="BD2" s="484"/>
    </row>
    <row r="3" spans="1:56" s="46" customFormat="1">
      <c r="A3" s="484"/>
      <c r="B3" s="484"/>
      <c r="C3" s="484"/>
      <c r="D3" s="485"/>
      <c r="E3" s="485"/>
      <c r="F3" s="485"/>
      <c r="G3" s="485"/>
      <c r="H3" s="485"/>
      <c r="I3" s="485"/>
      <c r="J3" s="485"/>
      <c r="K3" s="485"/>
      <c r="L3" s="485"/>
      <c r="M3" s="485"/>
      <c r="N3" s="485"/>
      <c r="O3" s="485"/>
      <c r="P3" s="485"/>
      <c r="Q3" s="485"/>
      <c r="R3" s="485"/>
      <c r="S3" s="485"/>
      <c r="T3" s="485"/>
      <c r="U3" s="485"/>
      <c r="V3" s="485"/>
      <c r="W3" s="485"/>
      <c r="X3" s="485"/>
      <c r="Y3" s="485"/>
      <c r="Z3" s="485"/>
      <c r="AA3" s="485"/>
      <c r="AB3" s="485"/>
      <c r="AC3" s="485"/>
      <c r="AD3" s="485"/>
      <c r="AE3" s="485"/>
      <c r="AF3" s="485"/>
      <c r="AG3" s="485"/>
      <c r="AH3" s="486"/>
      <c r="AI3" s="486"/>
      <c r="AJ3" s="486"/>
      <c r="AK3" s="484"/>
      <c r="AL3" s="484"/>
      <c r="AM3" s="484"/>
      <c r="AN3" s="484"/>
      <c r="AO3" s="484"/>
      <c r="AP3" s="484"/>
      <c r="AQ3" s="484"/>
      <c r="AR3" s="484"/>
      <c r="AS3" s="484"/>
      <c r="AT3" s="484"/>
      <c r="AU3" s="484"/>
      <c r="AV3" s="484"/>
      <c r="AW3" s="484"/>
      <c r="AX3" s="484"/>
      <c r="AY3" s="484"/>
      <c r="AZ3" s="484"/>
      <c r="BA3" s="484"/>
      <c r="BB3" s="484"/>
      <c r="BC3" s="484"/>
      <c r="BD3" s="484"/>
    </row>
    <row r="4" spans="1:56" s="46" customFormat="1">
      <c r="A4" s="484" t="s">
        <v>178</v>
      </c>
      <c r="B4" s="484" t="s">
        <v>179</v>
      </c>
      <c r="C4" s="484"/>
      <c r="D4" s="485"/>
      <c r="E4" s="485"/>
      <c r="F4" s="485"/>
      <c r="G4" s="485"/>
      <c r="H4" s="485"/>
      <c r="I4" s="485"/>
      <c r="J4" s="485"/>
      <c r="K4" s="485"/>
      <c r="L4" s="485"/>
      <c r="M4" s="485"/>
      <c r="N4" s="485"/>
      <c r="O4" s="485"/>
      <c r="P4" s="485"/>
      <c r="Q4" s="485"/>
      <c r="R4" s="485"/>
      <c r="S4" s="485"/>
      <c r="T4" s="485"/>
      <c r="U4" s="485"/>
      <c r="V4" s="485"/>
      <c r="W4" s="485"/>
      <c r="X4" s="485"/>
      <c r="Y4" s="485"/>
      <c r="Z4" s="485"/>
      <c r="AA4" s="485"/>
      <c r="AB4" s="485"/>
      <c r="AC4" s="485"/>
      <c r="AD4" s="485"/>
      <c r="AE4" s="485"/>
      <c r="AF4" s="485"/>
      <c r="AG4" s="485"/>
      <c r="AH4" s="486"/>
      <c r="AI4" s="486"/>
      <c r="AJ4" s="486"/>
      <c r="AK4" s="484"/>
      <c r="AL4" s="484"/>
      <c r="AM4" s="484"/>
      <c r="AN4" s="484"/>
      <c r="AO4" s="484"/>
      <c r="AP4" s="484"/>
      <c r="AQ4" s="484"/>
      <c r="AR4" s="484"/>
      <c r="AS4" s="484"/>
      <c r="AT4" s="484"/>
      <c r="AU4" s="484"/>
      <c r="AV4" s="484"/>
      <c r="AW4" s="484"/>
      <c r="AX4" s="484"/>
      <c r="AY4" s="484"/>
      <c r="AZ4" s="484"/>
      <c r="BA4" s="484"/>
      <c r="BB4" s="484"/>
      <c r="BC4" s="484"/>
      <c r="BD4" s="484"/>
    </row>
    <row r="5" spans="1:56" s="46" customFormat="1">
      <c r="A5" s="484" t="s">
        <v>180</v>
      </c>
      <c r="B5" s="51" t="s">
        <v>181</v>
      </c>
      <c r="C5" s="484"/>
      <c r="D5" s="485"/>
      <c r="E5" s="485"/>
      <c r="F5" s="485"/>
      <c r="G5" s="485"/>
      <c r="H5" s="485"/>
      <c r="I5" s="485"/>
      <c r="J5" s="485"/>
      <c r="K5" s="485"/>
      <c r="L5" s="485"/>
      <c r="M5" s="485"/>
      <c r="N5" s="485"/>
      <c r="O5" s="485"/>
      <c r="P5" s="485"/>
      <c r="Q5" s="485"/>
      <c r="R5" s="485"/>
      <c r="S5" s="485"/>
      <c r="T5" s="485"/>
      <c r="U5" s="485"/>
      <c r="V5" s="485"/>
      <c r="W5" s="485"/>
      <c r="X5" s="485"/>
      <c r="Y5" s="485"/>
      <c r="Z5" s="485"/>
      <c r="AA5" s="485"/>
      <c r="AB5" s="485"/>
      <c r="AC5" s="485"/>
      <c r="AD5" s="485"/>
      <c r="AE5" s="485"/>
      <c r="AF5" s="485"/>
      <c r="AG5" s="485"/>
      <c r="AH5" s="486"/>
      <c r="AI5" s="486"/>
      <c r="AJ5" s="486"/>
      <c r="AK5" s="484"/>
      <c r="AL5" s="484"/>
      <c r="AM5" s="484"/>
      <c r="AN5" s="484"/>
      <c r="AO5" s="484"/>
      <c r="AP5" s="484"/>
      <c r="AQ5" s="484"/>
      <c r="AR5" s="484"/>
      <c r="AS5" s="484"/>
      <c r="AT5" s="484"/>
      <c r="AU5" s="484"/>
      <c r="AV5" s="484"/>
      <c r="AW5" s="484"/>
      <c r="AX5" s="484"/>
      <c r="AY5" s="484"/>
      <c r="AZ5" s="484"/>
      <c r="BA5" s="484"/>
      <c r="BB5" s="484"/>
      <c r="BC5" s="484"/>
      <c r="BD5" s="484"/>
    </row>
    <row r="6" spans="1:56">
      <c r="A6" s="484" t="s">
        <v>182</v>
      </c>
      <c r="B6" s="484" t="s">
        <v>183</v>
      </c>
      <c r="C6" s="484"/>
      <c r="D6" s="485"/>
      <c r="E6" s="485"/>
      <c r="F6" s="485"/>
      <c r="G6" s="485"/>
      <c r="H6" s="485"/>
      <c r="I6" s="485"/>
      <c r="J6" s="485"/>
      <c r="K6" s="485"/>
      <c r="L6" s="485"/>
      <c r="M6" s="487"/>
      <c r="N6" s="487"/>
      <c r="O6" s="487"/>
      <c r="P6" s="487"/>
      <c r="Q6" s="485"/>
      <c r="R6" s="485"/>
      <c r="S6" s="485"/>
      <c r="T6" s="485"/>
      <c r="U6" s="485"/>
      <c r="V6" s="485"/>
      <c r="W6" s="485"/>
      <c r="X6" s="485"/>
      <c r="Y6" s="485"/>
      <c r="Z6" s="485"/>
      <c r="AA6" s="485"/>
      <c r="AB6" s="485"/>
      <c r="AC6" s="485"/>
      <c r="AD6" s="485"/>
      <c r="AE6" s="485"/>
      <c r="AF6" s="485"/>
      <c r="AG6" s="485"/>
      <c r="AH6" s="486"/>
      <c r="AI6" s="486"/>
      <c r="AJ6" s="486"/>
      <c r="AK6" s="484"/>
      <c r="AL6" s="484"/>
      <c r="AM6" s="484"/>
      <c r="AN6" s="484"/>
      <c r="AO6" s="484"/>
      <c r="AP6" s="484"/>
      <c r="AQ6" s="484"/>
      <c r="AR6" s="484"/>
      <c r="AS6" s="484"/>
      <c r="AT6" s="484"/>
      <c r="AU6" s="484"/>
      <c r="AV6" s="484"/>
      <c r="AW6" s="484"/>
      <c r="AX6" s="484"/>
      <c r="AY6" s="484"/>
      <c r="AZ6" s="484"/>
      <c r="BA6" s="484"/>
      <c r="BB6" s="484"/>
      <c r="BC6" s="484"/>
      <c r="BD6" s="484"/>
    </row>
    <row r="7" spans="1:56" ht="16" thickBot="1">
      <c r="A7" s="484" t="s">
        <v>185</v>
      </c>
      <c r="B7" s="501">
        <v>45478</v>
      </c>
      <c r="C7" s="484"/>
      <c r="D7" s="485"/>
      <c r="E7" s="485"/>
      <c r="F7" s="485" t="s">
        <v>127</v>
      </c>
      <c r="G7" s="485"/>
      <c r="H7" s="485"/>
      <c r="I7" s="485"/>
      <c r="J7" s="485"/>
      <c r="K7" s="485"/>
      <c r="L7" s="485"/>
      <c r="M7" s="485"/>
      <c r="N7" s="485"/>
      <c r="O7" s="485"/>
      <c r="P7" s="485"/>
      <c r="Q7" s="487"/>
      <c r="R7" s="485"/>
      <c r="S7" s="485"/>
      <c r="T7" s="485"/>
      <c r="U7" s="485"/>
      <c r="V7" s="485"/>
      <c r="W7" s="485"/>
      <c r="X7" s="485"/>
      <c r="Y7" s="485"/>
      <c r="Z7" s="485"/>
      <c r="AA7" s="485"/>
      <c r="AB7" s="485"/>
      <c r="AC7" s="485"/>
      <c r="AD7" s="485"/>
      <c r="AE7" s="485"/>
      <c r="AF7" s="485"/>
      <c r="AG7" s="485"/>
      <c r="AH7" s="486"/>
      <c r="AI7" s="486"/>
      <c r="AJ7" s="486"/>
      <c r="AK7" s="484"/>
      <c r="AL7" s="484"/>
      <c r="AM7" s="484"/>
      <c r="AN7" s="484"/>
      <c r="AO7" s="484"/>
      <c r="AP7" s="484"/>
      <c r="AQ7" s="484"/>
      <c r="AR7" s="484"/>
      <c r="AS7" s="484"/>
      <c r="AT7" s="484"/>
      <c r="AU7" s="484"/>
      <c r="AV7" s="484"/>
      <c r="AW7" s="484"/>
      <c r="AX7" s="484"/>
      <c r="AY7" s="484"/>
      <c r="AZ7" s="484"/>
      <c r="BA7" s="484"/>
      <c r="BB7" s="484"/>
      <c r="BC7" s="484"/>
      <c r="BD7" s="484"/>
    </row>
    <row r="8" spans="1:56">
      <c r="A8" s="484" t="s">
        <v>186</v>
      </c>
      <c r="B8" s="51" t="s">
        <v>187</v>
      </c>
      <c r="C8" s="484"/>
      <c r="D8" s="485"/>
      <c r="E8" s="485"/>
      <c r="F8" s="93"/>
      <c r="G8" s="94"/>
      <c r="H8" s="94"/>
      <c r="I8" s="94"/>
      <c r="J8" s="94"/>
      <c r="K8" s="94"/>
      <c r="L8" s="94"/>
      <c r="M8" s="94"/>
      <c r="N8" s="15"/>
      <c r="O8" s="15"/>
      <c r="P8" s="16"/>
      <c r="Q8" s="15"/>
      <c r="R8" s="15"/>
      <c r="S8" s="15"/>
      <c r="T8" s="15"/>
      <c r="U8" s="16"/>
      <c r="V8" s="15"/>
      <c r="W8" s="15"/>
      <c r="X8" s="16"/>
      <c r="Y8" s="16"/>
      <c r="Z8" s="15"/>
      <c r="AA8" s="15"/>
      <c r="AB8" s="16"/>
      <c r="AC8" s="16"/>
      <c r="AD8" s="16"/>
      <c r="AE8" s="15"/>
      <c r="AF8" s="15"/>
      <c r="AG8" s="16"/>
      <c r="AH8" s="15"/>
      <c r="AI8" s="16"/>
      <c r="AJ8" s="15"/>
      <c r="AK8" s="17"/>
      <c r="AL8" s="17"/>
      <c r="AM8" s="17"/>
      <c r="AN8" s="18"/>
      <c r="AO8" s="18"/>
      <c r="AP8" s="19"/>
      <c r="AQ8" s="486"/>
      <c r="AR8" s="486"/>
      <c r="AS8" s="484"/>
      <c r="AT8" s="484"/>
      <c r="AU8" s="484"/>
      <c r="AV8" s="484"/>
      <c r="AW8" s="484"/>
      <c r="AX8" s="484"/>
      <c r="AY8" s="484"/>
      <c r="AZ8" s="484"/>
      <c r="BA8" s="484"/>
      <c r="BB8" s="484"/>
      <c r="BC8" s="484"/>
      <c r="BD8" s="484"/>
    </row>
    <row r="9" spans="1:56" s="103" customFormat="1" ht="49" thickBot="1">
      <c r="A9" s="484" t="s">
        <v>188</v>
      </c>
      <c r="B9" s="52" t="s">
        <v>189</v>
      </c>
      <c r="C9" s="484"/>
      <c r="D9" s="485"/>
      <c r="E9" s="487"/>
      <c r="F9" s="489" t="s">
        <v>128</v>
      </c>
      <c r="G9" s="95" t="s">
        <v>129</v>
      </c>
      <c r="H9" s="95" t="s">
        <v>130</v>
      </c>
      <c r="I9" s="95" t="s">
        <v>131</v>
      </c>
      <c r="J9" s="95" t="s">
        <v>132</v>
      </c>
      <c r="K9" s="95" t="s">
        <v>133</v>
      </c>
      <c r="L9" s="95"/>
      <c r="M9" s="95"/>
      <c r="N9" s="95"/>
      <c r="O9" s="95"/>
      <c r="P9" s="98"/>
      <c r="Q9" s="95"/>
      <c r="R9" s="95"/>
      <c r="S9" s="95"/>
      <c r="T9" s="95"/>
      <c r="U9" s="98" t="s">
        <v>33</v>
      </c>
      <c r="V9" s="95"/>
      <c r="W9" s="95"/>
      <c r="X9" s="98" t="s">
        <v>134</v>
      </c>
      <c r="Y9" s="99" t="s">
        <v>135</v>
      </c>
      <c r="Z9" s="95"/>
      <c r="AA9" s="95"/>
      <c r="AB9" s="98" t="s">
        <v>136</v>
      </c>
      <c r="AC9" s="98" t="s">
        <v>38</v>
      </c>
      <c r="AD9" s="98" t="s">
        <v>12</v>
      </c>
      <c r="AE9" s="95"/>
      <c r="AF9" s="95"/>
      <c r="AG9" s="98" t="s">
        <v>72</v>
      </c>
      <c r="AH9" s="95"/>
      <c r="AI9" s="98" t="s">
        <v>67</v>
      </c>
      <c r="AJ9" s="95"/>
      <c r="AK9" s="100"/>
      <c r="AL9" s="100"/>
      <c r="AM9" s="100"/>
      <c r="AN9" s="101" t="s">
        <v>53</v>
      </c>
      <c r="AO9" s="101" t="s">
        <v>95</v>
      </c>
      <c r="AP9" s="102" t="s">
        <v>102</v>
      </c>
      <c r="AQ9" s="490"/>
      <c r="AR9" s="490"/>
      <c r="AS9" s="488"/>
      <c r="AT9" s="488"/>
      <c r="AU9" s="488"/>
      <c r="AV9" s="488"/>
      <c r="AW9" s="488"/>
      <c r="AX9" s="488"/>
      <c r="AY9" s="488"/>
      <c r="AZ9" s="488"/>
      <c r="BA9" s="488"/>
      <c r="BB9" s="488"/>
      <c r="BC9" s="488"/>
      <c r="BD9" s="488"/>
    </row>
    <row r="10" spans="1:56" ht="19" thickBot="1">
      <c r="A10" s="484"/>
      <c r="B10" s="484"/>
      <c r="C10" s="484"/>
      <c r="D10" s="485"/>
      <c r="E10" s="485"/>
      <c r="F10" s="32" t="s">
        <v>137</v>
      </c>
      <c r="G10" s="95" t="s">
        <v>138</v>
      </c>
      <c r="H10" s="95" t="s">
        <v>139</v>
      </c>
      <c r="I10" s="95" t="s">
        <v>140</v>
      </c>
      <c r="J10" s="95"/>
      <c r="K10" s="95"/>
      <c r="L10" s="96" t="s">
        <v>141</v>
      </c>
      <c r="M10" s="97" t="s">
        <v>142</v>
      </c>
      <c r="N10" s="49" t="s">
        <v>143</v>
      </c>
      <c r="O10" s="49" t="s">
        <v>144</v>
      </c>
      <c r="P10" s="34" t="s">
        <v>145</v>
      </c>
      <c r="Q10" s="12" t="s">
        <v>146</v>
      </c>
      <c r="R10" s="12" t="s">
        <v>147</v>
      </c>
      <c r="S10" s="12" t="s">
        <v>148</v>
      </c>
      <c r="T10" s="12" t="s">
        <v>149</v>
      </c>
      <c r="U10" s="13" t="s">
        <v>150</v>
      </c>
      <c r="V10" s="12" t="s">
        <v>151</v>
      </c>
      <c r="W10" s="12" t="s">
        <v>152</v>
      </c>
      <c r="X10" s="13" t="s">
        <v>153</v>
      </c>
      <c r="Y10" s="13" t="s">
        <v>154</v>
      </c>
      <c r="Z10" s="12" t="s">
        <v>155</v>
      </c>
      <c r="AA10" s="12" t="s">
        <v>156</v>
      </c>
      <c r="AB10" s="13" t="s">
        <v>157</v>
      </c>
      <c r="AC10" s="13" t="s">
        <v>158</v>
      </c>
      <c r="AD10" s="50" t="s">
        <v>159</v>
      </c>
      <c r="AE10" s="12" t="s">
        <v>160</v>
      </c>
      <c r="AF10" s="12" t="s">
        <v>161</v>
      </c>
      <c r="AG10" s="13" t="s">
        <v>162</v>
      </c>
      <c r="AH10" s="12" t="s">
        <v>163</v>
      </c>
      <c r="AI10" s="50" t="s">
        <v>164</v>
      </c>
      <c r="AJ10" s="33" t="s">
        <v>165</v>
      </c>
      <c r="AK10" s="33" t="s">
        <v>166</v>
      </c>
      <c r="AL10" s="33" t="s">
        <v>167</v>
      </c>
      <c r="AM10" s="33" t="s">
        <v>168</v>
      </c>
      <c r="AN10" s="34" t="s">
        <v>169</v>
      </c>
      <c r="AO10" s="34" t="s">
        <v>170</v>
      </c>
      <c r="AP10" s="35" t="s">
        <v>171</v>
      </c>
      <c r="AQ10" s="486"/>
      <c r="AR10" s="486"/>
      <c r="AS10" s="484"/>
      <c r="AT10" s="484"/>
      <c r="AU10" s="484"/>
      <c r="AV10" s="484"/>
      <c r="AW10" s="484"/>
      <c r="AX10" s="484"/>
      <c r="AY10" s="484"/>
      <c r="AZ10" s="484"/>
      <c r="BA10" s="484"/>
      <c r="BB10" s="484"/>
      <c r="BC10" s="484"/>
      <c r="BD10" s="484"/>
    </row>
    <row r="11" spans="1:56">
      <c r="A11" s="484"/>
      <c r="B11" s="484"/>
      <c r="C11" s="484"/>
      <c r="D11" s="485"/>
      <c r="E11" s="485"/>
      <c r="F11" s="119"/>
      <c r="G11" s="120"/>
      <c r="H11" s="120"/>
      <c r="I11" s="120"/>
      <c r="J11" s="120"/>
      <c r="K11" s="120"/>
      <c r="L11" s="121"/>
      <c r="M11" s="121"/>
      <c r="N11" s="121"/>
      <c r="O11" s="121"/>
      <c r="P11" s="122"/>
      <c r="Q11" s="582"/>
      <c r="R11" s="582"/>
      <c r="S11" s="583"/>
      <c r="T11" s="583"/>
      <c r="U11" s="123"/>
      <c r="V11" s="121"/>
      <c r="W11" s="121"/>
      <c r="X11" s="122"/>
      <c r="Y11" s="122"/>
      <c r="Z11" s="121"/>
      <c r="AA11" s="121"/>
      <c r="AB11" s="122"/>
      <c r="AC11" s="123"/>
      <c r="AD11" s="123"/>
      <c r="AE11" s="124"/>
      <c r="AF11" s="124"/>
      <c r="AG11" s="125"/>
      <c r="AH11" s="121"/>
      <c r="AI11" s="123"/>
      <c r="AJ11" s="121"/>
      <c r="AK11" s="126"/>
      <c r="AL11" s="127"/>
      <c r="AM11" s="127"/>
      <c r="AN11" s="128"/>
      <c r="AO11" s="128"/>
      <c r="AP11" s="129"/>
      <c r="AQ11" s="486"/>
      <c r="AR11" s="486"/>
      <c r="AS11" s="484"/>
      <c r="AT11" s="484"/>
      <c r="AU11" s="484"/>
      <c r="AV11" s="484"/>
      <c r="AW11" s="484"/>
      <c r="AX11" s="484"/>
      <c r="AY11" s="484"/>
      <c r="AZ11" s="484"/>
      <c r="BA11" s="484"/>
      <c r="BB11" s="484"/>
      <c r="BC11" s="484"/>
      <c r="BD11" s="484"/>
    </row>
    <row r="12" spans="1:56" s="46" customFormat="1">
      <c r="A12" s="484"/>
      <c r="B12" s="484"/>
      <c r="C12" s="484"/>
      <c r="D12" s="485"/>
      <c r="E12" s="485"/>
      <c r="F12" s="130" t="s">
        <v>172</v>
      </c>
      <c r="G12" s="12">
        <v>1</v>
      </c>
      <c r="H12" s="12" t="s">
        <v>173</v>
      </c>
      <c r="I12" s="12" t="s">
        <v>174</v>
      </c>
      <c r="J12" s="12">
        <v>44</v>
      </c>
      <c r="K12" s="12">
        <v>12</v>
      </c>
      <c r="L12" s="12"/>
      <c r="M12" s="12"/>
      <c r="N12" s="12"/>
      <c r="O12" s="12"/>
      <c r="P12" s="23">
        <f t="shared" ref="P12:P26" si="0">N12+O12</f>
        <v>0</v>
      </c>
      <c r="Q12" s="493">
        <f>2*5000</f>
        <v>10000</v>
      </c>
      <c r="R12" s="493">
        <f t="shared" ref="R12:R42" si="1">Q12</f>
        <v>10000</v>
      </c>
      <c r="S12" s="494">
        <v>0.77</v>
      </c>
      <c r="T12" s="485">
        <v>0.89</v>
      </c>
      <c r="U12" s="117">
        <f>(Q12*S12*T12)</f>
        <v>6853</v>
      </c>
      <c r="V12" s="131">
        <v>1</v>
      </c>
      <c r="W12" s="131">
        <v>1</v>
      </c>
      <c r="X12" s="132">
        <f>V12+W12</f>
        <v>2</v>
      </c>
      <c r="Y12" s="23">
        <v>0</v>
      </c>
      <c r="Z12" s="131">
        <v>1</v>
      </c>
      <c r="AA12" s="131">
        <v>1</v>
      </c>
      <c r="AB12" s="132">
        <f t="shared" ref="AB12:AB42" si="2">Z12+AA12</f>
        <v>2</v>
      </c>
      <c r="AC12" s="132">
        <f>($X$19+$Y$19+$AB$19)*(Q12/$R$19)</f>
        <v>1.92</v>
      </c>
      <c r="AD12" s="117">
        <f>(U12*J12/K12)-AC12</f>
        <v>25125.74666666667</v>
      </c>
      <c r="AE12" s="131">
        <v>1</v>
      </c>
      <c r="AF12" s="131">
        <v>1</v>
      </c>
      <c r="AG12" s="132">
        <f>AF12+AE12</f>
        <v>2</v>
      </c>
      <c r="AH12" s="131">
        <v>1</v>
      </c>
      <c r="AI12" s="132">
        <f>(AG12+AH12)</f>
        <v>3</v>
      </c>
      <c r="AJ12" s="131">
        <v>0</v>
      </c>
      <c r="AK12" s="131">
        <v>1</v>
      </c>
      <c r="AL12" s="131">
        <v>1</v>
      </c>
      <c r="AM12" s="131">
        <v>1</v>
      </c>
      <c r="AN12" s="29">
        <f t="shared" ref="AN12:AN42" si="3">AJ12+AK12+AL12+AM12</f>
        <v>3</v>
      </c>
      <c r="AO12" s="29">
        <f t="shared" ref="AO12:AO30" si="4">P11-M11</f>
        <v>0</v>
      </c>
      <c r="AP12" s="133">
        <f>AO12+AD12-AI12-AN12</f>
        <v>25119.74666666667</v>
      </c>
      <c r="AQ12" s="486"/>
      <c r="AR12" s="486"/>
      <c r="AS12" s="484"/>
      <c r="AT12" s="484"/>
      <c r="AU12" s="484"/>
      <c r="AV12" s="484"/>
      <c r="AW12" s="484"/>
      <c r="AX12" s="484"/>
      <c r="AY12" s="484"/>
      <c r="AZ12" s="484"/>
      <c r="BA12" s="484"/>
      <c r="BB12" s="484"/>
      <c r="BC12" s="484"/>
      <c r="BD12" s="484"/>
    </row>
    <row r="13" spans="1:56" s="46" customFormat="1">
      <c r="A13" s="484"/>
      <c r="B13" s="484"/>
      <c r="C13" s="484"/>
      <c r="D13" s="485"/>
      <c r="E13" s="485"/>
      <c r="F13" s="134" t="s">
        <v>175</v>
      </c>
      <c r="G13" s="12">
        <v>1</v>
      </c>
      <c r="H13" s="12" t="s">
        <v>173</v>
      </c>
      <c r="I13" s="12" t="s">
        <v>174</v>
      </c>
      <c r="J13" s="12">
        <v>44</v>
      </c>
      <c r="K13" s="12">
        <v>12</v>
      </c>
      <c r="L13" s="22"/>
      <c r="M13" s="22"/>
      <c r="N13" s="22"/>
      <c r="O13" s="22"/>
      <c r="P13" s="23">
        <f t="shared" si="0"/>
        <v>0</v>
      </c>
      <c r="Q13" s="493">
        <f>9.5*5000</f>
        <v>47500</v>
      </c>
      <c r="R13" s="493">
        <f t="shared" si="1"/>
        <v>47500</v>
      </c>
      <c r="S13" s="494">
        <v>0.49</v>
      </c>
      <c r="T13" s="494">
        <v>0.89</v>
      </c>
      <c r="U13" s="117">
        <f>(Q13*S13*T13)</f>
        <v>20714.75</v>
      </c>
      <c r="V13" s="131">
        <v>1</v>
      </c>
      <c r="W13" s="131">
        <v>1</v>
      </c>
      <c r="X13" s="132">
        <f>V13+W13</f>
        <v>2</v>
      </c>
      <c r="Y13" s="23">
        <v>0</v>
      </c>
      <c r="Z13" s="131">
        <v>1</v>
      </c>
      <c r="AA13" s="131">
        <v>1</v>
      </c>
      <c r="AB13" s="132">
        <f>Z13+AA13</f>
        <v>2</v>
      </c>
      <c r="AC13" s="132">
        <f>($X$19+$Y$19+$AB$19)*(Q13/$R$19)</f>
        <v>9.120000000000001</v>
      </c>
      <c r="AD13" s="117">
        <f t="shared" ref="AD13:AD42" si="5">(U13*J13/K13)-AC13</f>
        <v>75944.963333333333</v>
      </c>
      <c r="AE13" s="131">
        <v>1</v>
      </c>
      <c r="AF13" s="131">
        <v>1</v>
      </c>
      <c r="AG13" s="132">
        <f>AF13+AE13</f>
        <v>2</v>
      </c>
      <c r="AH13" s="131">
        <v>1</v>
      </c>
      <c r="AI13" s="132">
        <f>(AG13+AH13)</f>
        <v>3</v>
      </c>
      <c r="AJ13" s="131">
        <v>0</v>
      </c>
      <c r="AK13" s="131">
        <v>1</v>
      </c>
      <c r="AL13" s="131">
        <v>1</v>
      </c>
      <c r="AM13" s="131">
        <v>1</v>
      </c>
      <c r="AN13" s="29">
        <f>AJ13+AK13+AL13+AM13</f>
        <v>3</v>
      </c>
      <c r="AO13" s="29">
        <f>P12-M12</f>
        <v>0</v>
      </c>
      <c r="AP13" s="133">
        <f>AO13+AD13-AI13-AN13</f>
        <v>75938.963333333333</v>
      </c>
      <c r="AQ13" s="486"/>
      <c r="AR13" s="486"/>
      <c r="AS13" s="484"/>
      <c r="AT13" s="484"/>
      <c r="AU13" s="484"/>
      <c r="AV13" s="484"/>
      <c r="AW13" s="484"/>
      <c r="AX13" s="484"/>
      <c r="AY13" s="484"/>
      <c r="AZ13" s="484"/>
      <c r="BA13" s="484"/>
      <c r="BB13" s="484"/>
      <c r="BC13" s="484"/>
      <c r="BD13" s="484"/>
    </row>
    <row r="14" spans="1:56" s="46" customFormat="1">
      <c r="A14" s="484"/>
      <c r="B14" s="484"/>
      <c r="C14" s="484"/>
      <c r="D14" s="485"/>
      <c r="E14" s="485"/>
      <c r="F14" s="130" t="s">
        <v>176</v>
      </c>
      <c r="G14" s="12">
        <v>1</v>
      </c>
      <c r="H14" s="12" t="s">
        <v>173</v>
      </c>
      <c r="I14" s="12" t="s">
        <v>174</v>
      </c>
      <c r="J14" s="12">
        <v>44</v>
      </c>
      <c r="K14" s="12">
        <v>12</v>
      </c>
      <c r="L14" s="22"/>
      <c r="M14" s="22"/>
      <c r="N14" s="22"/>
      <c r="O14" s="22"/>
      <c r="P14" s="23">
        <f t="shared" si="0"/>
        <v>0</v>
      </c>
      <c r="Q14" s="493">
        <f>1*5000</f>
        <v>5000</v>
      </c>
      <c r="R14" s="493">
        <f t="shared" si="1"/>
        <v>5000</v>
      </c>
      <c r="S14" s="494">
        <v>0.77</v>
      </c>
      <c r="T14" s="494">
        <v>0.89</v>
      </c>
      <c r="U14" s="117">
        <f t="shared" ref="U14" si="6">(Q14*S14*T14)</f>
        <v>3426.5</v>
      </c>
      <c r="V14" s="131">
        <v>1</v>
      </c>
      <c r="W14" s="131">
        <v>1</v>
      </c>
      <c r="X14" s="132">
        <f>V14+W14</f>
        <v>2</v>
      </c>
      <c r="Y14" s="23">
        <v>0</v>
      </c>
      <c r="Z14" s="131">
        <v>1</v>
      </c>
      <c r="AA14" s="131">
        <v>1</v>
      </c>
      <c r="AB14" s="132">
        <f t="shared" ref="AB14:AB16" si="7">Z14+AA14</f>
        <v>2</v>
      </c>
      <c r="AC14" s="132">
        <f>($X$19+$Y$19+$AB$19)*(Q14/$R$19)</f>
        <v>0.96</v>
      </c>
      <c r="AD14" s="117">
        <f t="shared" si="5"/>
        <v>12562.873333333335</v>
      </c>
      <c r="AE14" s="131">
        <v>1</v>
      </c>
      <c r="AF14" s="131">
        <v>1</v>
      </c>
      <c r="AG14" s="132">
        <f t="shared" ref="AG14:AG16" si="8">AF14+AE14</f>
        <v>2</v>
      </c>
      <c r="AH14" s="131">
        <v>1</v>
      </c>
      <c r="AI14" s="132">
        <f>(AG14+AH14)</f>
        <v>3</v>
      </c>
      <c r="AJ14" s="131">
        <v>0</v>
      </c>
      <c r="AK14" s="131">
        <v>1</v>
      </c>
      <c r="AL14" s="131">
        <v>1</v>
      </c>
      <c r="AM14" s="131">
        <v>1</v>
      </c>
      <c r="AN14" s="29">
        <f>AJ14+AK14+AL14+AM14</f>
        <v>3</v>
      </c>
      <c r="AO14" s="29">
        <f>P13-M13</f>
        <v>0</v>
      </c>
      <c r="AP14" s="133">
        <f>AO14+AD14-AI14-AN14</f>
        <v>12556.873333333335</v>
      </c>
      <c r="AQ14" s="486"/>
      <c r="AR14" s="486"/>
      <c r="AS14" s="484"/>
      <c r="AT14" s="484"/>
      <c r="AU14" s="484"/>
      <c r="AV14" s="484"/>
      <c r="AW14" s="484"/>
      <c r="AX14" s="484"/>
      <c r="AY14" s="484"/>
      <c r="AZ14" s="484"/>
      <c r="BA14" s="484"/>
      <c r="BB14" s="484"/>
      <c r="BC14" s="484"/>
      <c r="BD14" s="484"/>
    </row>
    <row r="15" spans="1:56" s="46" customFormat="1">
      <c r="A15" s="484"/>
      <c r="B15" s="484"/>
      <c r="C15" s="484"/>
      <c r="D15" s="485"/>
      <c r="E15" s="485"/>
      <c r="F15" s="130"/>
      <c r="G15" s="12"/>
      <c r="H15" s="12"/>
      <c r="I15" s="12"/>
      <c r="J15" s="12"/>
      <c r="K15" s="12"/>
      <c r="L15" s="22"/>
      <c r="M15" s="22"/>
      <c r="N15" s="22"/>
      <c r="O15" s="22"/>
      <c r="P15" s="23"/>
      <c r="Q15" s="493"/>
      <c r="R15" s="493"/>
      <c r="S15" s="494"/>
      <c r="T15" s="494"/>
      <c r="U15" s="117"/>
      <c r="V15" s="131"/>
      <c r="W15" s="131"/>
      <c r="X15" s="132"/>
      <c r="Y15" s="23"/>
      <c r="Z15" s="131"/>
      <c r="AA15" s="131"/>
      <c r="AB15" s="132"/>
      <c r="AC15" s="132"/>
      <c r="AD15" s="117"/>
      <c r="AE15" s="135">
        <f>SUM(AE12:AE14)</f>
        <v>3</v>
      </c>
      <c r="AF15" s="135">
        <f>SUM(AF12:AF14)</f>
        <v>3</v>
      </c>
      <c r="AG15" s="136">
        <f>SUM(AG12:AG14)</f>
        <v>6</v>
      </c>
      <c r="AH15" s="135"/>
      <c r="AI15" s="136"/>
      <c r="AJ15" s="135"/>
      <c r="AK15" s="135"/>
      <c r="AL15" s="135"/>
      <c r="AM15" s="135"/>
      <c r="AN15" s="29"/>
      <c r="AO15" s="29"/>
      <c r="AP15" s="133"/>
      <c r="AQ15" s="486"/>
      <c r="AR15" s="486"/>
      <c r="AS15" s="484"/>
      <c r="AT15" s="484"/>
      <c r="AU15" s="484"/>
      <c r="AV15" s="484"/>
      <c r="AW15" s="484"/>
      <c r="AX15" s="484"/>
      <c r="AY15" s="484"/>
      <c r="AZ15" s="484"/>
      <c r="BA15" s="484"/>
      <c r="BB15" s="484"/>
      <c r="BC15" s="484"/>
      <c r="BD15" s="484"/>
    </row>
    <row r="16" spans="1:56" s="46" customFormat="1">
      <c r="A16" s="484"/>
      <c r="B16" s="484"/>
      <c r="C16" s="484"/>
      <c r="D16" s="485"/>
      <c r="E16" s="485"/>
      <c r="F16" s="130" t="s">
        <v>172</v>
      </c>
      <c r="G16" s="12">
        <v>1</v>
      </c>
      <c r="H16" s="12" t="s">
        <v>212</v>
      </c>
      <c r="I16" s="12" t="s">
        <v>174</v>
      </c>
      <c r="J16" s="12">
        <v>44</v>
      </c>
      <c r="K16" s="12">
        <v>12</v>
      </c>
      <c r="L16" s="22"/>
      <c r="M16" s="22"/>
      <c r="N16" s="22"/>
      <c r="O16" s="22"/>
      <c r="P16" s="23">
        <f t="shared" si="0"/>
        <v>0</v>
      </c>
      <c r="Q16" s="493">
        <f>2*5000</f>
        <v>10000</v>
      </c>
      <c r="R16" s="493">
        <f t="shared" si="1"/>
        <v>10000</v>
      </c>
      <c r="S16" s="494">
        <v>0.77</v>
      </c>
      <c r="T16" s="485">
        <v>0.89</v>
      </c>
      <c r="U16" s="117">
        <f>(Q16*S16*T16)</f>
        <v>6853</v>
      </c>
      <c r="V16" s="131">
        <v>1</v>
      </c>
      <c r="W16" s="131">
        <v>1</v>
      </c>
      <c r="X16" s="132">
        <f>V16+W16</f>
        <v>2</v>
      </c>
      <c r="Y16" s="23">
        <v>0</v>
      </c>
      <c r="Z16" s="131">
        <v>1</v>
      </c>
      <c r="AA16" s="131">
        <v>1</v>
      </c>
      <c r="AB16" s="132">
        <f t="shared" si="7"/>
        <v>2</v>
      </c>
      <c r="AC16" s="132">
        <f>($X$19+$Y$19+$AB$19)*(Q16/$R$19)</f>
        <v>1.92</v>
      </c>
      <c r="AD16" s="117">
        <f t="shared" si="5"/>
        <v>25125.74666666667</v>
      </c>
      <c r="AE16" s="131">
        <v>1.5</v>
      </c>
      <c r="AF16" s="131">
        <v>1.5</v>
      </c>
      <c r="AG16" s="132">
        <f t="shared" si="8"/>
        <v>3</v>
      </c>
      <c r="AH16" s="131">
        <v>1.5</v>
      </c>
      <c r="AI16" s="132">
        <f>(AG16+AH16)</f>
        <v>4.5</v>
      </c>
      <c r="AJ16" s="131">
        <v>0</v>
      </c>
      <c r="AK16" s="131">
        <v>1</v>
      </c>
      <c r="AL16" s="131">
        <v>1</v>
      </c>
      <c r="AM16" s="131">
        <v>1</v>
      </c>
      <c r="AN16" s="29">
        <f t="shared" ref="AN16" si="9">AJ16+AK16+AL16+AM16</f>
        <v>3</v>
      </c>
      <c r="AO16" s="29">
        <f t="shared" ref="AO16" si="10">P14-M14</f>
        <v>0</v>
      </c>
      <c r="AP16" s="133">
        <f t="shared" ref="AP16" si="11">AO16+AD16-AI16-AN16</f>
        <v>25118.24666666667</v>
      </c>
      <c r="AQ16" s="486"/>
      <c r="AR16" s="486"/>
      <c r="AS16" s="484"/>
      <c r="AT16" s="484"/>
      <c r="AU16" s="484"/>
      <c r="AV16" s="484"/>
      <c r="AW16" s="484"/>
      <c r="AX16" s="484"/>
      <c r="AY16" s="484"/>
      <c r="AZ16" s="484"/>
      <c r="BA16" s="484"/>
      <c r="BB16" s="484"/>
      <c r="BC16" s="484"/>
      <c r="BD16" s="484"/>
    </row>
    <row r="17" spans="1:56" s="46" customFormat="1">
      <c r="A17" s="484"/>
      <c r="B17" s="484"/>
      <c r="C17" s="484"/>
      <c r="D17" s="485"/>
      <c r="E17" s="485"/>
      <c r="F17" s="134" t="s">
        <v>175</v>
      </c>
      <c r="G17" s="12">
        <v>1</v>
      </c>
      <c r="H17" s="12" t="s">
        <v>212</v>
      </c>
      <c r="I17" s="12" t="s">
        <v>174</v>
      </c>
      <c r="J17" s="12">
        <v>44</v>
      </c>
      <c r="K17" s="12">
        <v>12</v>
      </c>
      <c r="L17" s="22"/>
      <c r="M17" s="22"/>
      <c r="N17" s="22"/>
      <c r="O17" s="22"/>
      <c r="P17" s="23">
        <f t="shared" si="0"/>
        <v>0</v>
      </c>
      <c r="Q17" s="493">
        <f>9.5*5000</f>
        <v>47500</v>
      </c>
      <c r="R17" s="493">
        <f t="shared" si="1"/>
        <v>47500</v>
      </c>
      <c r="S17" s="494">
        <v>0.49</v>
      </c>
      <c r="T17" s="494">
        <v>0.89</v>
      </c>
      <c r="U17" s="117">
        <f>(Q17*S17*T17)</f>
        <v>20714.75</v>
      </c>
      <c r="V17" s="131">
        <v>1</v>
      </c>
      <c r="W17" s="131">
        <v>1</v>
      </c>
      <c r="X17" s="132">
        <f>V17+W17</f>
        <v>2</v>
      </c>
      <c r="Y17" s="23">
        <v>0</v>
      </c>
      <c r="Z17" s="131">
        <v>1</v>
      </c>
      <c r="AA17" s="131">
        <v>1</v>
      </c>
      <c r="AB17" s="132">
        <f>Z17+AA17</f>
        <v>2</v>
      </c>
      <c r="AC17" s="132">
        <f>($X$19+$Y$19+$AB$19)*(Q17/$R$19)</f>
        <v>9.120000000000001</v>
      </c>
      <c r="AD17" s="117">
        <f t="shared" si="5"/>
        <v>75944.963333333333</v>
      </c>
      <c r="AE17" s="131">
        <v>1.5</v>
      </c>
      <c r="AF17" s="131">
        <v>1.5</v>
      </c>
      <c r="AG17" s="132">
        <f>AF17+AE17</f>
        <v>3</v>
      </c>
      <c r="AH17" s="131">
        <v>1.5</v>
      </c>
      <c r="AI17" s="132">
        <f>(AG17+AH17)</f>
        <v>4.5</v>
      </c>
      <c r="AJ17" s="131">
        <v>0</v>
      </c>
      <c r="AK17" s="131">
        <v>1</v>
      </c>
      <c r="AL17" s="131">
        <v>1</v>
      </c>
      <c r="AM17" s="131">
        <v>1</v>
      </c>
      <c r="AN17" s="29">
        <f>AJ17+AK17+AL17+AM17</f>
        <v>3</v>
      </c>
      <c r="AO17" s="29">
        <f>P16-M16</f>
        <v>0</v>
      </c>
      <c r="AP17" s="133">
        <f>AO17+AD17-AI17-AN17</f>
        <v>75937.463333333333</v>
      </c>
      <c r="AQ17" s="486"/>
      <c r="AR17" s="486"/>
      <c r="AS17" s="484"/>
      <c r="AT17" s="484"/>
      <c r="AU17" s="484"/>
      <c r="AV17" s="484"/>
      <c r="AW17" s="484"/>
      <c r="AX17" s="484"/>
      <c r="AY17" s="484"/>
      <c r="AZ17" s="484"/>
      <c r="BA17" s="484"/>
      <c r="BB17" s="484"/>
      <c r="BC17" s="484"/>
      <c r="BD17" s="484"/>
    </row>
    <row r="18" spans="1:56" s="46" customFormat="1">
      <c r="A18" s="484"/>
      <c r="B18" s="484"/>
      <c r="C18" s="484"/>
      <c r="D18" s="485"/>
      <c r="E18" s="485"/>
      <c r="F18" s="130" t="s">
        <v>176</v>
      </c>
      <c r="G18" s="12">
        <v>1</v>
      </c>
      <c r="H18" s="12" t="s">
        <v>212</v>
      </c>
      <c r="I18" s="12" t="s">
        <v>174</v>
      </c>
      <c r="J18" s="12">
        <v>44</v>
      </c>
      <c r="K18" s="12">
        <v>12</v>
      </c>
      <c r="L18" s="22"/>
      <c r="M18" s="22"/>
      <c r="N18" s="22"/>
      <c r="O18" s="22"/>
      <c r="P18" s="23">
        <f t="shared" si="0"/>
        <v>0</v>
      </c>
      <c r="Q18" s="493">
        <f>1*5000</f>
        <v>5000</v>
      </c>
      <c r="R18" s="493">
        <f t="shared" si="1"/>
        <v>5000</v>
      </c>
      <c r="S18" s="494">
        <v>0.77</v>
      </c>
      <c r="T18" s="494">
        <v>0.89</v>
      </c>
      <c r="U18" s="117">
        <f t="shared" ref="U18" si="12">(Q18*S18*T18)</f>
        <v>3426.5</v>
      </c>
      <c r="V18" s="131">
        <v>1</v>
      </c>
      <c r="W18" s="131">
        <v>1</v>
      </c>
      <c r="X18" s="132">
        <f>V18+W18</f>
        <v>2</v>
      </c>
      <c r="Y18" s="23">
        <v>0</v>
      </c>
      <c r="Z18" s="131">
        <v>1</v>
      </c>
      <c r="AA18" s="131">
        <v>1</v>
      </c>
      <c r="AB18" s="132">
        <f t="shared" ref="AB18:AB20" si="13">Z18+AA18</f>
        <v>2</v>
      </c>
      <c r="AC18" s="132">
        <f>($X$19+$Y$19+$AB$19)*(Q18/$R$19)</f>
        <v>0.96</v>
      </c>
      <c r="AD18" s="117">
        <f t="shared" si="5"/>
        <v>12562.873333333335</v>
      </c>
      <c r="AE18" s="131">
        <v>1.5</v>
      </c>
      <c r="AF18" s="131">
        <v>1.5</v>
      </c>
      <c r="AG18" s="132">
        <f t="shared" ref="AG18:AG20" si="14">AF18+AE18</f>
        <v>3</v>
      </c>
      <c r="AH18" s="131">
        <v>1.5</v>
      </c>
      <c r="AI18" s="132">
        <f>(AG18+AH18)</f>
        <v>4.5</v>
      </c>
      <c r="AJ18" s="131">
        <v>0</v>
      </c>
      <c r="AK18" s="131">
        <v>1</v>
      </c>
      <c r="AL18" s="131">
        <v>1</v>
      </c>
      <c r="AM18" s="131">
        <v>1</v>
      </c>
      <c r="AN18" s="29">
        <f>AJ18+AK18+AL18+AM18</f>
        <v>3</v>
      </c>
      <c r="AO18" s="29">
        <f>P17-M17</f>
        <v>0</v>
      </c>
      <c r="AP18" s="133">
        <f>AO18+AD18-AI18-AN18</f>
        <v>12555.373333333335</v>
      </c>
      <c r="AQ18" s="486"/>
      <c r="AR18" s="486"/>
      <c r="AS18" s="484"/>
      <c r="AT18" s="484"/>
      <c r="AU18" s="484"/>
      <c r="AV18" s="484"/>
      <c r="AW18" s="484"/>
      <c r="AX18" s="484"/>
      <c r="AY18" s="484"/>
      <c r="AZ18" s="484"/>
      <c r="BA18" s="484"/>
      <c r="BB18" s="484"/>
      <c r="BC18" s="484"/>
      <c r="BD18" s="484"/>
    </row>
    <row r="19" spans="1:56" s="46" customFormat="1">
      <c r="A19" s="484"/>
      <c r="B19" s="484"/>
      <c r="C19" s="484"/>
      <c r="D19" s="485"/>
      <c r="E19" s="485"/>
      <c r="F19" s="130"/>
      <c r="G19" s="12"/>
      <c r="H19" s="12"/>
      <c r="I19" s="12"/>
      <c r="J19" s="12"/>
      <c r="K19" s="12"/>
      <c r="L19" s="22"/>
      <c r="M19" s="22"/>
      <c r="N19" s="22"/>
      <c r="O19" s="22"/>
      <c r="P19" s="23"/>
      <c r="Q19" s="493"/>
      <c r="R19" s="58">
        <f>SUM(R12:R18)</f>
        <v>125000</v>
      </c>
      <c r="S19" s="494"/>
      <c r="T19" s="494"/>
      <c r="U19" s="117"/>
      <c r="V19" s="135">
        <f t="shared" ref="V19:AD19" si="15">SUM(V12:V18)</f>
        <v>6</v>
      </c>
      <c r="W19" s="135">
        <f t="shared" si="15"/>
        <v>6</v>
      </c>
      <c r="X19" s="136">
        <f t="shared" si="15"/>
        <v>12</v>
      </c>
      <c r="Y19" s="108">
        <f t="shared" si="15"/>
        <v>0</v>
      </c>
      <c r="Z19" s="135">
        <f t="shared" si="15"/>
        <v>6</v>
      </c>
      <c r="AA19" s="135">
        <f t="shared" si="15"/>
        <v>6</v>
      </c>
      <c r="AB19" s="136">
        <f t="shared" si="15"/>
        <v>12</v>
      </c>
      <c r="AC19" s="136">
        <f t="shared" si="15"/>
        <v>24</v>
      </c>
      <c r="AD19" s="118">
        <f t="shared" si="15"/>
        <v>227267.16666666666</v>
      </c>
      <c r="AE19" s="135">
        <f>SUM(AE16:AE18)</f>
        <v>4.5</v>
      </c>
      <c r="AF19" s="135">
        <f>SUM(AF16:AF18)</f>
        <v>4.5</v>
      </c>
      <c r="AG19" s="136">
        <f>SUM(AG16:AG18)</f>
        <v>9</v>
      </c>
      <c r="AH19" s="135"/>
      <c r="AI19" s="136"/>
      <c r="AJ19" s="135">
        <f>SUM(AJ16:AJ18)</f>
        <v>0</v>
      </c>
      <c r="AK19" s="135">
        <f>SUM(AK16:AK18)</f>
        <v>3</v>
      </c>
      <c r="AL19" s="135">
        <f>SUM(AL16:AL18)</f>
        <v>3</v>
      </c>
      <c r="AM19" s="135">
        <f>SUM(AM16:AM18)</f>
        <v>3</v>
      </c>
      <c r="AN19" s="137">
        <f>SUM(AN12:AN18)</f>
        <v>18</v>
      </c>
      <c r="AO19" s="137">
        <f>SUM(AO12:AO18)</f>
        <v>0</v>
      </c>
      <c r="AP19" s="133"/>
      <c r="AQ19" s="486"/>
      <c r="AR19" s="486"/>
      <c r="AS19" s="484"/>
      <c r="AT19" s="484"/>
      <c r="AU19" s="484"/>
      <c r="AV19" s="484"/>
      <c r="AW19" s="484"/>
      <c r="AX19" s="484"/>
      <c r="AY19" s="484"/>
      <c r="AZ19" s="484"/>
      <c r="BA19" s="484"/>
      <c r="BB19" s="484"/>
      <c r="BC19" s="484"/>
      <c r="BD19" s="484"/>
    </row>
    <row r="20" spans="1:56" s="46" customFormat="1">
      <c r="A20" s="484"/>
      <c r="B20" s="484"/>
      <c r="C20" s="484"/>
      <c r="D20" s="485"/>
      <c r="E20" s="485"/>
      <c r="F20" s="130" t="s">
        <v>172</v>
      </c>
      <c r="G20" s="12">
        <v>1</v>
      </c>
      <c r="H20" s="12" t="s">
        <v>173</v>
      </c>
      <c r="I20" s="12" t="s">
        <v>213</v>
      </c>
      <c r="J20" s="12">
        <v>44</v>
      </c>
      <c r="K20" s="12">
        <v>12</v>
      </c>
      <c r="L20" s="22"/>
      <c r="M20" s="22"/>
      <c r="N20" s="22"/>
      <c r="O20" s="22"/>
      <c r="P20" s="23">
        <f t="shared" si="0"/>
        <v>0</v>
      </c>
      <c r="Q20" s="493">
        <f>2*5000</f>
        <v>10000</v>
      </c>
      <c r="R20" s="493">
        <f t="shared" si="1"/>
        <v>10000</v>
      </c>
      <c r="S20" s="494">
        <v>0.77</v>
      </c>
      <c r="T20" s="485">
        <v>0.89</v>
      </c>
      <c r="U20" s="117">
        <f>(Q20*S20*T20)</f>
        <v>6853</v>
      </c>
      <c r="V20" s="131">
        <v>2</v>
      </c>
      <c r="W20" s="131">
        <v>2</v>
      </c>
      <c r="X20" s="132">
        <f>V20+W20</f>
        <v>4</v>
      </c>
      <c r="Y20" s="23">
        <v>0</v>
      </c>
      <c r="Z20" s="131">
        <v>2</v>
      </c>
      <c r="AA20" s="131">
        <v>2</v>
      </c>
      <c r="AB20" s="132">
        <f t="shared" si="13"/>
        <v>4</v>
      </c>
      <c r="AC20" s="132">
        <f>($X$27+$Y$27+$AB$27)*(Q20/$R$27)</f>
        <v>3.84</v>
      </c>
      <c r="AD20" s="117">
        <f>(U20*J20/K20)-AC20</f>
        <v>25123.826666666668</v>
      </c>
      <c r="AE20" s="131">
        <v>1</v>
      </c>
      <c r="AF20" s="131">
        <v>1</v>
      </c>
      <c r="AG20" s="132">
        <f t="shared" si="14"/>
        <v>2</v>
      </c>
      <c r="AH20" s="131">
        <v>1</v>
      </c>
      <c r="AI20" s="132">
        <f>(AG20+AH20)</f>
        <v>3</v>
      </c>
      <c r="AJ20" s="131">
        <v>0</v>
      </c>
      <c r="AK20" s="131">
        <v>1</v>
      </c>
      <c r="AL20" s="131">
        <v>1</v>
      </c>
      <c r="AM20" s="131">
        <v>1</v>
      </c>
      <c r="AN20" s="29">
        <f t="shared" ref="AN20" si="16">AJ20+AK20+AL20+AM20</f>
        <v>3</v>
      </c>
      <c r="AO20" s="29">
        <f t="shared" ref="AO20" si="17">P18-M18</f>
        <v>0</v>
      </c>
      <c r="AP20" s="133">
        <f t="shared" ref="AP20" si="18">AO20+AD20-AI20-AN20</f>
        <v>25117.826666666668</v>
      </c>
      <c r="AQ20" s="486"/>
      <c r="AR20" s="486"/>
      <c r="AS20" s="484"/>
      <c r="AT20" s="484"/>
      <c r="AU20" s="484"/>
      <c r="AV20" s="484"/>
      <c r="AW20" s="484"/>
      <c r="AX20" s="484"/>
      <c r="AY20" s="484"/>
      <c r="AZ20" s="484"/>
      <c r="BA20" s="484"/>
      <c r="BB20" s="484"/>
      <c r="BC20" s="484"/>
      <c r="BD20" s="484"/>
    </row>
    <row r="21" spans="1:56" s="46" customFormat="1">
      <c r="A21" s="484"/>
      <c r="B21" s="484"/>
      <c r="C21" s="484"/>
      <c r="D21" s="485"/>
      <c r="E21" s="485"/>
      <c r="F21" s="134" t="s">
        <v>175</v>
      </c>
      <c r="G21" s="12">
        <v>1</v>
      </c>
      <c r="H21" s="12" t="s">
        <v>173</v>
      </c>
      <c r="I21" s="12" t="s">
        <v>213</v>
      </c>
      <c r="J21" s="12">
        <v>44</v>
      </c>
      <c r="K21" s="12">
        <v>12</v>
      </c>
      <c r="L21" s="22"/>
      <c r="M21" s="22"/>
      <c r="N21" s="22"/>
      <c r="O21" s="22"/>
      <c r="P21" s="23">
        <f t="shared" si="0"/>
        <v>0</v>
      </c>
      <c r="Q21" s="493">
        <f>9.5*5000</f>
        <v>47500</v>
      </c>
      <c r="R21" s="493">
        <f t="shared" si="1"/>
        <v>47500</v>
      </c>
      <c r="S21" s="494">
        <v>0.49</v>
      </c>
      <c r="T21" s="494">
        <v>0.89</v>
      </c>
      <c r="U21" s="117">
        <f>(Q21*S21*T21)</f>
        <v>20714.75</v>
      </c>
      <c r="V21" s="131">
        <v>2</v>
      </c>
      <c r="W21" s="131">
        <v>2</v>
      </c>
      <c r="X21" s="132">
        <f>V21+W21</f>
        <v>4</v>
      </c>
      <c r="Y21" s="23">
        <v>0</v>
      </c>
      <c r="Z21" s="131">
        <v>2</v>
      </c>
      <c r="AA21" s="131">
        <v>2</v>
      </c>
      <c r="AB21" s="132">
        <f>Z21+AA21</f>
        <v>4</v>
      </c>
      <c r="AC21" s="132">
        <f>($X$27+$Y$27+$AB$27)*(Q21/$R$27)</f>
        <v>18.240000000000002</v>
      </c>
      <c r="AD21" s="117">
        <f t="shared" si="5"/>
        <v>75935.843333333323</v>
      </c>
      <c r="AE21" s="131">
        <v>1</v>
      </c>
      <c r="AF21" s="131">
        <v>1</v>
      </c>
      <c r="AG21" s="132">
        <f>AF21+AE21</f>
        <v>2</v>
      </c>
      <c r="AH21" s="131">
        <v>1</v>
      </c>
      <c r="AI21" s="132">
        <f>(AG21+AH21)</f>
        <v>3</v>
      </c>
      <c r="AJ21" s="131">
        <v>0</v>
      </c>
      <c r="AK21" s="131">
        <v>1</v>
      </c>
      <c r="AL21" s="131">
        <v>1</v>
      </c>
      <c r="AM21" s="131">
        <v>1</v>
      </c>
      <c r="AN21" s="29">
        <f>AJ21+AK21+AL21+AM21</f>
        <v>3</v>
      </c>
      <c r="AO21" s="29">
        <f>P20-M20</f>
        <v>0</v>
      </c>
      <c r="AP21" s="133">
        <f>AO21+AD21-AI21-AN21</f>
        <v>75929.843333333323</v>
      </c>
      <c r="AQ21" s="486"/>
      <c r="AR21" s="486"/>
      <c r="AS21" s="484"/>
      <c r="AT21" s="484"/>
      <c r="AU21" s="484"/>
      <c r="AV21" s="484"/>
      <c r="AW21" s="484"/>
      <c r="AX21" s="484"/>
      <c r="AY21" s="484"/>
      <c r="AZ21" s="484"/>
      <c r="BA21" s="484"/>
      <c r="BB21" s="484"/>
      <c r="BC21" s="484"/>
      <c r="BD21" s="484"/>
    </row>
    <row r="22" spans="1:56" s="46" customFormat="1">
      <c r="A22" s="484"/>
      <c r="B22" s="484"/>
      <c r="C22" s="484"/>
      <c r="D22" s="485"/>
      <c r="E22" s="485"/>
      <c r="F22" s="130" t="s">
        <v>176</v>
      </c>
      <c r="G22" s="12">
        <v>1</v>
      </c>
      <c r="H22" s="12" t="s">
        <v>173</v>
      </c>
      <c r="I22" s="12" t="s">
        <v>213</v>
      </c>
      <c r="J22" s="12">
        <v>44</v>
      </c>
      <c r="K22" s="12">
        <v>12</v>
      </c>
      <c r="L22" s="22"/>
      <c r="M22" s="22"/>
      <c r="N22" s="22"/>
      <c r="O22" s="22"/>
      <c r="P22" s="23">
        <f t="shared" si="0"/>
        <v>0</v>
      </c>
      <c r="Q22" s="493">
        <f>1*5000</f>
        <v>5000</v>
      </c>
      <c r="R22" s="493">
        <f t="shared" si="1"/>
        <v>5000</v>
      </c>
      <c r="S22" s="494">
        <v>0.77</v>
      </c>
      <c r="T22" s="494">
        <v>0.89</v>
      </c>
      <c r="U22" s="117">
        <f t="shared" ref="U22" si="19">(Q22*S22*T22)</f>
        <v>3426.5</v>
      </c>
      <c r="V22" s="131">
        <v>2</v>
      </c>
      <c r="W22" s="131">
        <v>2</v>
      </c>
      <c r="X22" s="132">
        <f>V22+W22</f>
        <v>4</v>
      </c>
      <c r="Y22" s="23">
        <v>0</v>
      </c>
      <c r="Z22" s="131">
        <v>2</v>
      </c>
      <c r="AA22" s="131">
        <v>2</v>
      </c>
      <c r="AB22" s="132">
        <f t="shared" ref="AB22:AB24" si="20">Z22+AA22</f>
        <v>4</v>
      </c>
      <c r="AC22" s="132">
        <f>($X$27+$Y$27+$AB$27)*(Q22/$R$27)</f>
        <v>1.92</v>
      </c>
      <c r="AD22" s="117">
        <f t="shared" si="5"/>
        <v>12561.913333333334</v>
      </c>
      <c r="AE22" s="131">
        <v>1</v>
      </c>
      <c r="AF22" s="131">
        <v>1</v>
      </c>
      <c r="AG22" s="132">
        <f t="shared" ref="AG22:AG24" si="21">AF22+AE22</f>
        <v>2</v>
      </c>
      <c r="AH22" s="131">
        <v>1</v>
      </c>
      <c r="AI22" s="132">
        <f>(AG22+AH22)</f>
        <v>3</v>
      </c>
      <c r="AJ22" s="131">
        <v>0</v>
      </c>
      <c r="AK22" s="131">
        <v>1</v>
      </c>
      <c r="AL22" s="131">
        <v>1</v>
      </c>
      <c r="AM22" s="131">
        <v>1</v>
      </c>
      <c r="AN22" s="29">
        <f>AJ22+AK22+AL22+AM22</f>
        <v>3</v>
      </c>
      <c r="AO22" s="29">
        <f>P21-M21</f>
        <v>0</v>
      </c>
      <c r="AP22" s="133">
        <f>AO22+AD22-AI22-AN22</f>
        <v>12555.913333333334</v>
      </c>
      <c r="AQ22" s="486"/>
      <c r="AR22" s="486"/>
      <c r="AS22" s="484"/>
      <c r="AT22" s="484"/>
      <c r="AU22" s="484"/>
      <c r="AV22" s="484"/>
      <c r="AW22" s="484"/>
      <c r="AX22" s="484"/>
      <c r="AY22" s="484"/>
      <c r="AZ22" s="484"/>
      <c r="BA22" s="484"/>
      <c r="BB22" s="484"/>
      <c r="BC22" s="484"/>
      <c r="BD22" s="484"/>
    </row>
    <row r="23" spans="1:56" s="46" customFormat="1">
      <c r="A23" s="484"/>
      <c r="B23" s="484"/>
      <c r="C23" s="484"/>
      <c r="D23" s="485"/>
      <c r="E23" s="485"/>
      <c r="F23" s="130"/>
      <c r="G23" s="12"/>
      <c r="H23" s="12"/>
      <c r="I23" s="12"/>
      <c r="J23" s="12"/>
      <c r="K23" s="12"/>
      <c r="L23" s="22"/>
      <c r="M23" s="22"/>
      <c r="N23" s="22"/>
      <c r="O23" s="22"/>
      <c r="P23" s="23"/>
      <c r="Q23" s="493"/>
      <c r="R23" s="493"/>
      <c r="S23" s="494"/>
      <c r="T23" s="494"/>
      <c r="U23" s="117"/>
      <c r="V23" s="131"/>
      <c r="W23" s="131"/>
      <c r="X23" s="132"/>
      <c r="Y23" s="23"/>
      <c r="Z23" s="131"/>
      <c r="AA23" s="131"/>
      <c r="AB23" s="132"/>
      <c r="AC23" s="132"/>
      <c r="AD23" s="117"/>
      <c r="AE23" s="135">
        <f>SUM(AE20:AE22)</f>
        <v>3</v>
      </c>
      <c r="AF23" s="135">
        <f>SUM(AF20:AF22)</f>
        <v>3</v>
      </c>
      <c r="AG23" s="136">
        <f>SUM(AG20:AG22)</f>
        <v>6</v>
      </c>
      <c r="AH23" s="135"/>
      <c r="AI23" s="136"/>
      <c r="AJ23" s="135"/>
      <c r="AK23" s="135"/>
      <c r="AL23" s="135"/>
      <c r="AM23" s="135"/>
      <c r="AN23" s="137"/>
      <c r="AO23" s="137"/>
      <c r="AP23" s="133"/>
      <c r="AQ23" s="486"/>
      <c r="AR23" s="486"/>
      <c r="AS23" s="484"/>
      <c r="AT23" s="484"/>
      <c r="AU23" s="484"/>
      <c r="AV23" s="484"/>
      <c r="AW23" s="484"/>
      <c r="AX23" s="484"/>
      <c r="AY23" s="484"/>
      <c r="AZ23" s="484"/>
      <c r="BA23" s="484"/>
      <c r="BB23" s="484"/>
      <c r="BC23" s="484"/>
      <c r="BD23" s="484"/>
    </row>
    <row r="24" spans="1:56" s="46" customFormat="1">
      <c r="A24" s="484"/>
      <c r="B24" s="484"/>
      <c r="C24" s="484"/>
      <c r="D24" s="485"/>
      <c r="E24" s="485"/>
      <c r="F24" s="130" t="s">
        <v>172</v>
      </c>
      <c r="G24" s="12">
        <v>1</v>
      </c>
      <c r="H24" s="12" t="s">
        <v>212</v>
      </c>
      <c r="I24" s="12" t="s">
        <v>213</v>
      </c>
      <c r="J24" s="12">
        <v>44</v>
      </c>
      <c r="K24" s="12">
        <v>12</v>
      </c>
      <c r="L24" s="22"/>
      <c r="M24" s="22"/>
      <c r="N24" s="22"/>
      <c r="O24" s="22"/>
      <c r="P24" s="23">
        <f t="shared" si="0"/>
        <v>0</v>
      </c>
      <c r="Q24" s="493">
        <f>2*5000</f>
        <v>10000</v>
      </c>
      <c r="R24" s="493">
        <f t="shared" si="1"/>
        <v>10000</v>
      </c>
      <c r="S24" s="494">
        <v>0.77</v>
      </c>
      <c r="T24" s="485">
        <v>0.89</v>
      </c>
      <c r="U24" s="117">
        <f>(Q24*S24*T24)</f>
        <v>6853</v>
      </c>
      <c r="V24" s="131">
        <v>2</v>
      </c>
      <c r="W24" s="131">
        <v>2</v>
      </c>
      <c r="X24" s="132">
        <f>V24+W24</f>
        <v>4</v>
      </c>
      <c r="Y24" s="23">
        <v>0</v>
      </c>
      <c r="Z24" s="131">
        <v>2</v>
      </c>
      <c r="AA24" s="131">
        <v>2</v>
      </c>
      <c r="AB24" s="132">
        <f t="shared" si="20"/>
        <v>4</v>
      </c>
      <c r="AC24" s="132">
        <f>($X$27+$Y$27+$AB$27)*(Q24/$R$27)</f>
        <v>3.84</v>
      </c>
      <c r="AD24" s="117">
        <f t="shared" si="5"/>
        <v>25123.826666666668</v>
      </c>
      <c r="AE24" s="131">
        <v>1.5</v>
      </c>
      <c r="AF24" s="131">
        <v>1.5</v>
      </c>
      <c r="AG24" s="132">
        <f t="shared" si="21"/>
        <v>3</v>
      </c>
      <c r="AH24" s="131">
        <v>1.5</v>
      </c>
      <c r="AI24" s="132">
        <f>(AG24+AH24)</f>
        <v>4.5</v>
      </c>
      <c r="AJ24" s="131">
        <v>0</v>
      </c>
      <c r="AK24" s="131">
        <v>1</v>
      </c>
      <c r="AL24" s="131">
        <v>1</v>
      </c>
      <c r="AM24" s="131">
        <v>1</v>
      </c>
      <c r="AN24" s="29">
        <f t="shared" ref="AN24" si="22">AJ24+AK24+AL24+AM24</f>
        <v>3</v>
      </c>
      <c r="AO24" s="29">
        <f t="shared" ref="AO24" si="23">P22-M22</f>
        <v>0</v>
      </c>
      <c r="AP24" s="133">
        <f t="shared" ref="AP24" si="24">AO24+AD24-AI24-AN24</f>
        <v>25116.326666666668</v>
      </c>
      <c r="AQ24" s="486"/>
      <c r="AR24" s="486"/>
      <c r="AS24" s="484"/>
      <c r="AT24" s="484"/>
      <c r="AU24" s="484"/>
      <c r="AV24" s="484"/>
      <c r="AW24" s="484"/>
      <c r="AX24" s="484"/>
      <c r="AY24" s="484"/>
      <c r="AZ24" s="484"/>
      <c r="BA24" s="484"/>
      <c r="BB24" s="484"/>
      <c r="BC24" s="484"/>
      <c r="BD24" s="484"/>
    </row>
    <row r="25" spans="1:56" s="46" customFormat="1">
      <c r="A25" s="484"/>
      <c r="B25" s="484"/>
      <c r="C25" s="484"/>
      <c r="D25" s="485"/>
      <c r="E25" s="485"/>
      <c r="F25" s="134" t="s">
        <v>175</v>
      </c>
      <c r="G25" s="12">
        <v>1</v>
      </c>
      <c r="H25" s="12" t="s">
        <v>212</v>
      </c>
      <c r="I25" s="12" t="s">
        <v>213</v>
      </c>
      <c r="J25" s="12">
        <v>44</v>
      </c>
      <c r="K25" s="12">
        <v>12</v>
      </c>
      <c r="L25" s="22"/>
      <c r="M25" s="22"/>
      <c r="N25" s="22"/>
      <c r="O25" s="22"/>
      <c r="P25" s="23">
        <f t="shared" si="0"/>
        <v>0</v>
      </c>
      <c r="Q25" s="493">
        <f>9.5*5000</f>
        <v>47500</v>
      </c>
      <c r="R25" s="493">
        <f t="shared" si="1"/>
        <v>47500</v>
      </c>
      <c r="S25" s="494">
        <v>0.49</v>
      </c>
      <c r="T25" s="494">
        <v>0.89</v>
      </c>
      <c r="U25" s="117">
        <f>(Q25*S25*T25)</f>
        <v>20714.75</v>
      </c>
      <c r="V25" s="131">
        <v>2</v>
      </c>
      <c r="W25" s="131">
        <v>2</v>
      </c>
      <c r="X25" s="132">
        <f>V25+W25</f>
        <v>4</v>
      </c>
      <c r="Y25" s="23">
        <v>0</v>
      </c>
      <c r="Z25" s="131">
        <v>2</v>
      </c>
      <c r="AA25" s="131">
        <v>2</v>
      </c>
      <c r="AB25" s="132">
        <f>Z25+AA25</f>
        <v>4</v>
      </c>
      <c r="AC25" s="132">
        <f>($X$27+$Y$27+$AB$27)*(Q25/$R$27)</f>
        <v>18.240000000000002</v>
      </c>
      <c r="AD25" s="117">
        <f t="shared" si="5"/>
        <v>75935.843333333323</v>
      </c>
      <c r="AE25" s="131">
        <v>1.5</v>
      </c>
      <c r="AF25" s="131">
        <v>1.5</v>
      </c>
      <c r="AG25" s="132">
        <f>AF25+AE25</f>
        <v>3</v>
      </c>
      <c r="AH25" s="131">
        <v>1.5</v>
      </c>
      <c r="AI25" s="132">
        <f>(AG25+AH25)</f>
        <v>4.5</v>
      </c>
      <c r="AJ25" s="131">
        <v>0</v>
      </c>
      <c r="AK25" s="131">
        <v>1</v>
      </c>
      <c r="AL25" s="131">
        <v>1</v>
      </c>
      <c r="AM25" s="131">
        <v>1</v>
      </c>
      <c r="AN25" s="29">
        <f>AJ25+AK25+AL25+AM25</f>
        <v>3</v>
      </c>
      <c r="AO25" s="29">
        <f>P24-M24</f>
        <v>0</v>
      </c>
      <c r="AP25" s="133">
        <f>AO25+AD25-AI25-AN25</f>
        <v>75928.343333333323</v>
      </c>
      <c r="AQ25" s="486"/>
      <c r="AR25" s="486"/>
      <c r="AS25" s="484"/>
      <c r="AT25" s="484"/>
      <c r="AU25" s="484"/>
      <c r="AV25" s="484"/>
      <c r="AW25" s="484"/>
      <c r="AX25" s="484"/>
      <c r="AY25" s="484"/>
      <c r="AZ25" s="484"/>
      <c r="BA25" s="484"/>
      <c r="BB25" s="484"/>
      <c r="BC25" s="484"/>
      <c r="BD25" s="484"/>
    </row>
    <row r="26" spans="1:56" s="46" customFormat="1">
      <c r="A26" s="484"/>
      <c r="B26" s="484"/>
      <c r="C26" s="484"/>
      <c r="D26" s="485"/>
      <c r="E26" s="485"/>
      <c r="F26" s="130" t="s">
        <v>176</v>
      </c>
      <c r="G26" s="12">
        <v>1</v>
      </c>
      <c r="H26" s="12" t="s">
        <v>212</v>
      </c>
      <c r="I26" s="12" t="s">
        <v>213</v>
      </c>
      <c r="J26" s="12">
        <v>44</v>
      </c>
      <c r="K26" s="12">
        <v>12</v>
      </c>
      <c r="L26" s="22"/>
      <c r="M26" s="22"/>
      <c r="N26" s="22"/>
      <c r="O26" s="22"/>
      <c r="P26" s="23">
        <f t="shared" si="0"/>
        <v>0</v>
      </c>
      <c r="Q26" s="493">
        <f>1*5000</f>
        <v>5000</v>
      </c>
      <c r="R26" s="493">
        <f t="shared" si="1"/>
        <v>5000</v>
      </c>
      <c r="S26" s="494">
        <v>0.77</v>
      </c>
      <c r="T26" s="494">
        <v>0.89</v>
      </c>
      <c r="U26" s="117">
        <f t="shared" ref="U26" si="25">(Q26*S26*T26)</f>
        <v>3426.5</v>
      </c>
      <c r="V26" s="131">
        <v>2</v>
      </c>
      <c r="W26" s="131">
        <v>2</v>
      </c>
      <c r="X26" s="132">
        <f>V26+W26</f>
        <v>4</v>
      </c>
      <c r="Y26" s="23">
        <v>0</v>
      </c>
      <c r="Z26" s="131">
        <v>2</v>
      </c>
      <c r="AA26" s="131">
        <v>2</v>
      </c>
      <c r="AB26" s="132">
        <f t="shared" ref="AB26" si="26">Z26+AA26</f>
        <v>4</v>
      </c>
      <c r="AC26" s="132">
        <f>($X$27+$Y$27+$AB$27)*(Q26/$R$27)</f>
        <v>1.92</v>
      </c>
      <c r="AD26" s="117">
        <f t="shared" si="5"/>
        <v>12561.913333333334</v>
      </c>
      <c r="AE26" s="131">
        <v>1.5</v>
      </c>
      <c r="AF26" s="131">
        <v>1.5</v>
      </c>
      <c r="AG26" s="132">
        <f t="shared" ref="AG26" si="27">AF26+AE26</f>
        <v>3</v>
      </c>
      <c r="AH26" s="131">
        <v>1.5</v>
      </c>
      <c r="AI26" s="132">
        <f>(AG26+AH26)</f>
        <v>4.5</v>
      </c>
      <c r="AJ26" s="131">
        <v>0</v>
      </c>
      <c r="AK26" s="131">
        <v>1</v>
      </c>
      <c r="AL26" s="131">
        <v>1</v>
      </c>
      <c r="AM26" s="131">
        <v>1</v>
      </c>
      <c r="AN26" s="29">
        <f>AJ26+AK26+AL26+AM26</f>
        <v>3</v>
      </c>
      <c r="AO26" s="29">
        <f>P25-M25</f>
        <v>0</v>
      </c>
      <c r="AP26" s="133">
        <f>AO26+AD26-AI26-AN26</f>
        <v>12554.413333333334</v>
      </c>
      <c r="AQ26" s="486"/>
      <c r="AR26" s="486"/>
      <c r="AS26" s="484"/>
      <c r="AT26" s="484"/>
      <c r="AU26" s="484"/>
      <c r="AV26" s="484"/>
      <c r="AW26" s="484"/>
      <c r="AX26" s="484"/>
      <c r="AY26" s="484"/>
      <c r="AZ26" s="484"/>
      <c r="BA26" s="484"/>
      <c r="BB26" s="484"/>
      <c r="BC26" s="484"/>
      <c r="BD26" s="484"/>
    </row>
    <row r="27" spans="1:56" s="46" customFormat="1">
      <c r="A27" s="484"/>
      <c r="B27" s="484"/>
      <c r="C27" s="484"/>
      <c r="D27" s="485"/>
      <c r="E27" s="485"/>
      <c r="F27" s="130"/>
      <c r="G27" s="12"/>
      <c r="H27" s="12"/>
      <c r="I27" s="12"/>
      <c r="J27" s="12"/>
      <c r="K27" s="12"/>
      <c r="L27" s="22"/>
      <c r="M27" s="22"/>
      <c r="N27" s="22"/>
      <c r="O27" s="22"/>
      <c r="P27" s="23"/>
      <c r="Q27" s="493"/>
      <c r="R27" s="58">
        <f>SUM(R20:R26)</f>
        <v>125000</v>
      </c>
      <c r="S27" s="494"/>
      <c r="T27" s="494"/>
      <c r="U27" s="117"/>
      <c r="V27" s="135">
        <f t="shared" ref="V27:AD27" si="28">SUM(V20:V26)</f>
        <v>12</v>
      </c>
      <c r="W27" s="135">
        <f t="shared" si="28"/>
        <v>12</v>
      </c>
      <c r="X27" s="136">
        <f t="shared" si="28"/>
        <v>24</v>
      </c>
      <c r="Y27" s="108">
        <f t="shared" si="28"/>
        <v>0</v>
      </c>
      <c r="Z27" s="135">
        <f t="shared" si="28"/>
        <v>12</v>
      </c>
      <c r="AA27" s="135">
        <f t="shared" si="28"/>
        <v>12</v>
      </c>
      <c r="AB27" s="136">
        <f t="shared" si="28"/>
        <v>24</v>
      </c>
      <c r="AC27" s="136">
        <f t="shared" si="28"/>
        <v>48</v>
      </c>
      <c r="AD27" s="118">
        <f t="shared" si="28"/>
        <v>227243.16666666663</v>
      </c>
      <c r="AE27" s="135">
        <f>SUM(AE24:AE26)</f>
        <v>4.5</v>
      </c>
      <c r="AF27" s="135">
        <f>SUM(AF24:AF26)</f>
        <v>4.5</v>
      </c>
      <c r="AG27" s="136">
        <f>SUM(AG24:AG26)</f>
        <v>9</v>
      </c>
      <c r="AH27" s="135"/>
      <c r="AI27" s="136"/>
      <c r="AJ27" s="135">
        <f>SUM(AJ24:AJ26)</f>
        <v>0</v>
      </c>
      <c r="AK27" s="135">
        <f>SUM(AK24:AK26)</f>
        <v>3</v>
      </c>
      <c r="AL27" s="135">
        <f>SUM(AL24:AL26)</f>
        <v>3</v>
      </c>
      <c r="AM27" s="135">
        <f>SUM(AM24:AM26)</f>
        <v>3</v>
      </c>
      <c r="AN27" s="137">
        <f>SUM(AN20:AN26)</f>
        <v>18</v>
      </c>
      <c r="AO27" s="137">
        <f>SUM(AO20:AO26)</f>
        <v>0</v>
      </c>
      <c r="AP27" s="133"/>
      <c r="AQ27" s="486"/>
      <c r="AR27" s="486"/>
      <c r="AS27" s="484"/>
      <c r="AT27" s="484"/>
      <c r="AU27" s="484"/>
      <c r="AV27" s="484"/>
      <c r="AW27" s="484"/>
      <c r="AX27" s="484"/>
      <c r="AY27" s="484"/>
      <c r="AZ27" s="484"/>
      <c r="BA27" s="484"/>
      <c r="BB27" s="484"/>
      <c r="BC27" s="484"/>
      <c r="BD27" s="484"/>
    </row>
    <row r="28" spans="1:56" s="46" customFormat="1">
      <c r="A28" s="484"/>
      <c r="B28" s="484"/>
      <c r="C28" s="484"/>
      <c r="D28" s="485"/>
      <c r="E28" s="485"/>
      <c r="F28" s="130" t="s">
        <v>172</v>
      </c>
      <c r="G28" s="12">
        <v>2</v>
      </c>
      <c r="H28" s="12" t="s">
        <v>173</v>
      </c>
      <c r="I28" s="12" t="s">
        <v>174</v>
      </c>
      <c r="J28" s="12">
        <v>44</v>
      </c>
      <c r="K28" s="12">
        <v>12</v>
      </c>
      <c r="L28" s="12"/>
      <c r="M28" s="12"/>
      <c r="N28" s="12"/>
      <c r="O28" s="12"/>
      <c r="P28" s="23">
        <f t="shared" ref="P28:P42" si="29">N28+O28</f>
        <v>0</v>
      </c>
      <c r="Q28" s="493">
        <f>2*5000</f>
        <v>10000</v>
      </c>
      <c r="R28" s="493">
        <f t="shared" si="1"/>
        <v>10000</v>
      </c>
      <c r="S28" s="494">
        <v>0.77</v>
      </c>
      <c r="T28" s="494">
        <v>0.89</v>
      </c>
      <c r="U28" s="117">
        <f t="shared" ref="U28:U42" si="30">(Q28*S28*T28)</f>
        <v>6853</v>
      </c>
      <c r="V28" s="131">
        <v>1.5</v>
      </c>
      <c r="W28" s="131">
        <v>1.5</v>
      </c>
      <c r="X28" s="132">
        <f>V28+W28</f>
        <v>3</v>
      </c>
      <c r="Y28" s="23">
        <v>0</v>
      </c>
      <c r="Z28" s="131">
        <v>1.5</v>
      </c>
      <c r="AA28" s="131">
        <v>1.5</v>
      </c>
      <c r="AB28" s="132">
        <f t="shared" si="2"/>
        <v>3</v>
      </c>
      <c r="AC28" s="132">
        <f>($X$35+$Y$35+$AB$35)*(Q28/$R$35)</f>
        <v>2.88</v>
      </c>
      <c r="AD28" s="117">
        <f>(U28*J28/K28)-AC28</f>
        <v>25124.786666666667</v>
      </c>
      <c r="AE28" s="131">
        <v>1</v>
      </c>
      <c r="AF28" s="131">
        <v>1</v>
      </c>
      <c r="AG28" s="132">
        <f t="shared" ref="AG28:AG42" si="31">AF28+AE28</f>
        <v>2</v>
      </c>
      <c r="AH28" s="131">
        <v>1</v>
      </c>
      <c r="AI28" s="132">
        <f t="shared" ref="AI28:AI42" si="32">(AG28+AH28)</f>
        <v>3</v>
      </c>
      <c r="AJ28" s="131">
        <v>0</v>
      </c>
      <c r="AK28" s="131">
        <v>1</v>
      </c>
      <c r="AL28" s="131">
        <v>1</v>
      </c>
      <c r="AM28" s="131">
        <v>1</v>
      </c>
      <c r="AN28" s="29">
        <f t="shared" si="3"/>
        <v>3</v>
      </c>
      <c r="AO28" s="29">
        <f>P12-M12</f>
        <v>0</v>
      </c>
      <c r="AP28" s="133">
        <f t="shared" ref="AP28:AP42" si="33">AO28+AD28-AI28-AN28</f>
        <v>25118.786666666667</v>
      </c>
      <c r="AQ28" s="486"/>
      <c r="AR28" s="486"/>
      <c r="AS28" s="484"/>
      <c r="AT28" s="484"/>
      <c r="AU28" s="484"/>
      <c r="AV28" s="484"/>
      <c r="AW28" s="484"/>
      <c r="AX28" s="484"/>
      <c r="AY28" s="484"/>
      <c r="AZ28" s="484"/>
      <c r="BA28" s="484"/>
      <c r="BB28" s="484"/>
      <c r="BC28" s="484"/>
      <c r="BD28" s="484"/>
    </row>
    <row r="29" spans="1:56" s="46" customFormat="1">
      <c r="A29" s="484"/>
      <c r="B29" s="484"/>
      <c r="C29" s="484"/>
      <c r="D29" s="485"/>
      <c r="E29" s="485"/>
      <c r="F29" s="134" t="s">
        <v>175</v>
      </c>
      <c r="G29" s="12">
        <v>2</v>
      </c>
      <c r="H29" s="12" t="s">
        <v>173</v>
      </c>
      <c r="I29" s="12" t="s">
        <v>174</v>
      </c>
      <c r="J29" s="12">
        <v>44</v>
      </c>
      <c r="K29" s="12">
        <v>12</v>
      </c>
      <c r="L29" s="12"/>
      <c r="M29" s="12"/>
      <c r="N29" s="12"/>
      <c r="O29" s="12"/>
      <c r="P29" s="23">
        <f t="shared" si="29"/>
        <v>0</v>
      </c>
      <c r="Q29" s="493">
        <f>9.5*5000</f>
        <v>47500</v>
      </c>
      <c r="R29" s="493">
        <f t="shared" si="1"/>
        <v>47500</v>
      </c>
      <c r="S29" s="494">
        <v>0.49</v>
      </c>
      <c r="T29" s="494">
        <v>0.89</v>
      </c>
      <c r="U29" s="117">
        <f t="shared" si="30"/>
        <v>20714.75</v>
      </c>
      <c r="V29" s="131">
        <v>1.5</v>
      </c>
      <c r="W29" s="131">
        <v>1.5</v>
      </c>
      <c r="X29" s="132">
        <f>V29+W29</f>
        <v>3</v>
      </c>
      <c r="Y29" s="23">
        <v>0</v>
      </c>
      <c r="Z29" s="131">
        <v>1.5</v>
      </c>
      <c r="AA29" s="131">
        <v>1.5</v>
      </c>
      <c r="AB29" s="132">
        <f t="shared" si="2"/>
        <v>3</v>
      </c>
      <c r="AC29" s="132">
        <f>($X$35+$Y$35+$AB$35)*(Q29/$R$35)</f>
        <v>13.68</v>
      </c>
      <c r="AD29" s="117">
        <f t="shared" si="5"/>
        <v>75940.403333333335</v>
      </c>
      <c r="AE29" s="131">
        <v>1</v>
      </c>
      <c r="AF29" s="131">
        <v>1</v>
      </c>
      <c r="AG29" s="132">
        <f t="shared" si="31"/>
        <v>2</v>
      </c>
      <c r="AH29" s="131">
        <v>1</v>
      </c>
      <c r="AI29" s="132">
        <f t="shared" si="32"/>
        <v>3</v>
      </c>
      <c r="AJ29" s="131">
        <v>0</v>
      </c>
      <c r="AK29" s="131">
        <v>1</v>
      </c>
      <c r="AL29" s="131">
        <v>1</v>
      </c>
      <c r="AM29" s="131">
        <v>1</v>
      </c>
      <c r="AN29" s="29">
        <f t="shared" si="3"/>
        <v>3</v>
      </c>
      <c r="AO29" s="29">
        <f t="shared" si="4"/>
        <v>0</v>
      </c>
      <c r="AP29" s="133">
        <f t="shared" si="33"/>
        <v>75934.403333333335</v>
      </c>
      <c r="AQ29" s="486"/>
      <c r="AR29" s="486"/>
      <c r="AS29" s="484"/>
      <c r="AT29" s="484"/>
      <c r="AU29" s="484"/>
      <c r="AV29" s="484"/>
      <c r="AW29" s="484"/>
      <c r="AX29" s="484"/>
      <c r="AY29" s="484"/>
      <c r="AZ29" s="484"/>
      <c r="BA29" s="484"/>
      <c r="BB29" s="484"/>
      <c r="BC29" s="484"/>
      <c r="BD29" s="484"/>
    </row>
    <row r="30" spans="1:56" s="46" customFormat="1" ht="17.25" customHeight="1">
      <c r="A30" s="484"/>
      <c r="B30" s="484"/>
      <c r="C30" s="484"/>
      <c r="D30" s="485"/>
      <c r="E30" s="485"/>
      <c r="F30" s="130" t="s">
        <v>176</v>
      </c>
      <c r="G30" s="12">
        <v>2</v>
      </c>
      <c r="H30" s="12" t="s">
        <v>173</v>
      </c>
      <c r="I30" s="12" t="s">
        <v>174</v>
      </c>
      <c r="J30" s="12">
        <v>44</v>
      </c>
      <c r="K30" s="12">
        <v>12</v>
      </c>
      <c r="L30" s="12"/>
      <c r="M30" s="12"/>
      <c r="N30" s="12"/>
      <c r="O30" s="12"/>
      <c r="P30" s="23">
        <f t="shared" si="29"/>
        <v>0</v>
      </c>
      <c r="Q30" s="493">
        <f>1*5000</f>
        <v>5000</v>
      </c>
      <c r="R30" s="493">
        <f t="shared" si="1"/>
        <v>5000</v>
      </c>
      <c r="S30" s="494">
        <v>0.77</v>
      </c>
      <c r="T30" s="485">
        <v>0.89</v>
      </c>
      <c r="U30" s="117">
        <f t="shared" si="30"/>
        <v>3426.5</v>
      </c>
      <c r="V30" s="131">
        <v>1.5</v>
      </c>
      <c r="W30" s="131">
        <v>1.5</v>
      </c>
      <c r="X30" s="132">
        <f>V30+W30</f>
        <v>3</v>
      </c>
      <c r="Y30" s="23">
        <v>0</v>
      </c>
      <c r="Z30" s="131">
        <v>1.5</v>
      </c>
      <c r="AA30" s="131">
        <v>1.5</v>
      </c>
      <c r="AB30" s="132">
        <f t="shared" si="2"/>
        <v>3</v>
      </c>
      <c r="AC30" s="132">
        <f>($X$35+$Y$35+$AB$35)*(Q30/$R$35)</f>
        <v>1.44</v>
      </c>
      <c r="AD30" s="117">
        <f t="shared" si="5"/>
        <v>12562.393333333333</v>
      </c>
      <c r="AE30" s="131">
        <v>1</v>
      </c>
      <c r="AF30" s="131">
        <v>1</v>
      </c>
      <c r="AG30" s="132">
        <f t="shared" si="31"/>
        <v>2</v>
      </c>
      <c r="AH30" s="131">
        <v>1</v>
      </c>
      <c r="AI30" s="132">
        <f t="shared" si="32"/>
        <v>3</v>
      </c>
      <c r="AJ30" s="131">
        <v>0</v>
      </c>
      <c r="AK30" s="131">
        <v>1</v>
      </c>
      <c r="AL30" s="131">
        <v>1</v>
      </c>
      <c r="AM30" s="131">
        <v>1</v>
      </c>
      <c r="AN30" s="29">
        <f t="shared" si="3"/>
        <v>3</v>
      </c>
      <c r="AO30" s="29">
        <f t="shared" si="4"/>
        <v>0</v>
      </c>
      <c r="AP30" s="133">
        <f t="shared" si="33"/>
        <v>12556.393333333333</v>
      </c>
      <c r="AQ30" s="486"/>
      <c r="AR30" s="486"/>
      <c r="AS30" s="484"/>
      <c r="AT30" s="484"/>
      <c r="AU30" s="484"/>
      <c r="AV30" s="484"/>
      <c r="AW30" s="484"/>
      <c r="AX30" s="484"/>
      <c r="AY30" s="484"/>
      <c r="AZ30" s="484"/>
      <c r="BA30" s="484"/>
      <c r="BB30" s="484"/>
      <c r="BC30" s="484"/>
      <c r="BD30" s="484"/>
    </row>
    <row r="31" spans="1:56" s="46" customFormat="1" ht="17.25" customHeight="1">
      <c r="A31" s="484"/>
      <c r="B31" s="484"/>
      <c r="C31" s="484"/>
      <c r="D31" s="485"/>
      <c r="E31" s="485"/>
      <c r="F31" s="130"/>
      <c r="G31" s="12"/>
      <c r="H31" s="12"/>
      <c r="I31" s="12"/>
      <c r="J31" s="12"/>
      <c r="K31" s="12"/>
      <c r="L31" s="12"/>
      <c r="M31" s="12"/>
      <c r="N31" s="12"/>
      <c r="O31" s="12"/>
      <c r="P31" s="23"/>
      <c r="Q31" s="493"/>
      <c r="R31" s="493"/>
      <c r="S31" s="494"/>
      <c r="T31" s="485"/>
      <c r="U31" s="117"/>
      <c r="V31" s="131"/>
      <c r="W31" s="131"/>
      <c r="X31" s="132"/>
      <c r="Y31" s="23"/>
      <c r="Z31" s="131"/>
      <c r="AA31" s="131"/>
      <c r="AB31" s="132"/>
      <c r="AC31" s="132"/>
      <c r="AD31" s="117"/>
      <c r="AE31" s="135">
        <f>SUM(AE28:AE30)</f>
        <v>3</v>
      </c>
      <c r="AF31" s="135">
        <f>SUM(AF28:AF30)</f>
        <v>3</v>
      </c>
      <c r="AG31" s="136">
        <f>SUM(AG28:AG30)</f>
        <v>6</v>
      </c>
      <c r="AH31" s="135"/>
      <c r="AI31" s="136"/>
      <c r="AJ31" s="135"/>
      <c r="AK31" s="135"/>
      <c r="AL31" s="135"/>
      <c r="AM31" s="135"/>
      <c r="AN31" s="29"/>
      <c r="AO31" s="29"/>
      <c r="AP31" s="133"/>
      <c r="AQ31" s="486"/>
      <c r="AR31" s="486"/>
      <c r="AS31" s="484"/>
      <c r="AT31" s="484"/>
      <c r="AU31" s="484"/>
      <c r="AV31" s="484"/>
      <c r="AW31" s="484"/>
      <c r="AX31" s="484"/>
      <c r="AY31" s="484"/>
      <c r="AZ31" s="484"/>
      <c r="BA31" s="484"/>
      <c r="BB31" s="484"/>
      <c r="BC31" s="484"/>
      <c r="BD31" s="484"/>
    </row>
    <row r="32" spans="1:56" s="46" customFormat="1" ht="17.25" customHeight="1">
      <c r="A32" s="484"/>
      <c r="B32" s="484"/>
      <c r="C32" s="484"/>
      <c r="D32" s="485"/>
      <c r="E32" s="485"/>
      <c r="F32" s="130" t="s">
        <v>172</v>
      </c>
      <c r="G32" s="12">
        <v>2</v>
      </c>
      <c r="H32" s="12" t="s">
        <v>212</v>
      </c>
      <c r="I32" s="12" t="s">
        <v>174</v>
      </c>
      <c r="J32" s="12">
        <v>44</v>
      </c>
      <c r="K32" s="12">
        <v>12</v>
      </c>
      <c r="L32" s="12"/>
      <c r="M32" s="12"/>
      <c r="N32" s="12"/>
      <c r="O32" s="12"/>
      <c r="P32" s="23">
        <f t="shared" si="29"/>
        <v>0</v>
      </c>
      <c r="Q32" s="493">
        <f>2*5000</f>
        <v>10000</v>
      </c>
      <c r="R32" s="493">
        <f t="shared" si="1"/>
        <v>10000</v>
      </c>
      <c r="S32" s="494">
        <v>0.77</v>
      </c>
      <c r="T32" s="494">
        <v>0.89</v>
      </c>
      <c r="U32" s="117">
        <f t="shared" si="30"/>
        <v>6853</v>
      </c>
      <c r="V32" s="131">
        <v>1.5</v>
      </c>
      <c r="W32" s="131">
        <v>1.5</v>
      </c>
      <c r="X32" s="132">
        <f>V32+W32</f>
        <v>3</v>
      </c>
      <c r="Y32" s="23">
        <v>0</v>
      </c>
      <c r="Z32" s="131">
        <v>1.5</v>
      </c>
      <c r="AA32" s="131">
        <v>1.5</v>
      </c>
      <c r="AB32" s="132">
        <f t="shared" si="2"/>
        <v>3</v>
      </c>
      <c r="AC32" s="132">
        <f>($X$35+$Y$35+$AB$35)*(Q32/$R$35)</f>
        <v>2.88</v>
      </c>
      <c r="AD32" s="117">
        <f t="shared" si="5"/>
        <v>25124.786666666667</v>
      </c>
      <c r="AE32" s="131">
        <v>1.5</v>
      </c>
      <c r="AF32" s="131">
        <v>1.5</v>
      </c>
      <c r="AG32" s="132">
        <f t="shared" si="31"/>
        <v>3</v>
      </c>
      <c r="AH32" s="131">
        <v>1.5</v>
      </c>
      <c r="AI32" s="132">
        <f t="shared" si="32"/>
        <v>4.5</v>
      </c>
      <c r="AJ32" s="131">
        <v>0</v>
      </c>
      <c r="AK32" s="131">
        <v>2</v>
      </c>
      <c r="AL32" s="131">
        <v>2</v>
      </c>
      <c r="AM32" s="131">
        <v>2</v>
      </c>
      <c r="AN32" s="29">
        <f t="shared" si="3"/>
        <v>6</v>
      </c>
      <c r="AO32" s="29">
        <f>P16-M16</f>
        <v>0</v>
      </c>
      <c r="AP32" s="133">
        <f t="shared" si="33"/>
        <v>25114.286666666667</v>
      </c>
      <c r="AQ32" s="486"/>
      <c r="AR32" s="486"/>
      <c r="AS32" s="484"/>
      <c r="AT32" s="484"/>
      <c r="AU32" s="484"/>
      <c r="AV32" s="484"/>
      <c r="AW32" s="484"/>
      <c r="AX32" s="484"/>
      <c r="AY32" s="484"/>
      <c r="AZ32" s="484"/>
      <c r="BA32" s="484"/>
      <c r="BB32" s="484"/>
      <c r="BC32" s="484"/>
      <c r="BD32" s="484"/>
    </row>
    <row r="33" spans="1:56" s="46" customFormat="1" ht="17.25" customHeight="1">
      <c r="A33" s="484"/>
      <c r="B33" s="484"/>
      <c r="C33" s="484"/>
      <c r="D33" s="485"/>
      <c r="E33" s="485"/>
      <c r="F33" s="134" t="s">
        <v>175</v>
      </c>
      <c r="G33" s="12">
        <v>2</v>
      </c>
      <c r="H33" s="12" t="s">
        <v>212</v>
      </c>
      <c r="I33" s="12" t="s">
        <v>174</v>
      </c>
      <c r="J33" s="12">
        <v>44</v>
      </c>
      <c r="K33" s="12">
        <v>12</v>
      </c>
      <c r="L33" s="12"/>
      <c r="M33" s="12"/>
      <c r="N33" s="12"/>
      <c r="O33" s="12"/>
      <c r="P33" s="23">
        <f t="shared" si="29"/>
        <v>0</v>
      </c>
      <c r="Q33" s="493">
        <f>9.5*5000</f>
        <v>47500</v>
      </c>
      <c r="R33" s="493">
        <f t="shared" si="1"/>
        <v>47500</v>
      </c>
      <c r="S33" s="494">
        <v>0.49</v>
      </c>
      <c r="T33" s="494">
        <v>0.89</v>
      </c>
      <c r="U33" s="117">
        <f t="shared" si="30"/>
        <v>20714.75</v>
      </c>
      <c r="V33" s="131">
        <v>1.5</v>
      </c>
      <c r="W33" s="131">
        <v>1.5</v>
      </c>
      <c r="X33" s="132">
        <f>V33+W33</f>
        <v>3</v>
      </c>
      <c r="Y33" s="23">
        <v>0</v>
      </c>
      <c r="Z33" s="131">
        <v>1.5</v>
      </c>
      <c r="AA33" s="131">
        <v>1.5</v>
      </c>
      <c r="AB33" s="132">
        <f t="shared" si="2"/>
        <v>3</v>
      </c>
      <c r="AC33" s="132">
        <f>($X$35+$Y$35+$AB$35)*(Q33/$R$35)</f>
        <v>13.68</v>
      </c>
      <c r="AD33" s="117">
        <f t="shared" si="5"/>
        <v>75940.403333333335</v>
      </c>
      <c r="AE33" s="131">
        <v>1.5</v>
      </c>
      <c r="AF33" s="131">
        <v>1.5</v>
      </c>
      <c r="AG33" s="132">
        <f t="shared" si="31"/>
        <v>3</v>
      </c>
      <c r="AH33" s="131">
        <v>1.5</v>
      </c>
      <c r="AI33" s="132">
        <f t="shared" si="32"/>
        <v>4.5</v>
      </c>
      <c r="AJ33" s="131">
        <v>0</v>
      </c>
      <c r="AK33" s="131">
        <v>2</v>
      </c>
      <c r="AL33" s="131">
        <v>2</v>
      </c>
      <c r="AM33" s="131">
        <v>2</v>
      </c>
      <c r="AN33" s="29">
        <f t="shared" si="3"/>
        <v>6</v>
      </c>
      <c r="AO33" s="29">
        <f t="shared" ref="AO33:AO34" si="34">P32-M32</f>
        <v>0</v>
      </c>
      <c r="AP33" s="133">
        <f t="shared" si="33"/>
        <v>75929.903333333335</v>
      </c>
      <c r="AQ33" s="486"/>
      <c r="AR33" s="486"/>
      <c r="AS33" s="484"/>
      <c r="AT33" s="484"/>
      <c r="AU33" s="484"/>
      <c r="AV33" s="484"/>
      <c r="AW33" s="484"/>
      <c r="AX33" s="484"/>
      <c r="AY33" s="484"/>
      <c r="AZ33" s="484"/>
      <c r="BA33" s="484"/>
      <c r="BB33" s="484"/>
      <c r="BC33" s="484"/>
      <c r="BD33" s="484"/>
    </row>
    <row r="34" spans="1:56" s="46" customFormat="1" ht="17.25" customHeight="1">
      <c r="A34" s="484"/>
      <c r="B34" s="484"/>
      <c r="C34" s="484"/>
      <c r="D34" s="485"/>
      <c r="E34" s="485"/>
      <c r="F34" s="130" t="s">
        <v>176</v>
      </c>
      <c r="G34" s="12">
        <v>2</v>
      </c>
      <c r="H34" s="12" t="s">
        <v>212</v>
      </c>
      <c r="I34" s="12" t="s">
        <v>174</v>
      </c>
      <c r="J34" s="12">
        <v>44</v>
      </c>
      <c r="K34" s="12">
        <v>12</v>
      </c>
      <c r="L34" s="12"/>
      <c r="M34" s="12"/>
      <c r="N34" s="12"/>
      <c r="O34" s="12"/>
      <c r="P34" s="23">
        <f t="shared" si="29"/>
        <v>0</v>
      </c>
      <c r="Q34" s="493">
        <f>1*5000</f>
        <v>5000</v>
      </c>
      <c r="R34" s="493">
        <f t="shared" si="1"/>
        <v>5000</v>
      </c>
      <c r="S34" s="494">
        <v>0.77</v>
      </c>
      <c r="T34" s="485">
        <v>0.89</v>
      </c>
      <c r="U34" s="117">
        <f t="shared" si="30"/>
        <v>3426.5</v>
      </c>
      <c r="V34" s="131">
        <v>1.5</v>
      </c>
      <c r="W34" s="131">
        <v>1.5</v>
      </c>
      <c r="X34" s="132">
        <f>V34+W34</f>
        <v>3</v>
      </c>
      <c r="Y34" s="23">
        <v>0</v>
      </c>
      <c r="Z34" s="131">
        <v>1.5</v>
      </c>
      <c r="AA34" s="131">
        <v>1.5</v>
      </c>
      <c r="AB34" s="132">
        <f t="shared" si="2"/>
        <v>3</v>
      </c>
      <c r="AC34" s="132">
        <f>($X$35+$Y$35+$AB$35)*(Q34/$R$35)</f>
        <v>1.44</v>
      </c>
      <c r="AD34" s="117">
        <f t="shared" si="5"/>
        <v>12562.393333333333</v>
      </c>
      <c r="AE34" s="131">
        <v>1.5</v>
      </c>
      <c r="AF34" s="131">
        <v>1.5</v>
      </c>
      <c r="AG34" s="132">
        <f t="shared" si="31"/>
        <v>3</v>
      </c>
      <c r="AH34" s="131">
        <v>1.5</v>
      </c>
      <c r="AI34" s="132">
        <f t="shared" si="32"/>
        <v>4.5</v>
      </c>
      <c r="AJ34" s="131">
        <v>0</v>
      </c>
      <c r="AK34" s="131">
        <v>2</v>
      </c>
      <c r="AL34" s="131">
        <v>2</v>
      </c>
      <c r="AM34" s="131">
        <v>2</v>
      </c>
      <c r="AN34" s="29">
        <f t="shared" si="3"/>
        <v>6</v>
      </c>
      <c r="AO34" s="29">
        <f t="shared" si="34"/>
        <v>0</v>
      </c>
      <c r="AP34" s="133">
        <f>AO34+AD34-AI34-AN34</f>
        <v>12551.893333333333</v>
      </c>
      <c r="AQ34" s="486"/>
      <c r="AR34" s="486"/>
      <c r="AS34" s="484"/>
      <c r="AT34" s="484"/>
      <c r="AU34" s="484"/>
      <c r="AV34" s="484"/>
      <c r="AW34" s="484"/>
      <c r="AX34" s="484"/>
      <c r="AY34" s="484"/>
      <c r="AZ34" s="484"/>
      <c r="BA34" s="484"/>
      <c r="BB34" s="484"/>
      <c r="BC34" s="484"/>
      <c r="BD34" s="484"/>
    </row>
    <row r="35" spans="1:56" s="46" customFormat="1" ht="17.25" customHeight="1">
      <c r="A35" s="484"/>
      <c r="B35" s="484"/>
      <c r="C35" s="484"/>
      <c r="D35" s="485"/>
      <c r="E35" s="485"/>
      <c r="F35" s="130"/>
      <c r="G35" s="12"/>
      <c r="H35" s="12"/>
      <c r="I35" s="12"/>
      <c r="J35" s="12"/>
      <c r="K35" s="12"/>
      <c r="L35" s="12"/>
      <c r="M35" s="12"/>
      <c r="N35" s="12"/>
      <c r="O35" s="12"/>
      <c r="P35" s="23"/>
      <c r="Q35" s="493"/>
      <c r="R35" s="58">
        <f>SUM(R28:R34)</f>
        <v>125000</v>
      </c>
      <c r="S35" s="494"/>
      <c r="T35" s="485"/>
      <c r="U35" s="117"/>
      <c r="V35" s="135">
        <f t="shared" ref="V35:AD35" si="35">SUM(V28:V34)</f>
        <v>9</v>
      </c>
      <c r="W35" s="135">
        <f t="shared" si="35"/>
        <v>9</v>
      </c>
      <c r="X35" s="136">
        <f t="shared" si="35"/>
        <v>18</v>
      </c>
      <c r="Y35" s="108">
        <f t="shared" si="35"/>
        <v>0</v>
      </c>
      <c r="Z35" s="135">
        <f t="shared" si="35"/>
        <v>9</v>
      </c>
      <c r="AA35" s="135">
        <f t="shared" si="35"/>
        <v>9</v>
      </c>
      <c r="AB35" s="136">
        <f t="shared" si="35"/>
        <v>18</v>
      </c>
      <c r="AC35" s="136">
        <f t="shared" si="35"/>
        <v>36</v>
      </c>
      <c r="AD35" s="118">
        <f t="shared" si="35"/>
        <v>227255.16666666666</v>
      </c>
      <c r="AE35" s="135">
        <f>SUM(AE32:AE34)</f>
        <v>4.5</v>
      </c>
      <c r="AF35" s="135">
        <f>SUM(AF32:AF34)</f>
        <v>4.5</v>
      </c>
      <c r="AG35" s="136">
        <f>SUM(AG32:AG34)</f>
        <v>9</v>
      </c>
      <c r="AH35" s="135"/>
      <c r="AI35" s="136"/>
      <c r="AJ35" s="135">
        <f>SUM(AJ32:AJ34)</f>
        <v>0</v>
      </c>
      <c r="AK35" s="135">
        <f>SUM(AK32:AK34)</f>
        <v>6</v>
      </c>
      <c r="AL35" s="135">
        <f>SUM(AL32:AL34)</f>
        <v>6</v>
      </c>
      <c r="AM35" s="135">
        <f>SUM(AM32:AM34)</f>
        <v>6</v>
      </c>
      <c r="AN35" s="137">
        <f>SUM(AN28:AN34)</f>
        <v>27</v>
      </c>
      <c r="AO35" s="137">
        <f>SUM(AO28:AO34)</f>
        <v>0</v>
      </c>
      <c r="AP35" s="133"/>
      <c r="AQ35" s="486"/>
      <c r="AR35" s="486"/>
      <c r="AS35" s="484"/>
      <c r="AT35" s="484"/>
      <c r="AU35" s="484"/>
      <c r="AV35" s="484"/>
      <c r="AW35" s="484"/>
      <c r="AX35" s="484"/>
      <c r="AY35" s="484"/>
      <c r="AZ35" s="484"/>
      <c r="BA35" s="484"/>
      <c r="BB35" s="484"/>
      <c r="BC35" s="484"/>
      <c r="BD35" s="484"/>
    </row>
    <row r="36" spans="1:56" s="46" customFormat="1" ht="17.25" customHeight="1">
      <c r="A36" s="484"/>
      <c r="B36" s="484"/>
      <c r="C36" s="484"/>
      <c r="D36" s="485"/>
      <c r="E36" s="485"/>
      <c r="F36" s="130" t="s">
        <v>172</v>
      </c>
      <c r="G36" s="12">
        <v>2</v>
      </c>
      <c r="H36" s="12" t="s">
        <v>173</v>
      </c>
      <c r="I36" s="12" t="s">
        <v>213</v>
      </c>
      <c r="J36" s="12">
        <v>44</v>
      </c>
      <c r="K36" s="12">
        <v>12</v>
      </c>
      <c r="L36" s="12"/>
      <c r="M36" s="12"/>
      <c r="N36" s="12"/>
      <c r="O36" s="12"/>
      <c r="P36" s="23">
        <f t="shared" si="29"/>
        <v>0</v>
      </c>
      <c r="Q36" s="493">
        <f>2*5000</f>
        <v>10000</v>
      </c>
      <c r="R36" s="493">
        <f t="shared" si="1"/>
        <v>10000</v>
      </c>
      <c r="S36" s="494">
        <v>0.77</v>
      </c>
      <c r="T36" s="494">
        <v>0.89</v>
      </c>
      <c r="U36" s="117">
        <f t="shared" si="30"/>
        <v>6853</v>
      </c>
      <c r="V36" s="131">
        <v>2.5</v>
      </c>
      <c r="W36" s="131">
        <v>2.5</v>
      </c>
      <c r="X36" s="132">
        <f>V36+W36</f>
        <v>5</v>
      </c>
      <c r="Y36" s="23">
        <v>0</v>
      </c>
      <c r="Z36" s="131">
        <v>2.5</v>
      </c>
      <c r="AA36" s="131">
        <v>2.5</v>
      </c>
      <c r="AB36" s="132">
        <f t="shared" si="2"/>
        <v>5</v>
      </c>
      <c r="AC36" s="132">
        <f>($X$43+$Y$43+$AB$43)*(Q36/$R$43)</f>
        <v>4.8</v>
      </c>
      <c r="AD36" s="117">
        <f t="shared" si="5"/>
        <v>25122.866666666669</v>
      </c>
      <c r="AE36" s="131">
        <v>1</v>
      </c>
      <c r="AF36" s="131">
        <v>1</v>
      </c>
      <c r="AG36" s="132">
        <f t="shared" si="31"/>
        <v>2</v>
      </c>
      <c r="AH36" s="131">
        <v>1</v>
      </c>
      <c r="AI36" s="132">
        <f t="shared" si="32"/>
        <v>3</v>
      </c>
      <c r="AJ36" s="131">
        <v>0</v>
      </c>
      <c r="AK36" s="131">
        <v>2</v>
      </c>
      <c r="AL36" s="131">
        <v>2</v>
      </c>
      <c r="AM36" s="131">
        <v>2</v>
      </c>
      <c r="AN36" s="29">
        <f t="shared" si="3"/>
        <v>6</v>
      </c>
      <c r="AO36" s="29">
        <f>P20-M20</f>
        <v>0</v>
      </c>
      <c r="AP36" s="133">
        <f t="shared" si="33"/>
        <v>25113.866666666669</v>
      </c>
      <c r="AQ36" s="486"/>
      <c r="AR36" s="486"/>
      <c r="AS36" s="484"/>
      <c r="AT36" s="484"/>
      <c r="AU36" s="484"/>
      <c r="AV36" s="484"/>
      <c r="AW36" s="484"/>
      <c r="AX36" s="484"/>
      <c r="AY36" s="484"/>
      <c r="AZ36" s="484"/>
      <c r="BA36" s="484"/>
      <c r="BB36" s="484"/>
      <c r="BC36" s="484"/>
      <c r="BD36" s="484"/>
    </row>
    <row r="37" spans="1:56" s="46" customFormat="1" ht="17.25" customHeight="1">
      <c r="A37" s="484"/>
      <c r="B37" s="484"/>
      <c r="C37" s="484"/>
      <c r="D37" s="485"/>
      <c r="E37" s="485"/>
      <c r="F37" s="134" t="s">
        <v>175</v>
      </c>
      <c r="G37" s="12">
        <v>2</v>
      </c>
      <c r="H37" s="12" t="s">
        <v>173</v>
      </c>
      <c r="I37" s="12" t="s">
        <v>213</v>
      </c>
      <c r="J37" s="12">
        <v>44</v>
      </c>
      <c r="K37" s="12">
        <v>12</v>
      </c>
      <c r="L37" s="12"/>
      <c r="M37" s="12"/>
      <c r="N37" s="12"/>
      <c r="O37" s="12"/>
      <c r="P37" s="23">
        <f t="shared" si="29"/>
        <v>0</v>
      </c>
      <c r="Q37" s="493">
        <f>9.5*5000</f>
        <v>47500</v>
      </c>
      <c r="R37" s="493">
        <f t="shared" si="1"/>
        <v>47500</v>
      </c>
      <c r="S37" s="494">
        <v>0.49</v>
      </c>
      <c r="T37" s="494">
        <v>0.89</v>
      </c>
      <c r="U37" s="117">
        <f t="shared" si="30"/>
        <v>20714.75</v>
      </c>
      <c r="V37" s="131">
        <v>2.5</v>
      </c>
      <c r="W37" s="131">
        <v>2.5</v>
      </c>
      <c r="X37" s="132">
        <f>V37+W37</f>
        <v>5</v>
      </c>
      <c r="Y37" s="23">
        <v>0</v>
      </c>
      <c r="Z37" s="131">
        <v>2.5</v>
      </c>
      <c r="AA37" s="131">
        <v>2.5</v>
      </c>
      <c r="AB37" s="132">
        <f t="shared" si="2"/>
        <v>5</v>
      </c>
      <c r="AC37" s="132">
        <f>($X$43+$Y$43+$AB$43)*(Q37/$R$43)</f>
        <v>22.8</v>
      </c>
      <c r="AD37" s="117">
        <f t="shared" si="5"/>
        <v>75931.283333333326</v>
      </c>
      <c r="AE37" s="131">
        <v>1</v>
      </c>
      <c r="AF37" s="131">
        <v>1</v>
      </c>
      <c r="AG37" s="132">
        <f t="shared" si="31"/>
        <v>2</v>
      </c>
      <c r="AH37" s="131">
        <v>1</v>
      </c>
      <c r="AI37" s="132">
        <f t="shared" si="32"/>
        <v>3</v>
      </c>
      <c r="AJ37" s="131">
        <v>0</v>
      </c>
      <c r="AK37" s="131">
        <v>2</v>
      </c>
      <c r="AL37" s="131">
        <v>2</v>
      </c>
      <c r="AM37" s="131">
        <v>2</v>
      </c>
      <c r="AN37" s="29">
        <f t="shared" si="3"/>
        <v>6</v>
      </c>
      <c r="AO37" s="29">
        <f>P36-M36</f>
        <v>0</v>
      </c>
      <c r="AP37" s="133">
        <f t="shared" si="33"/>
        <v>75922.283333333326</v>
      </c>
      <c r="AQ37" s="486"/>
      <c r="AR37" s="486"/>
      <c r="AS37" s="484"/>
      <c r="AT37" s="484"/>
      <c r="AU37" s="484"/>
      <c r="AV37" s="484"/>
      <c r="AW37" s="484"/>
      <c r="AX37" s="484"/>
      <c r="AY37" s="484"/>
      <c r="AZ37" s="484"/>
      <c r="BA37" s="484"/>
      <c r="BB37" s="484"/>
      <c r="BC37" s="484"/>
      <c r="BD37" s="484"/>
    </row>
    <row r="38" spans="1:56" s="46" customFormat="1" ht="17.25" customHeight="1">
      <c r="A38" s="484"/>
      <c r="B38" s="484"/>
      <c r="C38" s="484"/>
      <c r="D38" s="485"/>
      <c r="E38" s="485"/>
      <c r="F38" s="130" t="s">
        <v>176</v>
      </c>
      <c r="G38" s="12">
        <v>2</v>
      </c>
      <c r="H38" s="12" t="s">
        <v>173</v>
      </c>
      <c r="I38" s="12" t="s">
        <v>213</v>
      </c>
      <c r="J38" s="12">
        <v>44</v>
      </c>
      <c r="K38" s="12">
        <v>12</v>
      </c>
      <c r="L38" s="12"/>
      <c r="M38" s="12"/>
      <c r="N38" s="12"/>
      <c r="O38" s="12"/>
      <c r="P38" s="23">
        <f t="shared" si="29"/>
        <v>0</v>
      </c>
      <c r="Q38" s="493">
        <f>1*5000</f>
        <v>5000</v>
      </c>
      <c r="R38" s="493">
        <f t="shared" si="1"/>
        <v>5000</v>
      </c>
      <c r="S38" s="494">
        <v>0.77</v>
      </c>
      <c r="T38" s="485">
        <v>0.89</v>
      </c>
      <c r="U38" s="117">
        <f t="shared" si="30"/>
        <v>3426.5</v>
      </c>
      <c r="V38" s="131">
        <v>2.5</v>
      </c>
      <c r="W38" s="131">
        <v>2.5</v>
      </c>
      <c r="X38" s="132">
        <f>V38+W38</f>
        <v>5</v>
      </c>
      <c r="Y38" s="23">
        <v>0</v>
      </c>
      <c r="Z38" s="131">
        <v>2.5</v>
      </c>
      <c r="AA38" s="131">
        <v>2.5</v>
      </c>
      <c r="AB38" s="132">
        <f t="shared" si="2"/>
        <v>5</v>
      </c>
      <c r="AC38" s="132">
        <f>($X$43+$Y$43+$AB$43)*(Q38/$R$43)</f>
        <v>2.4</v>
      </c>
      <c r="AD38" s="117">
        <f t="shared" si="5"/>
        <v>12561.433333333334</v>
      </c>
      <c r="AE38" s="131">
        <v>1</v>
      </c>
      <c r="AF38" s="131">
        <v>1</v>
      </c>
      <c r="AG38" s="132">
        <f t="shared" si="31"/>
        <v>2</v>
      </c>
      <c r="AH38" s="131">
        <v>1</v>
      </c>
      <c r="AI38" s="132">
        <f t="shared" si="32"/>
        <v>3</v>
      </c>
      <c r="AJ38" s="131">
        <v>0</v>
      </c>
      <c r="AK38" s="131">
        <v>2</v>
      </c>
      <c r="AL38" s="131">
        <v>2</v>
      </c>
      <c r="AM38" s="131">
        <v>2</v>
      </c>
      <c r="AN38" s="29">
        <f t="shared" si="3"/>
        <v>6</v>
      </c>
      <c r="AO38" s="29">
        <f t="shared" ref="AO38" si="36">P37-M37</f>
        <v>0</v>
      </c>
      <c r="AP38" s="133">
        <f t="shared" si="33"/>
        <v>12552.433333333334</v>
      </c>
      <c r="AQ38" s="486"/>
      <c r="AR38" s="486"/>
      <c r="AS38" s="484"/>
      <c r="AT38" s="484"/>
      <c r="AU38" s="484"/>
      <c r="AV38" s="484"/>
      <c r="AW38" s="484"/>
      <c r="AX38" s="484"/>
      <c r="AY38" s="484"/>
      <c r="AZ38" s="484"/>
      <c r="BA38" s="484"/>
      <c r="BB38" s="484"/>
      <c r="BC38" s="484"/>
      <c r="BD38" s="484"/>
    </row>
    <row r="39" spans="1:56" s="46" customFormat="1" ht="17.25" customHeight="1">
      <c r="A39" s="484"/>
      <c r="B39" s="484"/>
      <c r="C39" s="484"/>
      <c r="D39" s="485"/>
      <c r="E39" s="485"/>
      <c r="F39" s="130"/>
      <c r="G39" s="12"/>
      <c r="H39" s="12"/>
      <c r="I39" s="12"/>
      <c r="J39" s="12"/>
      <c r="K39" s="12"/>
      <c r="L39" s="12"/>
      <c r="M39" s="12"/>
      <c r="N39" s="12"/>
      <c r="O39" s="12"/>
      <c r="P39" s="23"/>
      <c r="Q39" s="493"/>
      <c r="R39" s="493"/>
      <c r="S39" s="494"/>
      <c r="T39" s="485"/>
      <c r="U39" s="117"/>
      <c r="V39" s="131"/>
      <c r="W39" s="131"/>
      <c r="X39" s="132"/>
      <c r="Y39" s="23"/>
      <c r="Z39" s="131"/>
      <c r="AA39" s="131"/>
      <c r="AB39" s="132"/>
      <c r="AC39" s="132"/>
      <c r="AD39" s="117"/>
      <c r="AE39" s="135">
        <f>SUM(AE36:AE38)</f>
        <v>3</v>
      </c>
      <c r="AF39" s="135">
        <f>SUM(AF36:AF38)</f>
        <v>3</v>
      </c>
      <c r="AG39" s="136">
        <f>SUM(AG36:AG38)</f>
        <v>6</v>
      </c>
      <c r="AH39" s="135"/>
      <c r="AI39" s="136"/>
      <c r="AJ39" s="135">
        <f>SUM(AJ36:AJ38)</f>
        <v>0</v>
      </c>
      <c r="AK39" s="135">
        <f>SUM(AK36:AK38)</f>
        <v>6</v>
      </c>
      <c r="AL39" s="135">
        <f>SUM(AL36:AL38)</f>
        <v>6</v>
      </c>
      <c r="AM39" s="135">
        <f>SUM(AM36:AM38)</f>
        <v>6</v>
      </c>
      <c r="AN39" s="29"/>
      <c r="AO39" s="29"/>
      <c r="AP39" s="133"/>
      <c r="AQ39" s="486"/>
      <c r="AR39" s="486"/>
      <c r="AS39" s="484"/>
      <c r="AT39" s="484"/>
      <c r="AU39" s="484"/>
      <c r="AV39" s="484"/>
      <c r="AW39" s="484"/>
      <c r="AX39" s="484"/>
      <c r="AY39" s="484"/>
      <c r="AZ39" s="484"/>
      <c r="BA39" s="484"/>
      <c r="BB39" s="484"/>
      <c r="BC39" s="484"/>
      <c r="BD39" s="484"/>
    </row>
    <row r="40" spans="1:56" s="46" customFormat="1" ht="17.25" customHeight="1">
      <c r="A40" s="484"/>
      <c r="B40" s="484"/>
      <c r="C40" s="484"/>
      <c r="D40" s="485"/>
      <c r="E40" s="485"/>
      <c r="F40" s="130" t="s">
        <v>172</v>
      </c>
      <c r="G40" s="12">
        <v>2</v>
      </c>
      <c r="H40" s="12" t="s">
        <v>212</v>
      </c>
      <c r="I40" s="12" t="s">
        <v>213</v>
      </c>
      <c r="J40" s="12">
        <v>44</v>
      </c>
      <c r="K40" s="12">
        <v>12</v>
      </c>
      <c r="L40" s="12"/>
      <c r="M40" s="12"/>
      <c r="N40" s="12"/>
      <c r="O40" s="12"/>
      <c r="P40" s="23">
        <f t="shared" si="29"/>
        <v>0</v>
      </c>
      <c r="Q40" s="493">
        <f>2*5000</f>
        <v>10000</v>
      </c>
      <c r="R40" s="493">
        <f t="shared" si="1"/>
        <v>10000</v>
      </c>
      <c r="S40" s="494">
        <v>0.77</v>
      </c>
      <c r="T40" s="494">
        <v>0.89</v>
      </c>
      <c r="U40" s="117">
        <f t="shared" si="30"/>
        <v>6853</v>
      </c>
      <c r="V40" s="131">
        <v>2.5</v>
      </c>
      <c r="W40" s="131">
        <v>2.5</v>
      </c>
      <c r="X40" s="132">
        <f>V40+W40</f>
        <v>5</v>
      </c>
      <c r="Y40" s="23">
        <v>0</v>
      </c>
      <c r="Z40" s="131">
        <v>2.5</v>
      </c>
      <c r="AA40" s="131">
        <v>2.5</v>
      </c>
      <c r="AB40" s="132">
        <f t="shared" si="2"/>
        <v>5</v>
      </c>
      <c r="AC40" s="132">
        <f>($X$43+$Y$43+$AB$43)*(Q40/$R$43)</f>
        <v>4.8</v>
      </c>
      <c r="AD40" s="117">
        <f t="shared" si="5"/>
        <v>25122.866666666669</v>
      </c>
      <c r="AE40" s="131">
        <v>1.5</v>
      </c>
      <c r="AF40" s="131">
        <v>1.5</v>
      </c>
      <c r="AG40" s="132">
        <f t="shared" si="31"/>
        <v>3</v>
      </c>
      <c r="AH40" s="131">
        <v>1.5</v>
      </c>
      <c r="AI40" s="132">
        <f t="shared" si="32"/>
        <v>4.5</v>
      </c>
      <c r="AJ40" s="131">
        <v>0</v>
      </c>
      <c r="AK40" s="131">
        <v>2</v>
      </c>
      <c r="AL40" s="131">
        <v>2</v>
      </c>
      <c r="AM40" s="131">
        <v>2</v>
      </c>
      <c r="AN40" s="29">
        <f t="shared" si="3"/>
        <v>6</v>
      </c>
      <c r="AO40" s="29">
        <f>P24-M24</f>
        <v>0</v>
      </c>
      <c r="AP40" s="133">
        <f t="shared" si="33"/>
        <v>25112.366666666669</v>
      </c>
      <c r="AQ40" s="486"/>
      <c r="AR40" s="486"/>
      <c r="AS40" s="484"/>
      <c r="AT40" s="484"/>
      <c r="AU40" s="484"/>
      <c r="AV40" s="484"/>
      <c r="AW40" s="484"/>
      <c r="AX40" s="484"/>
      <c r="AY40" s="484"/>
      <c r="AZ40" s="484"/>
      <c r="BA40" s="484"/>
      <c r="BB40" s="484"/>
      <c r="BC40" s="484"/>
      <c r="BD40" s="484"/>
    </row>
    <row r="41" spans="1:56" s="46" customFormat="1" ht="17.25" customHeight="1">
      <c r="A41" s="484"/>
      <c r="B41" s="484"/>
      <c r="C41" s="484"/>
      <c r="D41" s="485"/>
      <c r="E41" s="485"/>
      <c r="F41" s="134" t="s">
        <v>175</v>
      </c>
      <c r="G41" s="12">
        <v>2</v>
      </c>
      <c r="H41" s="12" t="s">
        <v>212</v>
      </c>
      <c r="I41" s="12" t="s">
        <v>213</v>
      </c>
      <c r="J41" s="12">
        <v>44</v>
      </c>
      <c r="K41" s="12">
        <v>12</v>
      </c>
      <c r="L41" s="12"/>
      <c r="M41" s="12"/>
      <c r="N41" s="12"/>
      <c r="O41" s="12"/>
      <c r="P41" s="23">
        <f t="shared" si="29"/>
        <v>0</v>
      </c>
      <c r="Q41" s="493">
        <f>9.5*5000</f>
        <v>47500</v>
      </c>
      <c r="R41" s="493">
        <f t="shared" si="1"/>
        <v>47500</v>
      </c>
      <c r="S41" s="494">
        <v>0.49</v>
      </c>
      <c r="T41" s="494">
        <v>0.89</v>
      </c>
      <c r="U41" s="117">
        <f t="shared" si="30"/>
        <v>20714.75</v>
      </c>
      <c r="V41" s="131">
        <v>2.5</v>
      </c>
      <c r="W41" s="131">
        <v>2.5</v>
      </c>
      <c r="X41" s="132">
        <f>V41+W41</f>
        <v>5</v>
      </c>
      <c r="Y41" s="23">
        <v>0</v>
      </c>
      <c r="Z41" s="131">
        <v>2.5</v>
      </c>
      <c r="AA41" s="131">
        <v>2.5</v>
      </c>
      <c r="AB41" s="132">
        <f t="shared" si="2"/>
        <v>5</v>
      </c>
      <c r="AC41" s="132">
        <f>($X$43+$Y$43+$AB$43)*(Q41/$R$43)</f>
        <v>22.8</v>
      </c>
      <c r="AD41" s="117">
        <f t="shared" si="5"/>
        <v>75931.283333333326</v>
      </c>
      <c r="AE41" s="131">
        <v>1.5</v>
      </c>
      <c r="AF41" s="131">
        <v>1.5</v>
      </c>
      <c r="AG41" s="132">
        <f t="shared" si="31"/>
        <v>3</v>
      </c>
      <c r="AH41" s="131">
        <v>1.5</v>
      </c>
      <c r="AI41" s="132">
        <f t="shared" si="32"/>
        <v>4.5</v>
      </c>
      <c r="AJ41" s="131">
        <v>0</v>
      </c>
      <c r="AK41" s="131">
        <v>2</v>
      </c>
      <c r="AL41" s="131">
        <v>2</v>
      </c>
      <c r="AM41" s="131">
        <v>2</v>
      </c>
      <c r="AN41" s="29">
        <f t="shared" si="3"/>
        <v>6</v>
      </c>
      <c r="AO41" s="29">
        <f t="shared" ref="AO41:AO42" si="37">P40-M40</f>
        <v>0</v>
      </c>
      <c r="AP41" s="133">
        <f t="shared" si="33"/>
        <v>75920.783333333326</v>
      </c>
      <c r="AQ41" s="486"/>
      <c r="AR41" s="486"/>
      <c r="AS41" s="484"/>
      <c r="AT41" s="484"/>
      <c r="AU41" s="484"/>
      <c r="AV41" s="484"/>
      <c r="AW41" s="484"/>
      <c r="AX41" s="484"/>
      <c r="AY41" s="484"/>
      <c r="AZ41" s="484"/>
      <c r="BA41" s="484"/>
      <c r="BB41" s="484"/>
      <c r="BC41" s="484"/>
      <c r="BD41" s="484"/>
    </row>
    <row r="42" spans="1:56" s="46" customFormat="1" ht="17.25" customHeight="1">
      <c r="A42" s="484"/>
      <c r="B42" s="484"/>
      <c r="C42" s="484"/>
      <c r="D42" s="485"/>
      <c r="E42" s="485"/>
      <c r="F42" s="130" t="s">
        <v>176</v>
      </c>
      <c r="G42" s="12">
        <v>2</v>
      </c>
      <c r="H42" s="12" t="s">
        <v>212</v>
      </c>
      <c r="I42" s="12" t="s">
        <v>213</v>
      </c>
      <c r="J42" s="12">
        <v>44</v>
      </c>
      <c r="K42" s="12">
        <v>12</v>
      </c>
      <c r="L42" s="12"/>
      <c r="M42" s="12"/>
      <c r="N42" s="12"/>
      <c r="O42" s="12"/>
      <c r="P42" s="23">
        <f t="shared" si="29"/>
        <v>0</v>
      </c>
      <c r="Q42" s="493">
        <f>1*5000</f>
        <v>5000</v>
      </c>
      <c r="R42" s="493">
        <f t="shared" si="1"/>
        <v>5000</v>
      </c>
      <c r="S42" s="494">
        <v>0.77</v>
      </c>
      <c r="T42" s="485">
        <v>0.89</v>
      </c>
      <c r="U42" s="117">
        <f t="shared" si="30"/>
        <v>3426.5</v>
      </c>
      <c r="V42" s="131">
        <v>2.5</v>
      </c>
      <c r="W42" s="131">
        <v>2.5</v>
      </c>
      <c r="X42" s="132">
        <f>V42+W42</f>
        <v>5</v>
      </c>
      <c r="Y42" s="23">
        <v>0</v>
      </c>
      <c r="Z42" s="131">
        <v>2.5</v>
      </c>
      <c r="AA42" s="131">
        <v>2.5</v>
      </c>
      <c r="AB42" s="132">
        <f t="shared" si="2"/>
        <v>5</v>
      </c>
      <c r="AC42" s="132">
        <f>($X$43+$Y$43+$AB$43)*(Q42/$R$43)</f>
        <v>2.4</v>
      </c>
      <c r="AD42" s="117">
        <f t="shared" si="5"/>
        <v>12561.433333333334</v>
      </c>
      <c r="AE42" s="131">
        <v>1.5</v>
      </c>
      <c r="AF42" s="131">
        <v>1.5</v>
      </c>
      <c r="AG42" s="132">
        <f t="shared" si="31"/>
        <v>3</v>
      </c>
      <c r="AH42" s="131">
        <v>1.5</v>
      </c>
      <c r="AI42" s="132">
        <f t="shared" si="32"/>
        <v>4.5</v>
      </c>
      <c r="AJ42" s="131">
        <v>0</v>
      </c>
      <c r="AK42" s="131">
        <v>2</v>
      </c>
      <c r="AL42" s="131">
        <v>2</v>
      </c>
      <c r="AM42" s="131">
        <v>2</v>
      </c>
      <c r="AN42" s="29">
        <f t="shared" si="3"/>
        <v>6</v>
      </c>
      <c r="AO42" s="29">
        <f t="shared" si="37"/>
        <v>0</v>
      </c>
      <c r="AP42" s="133">
        <f t="shared" si="33"/>
        <v>12550.933333333334</v>
      </c>
      <c r="AQ42" s="486"/>
      <c r="AR42" s="486"/>
      <c r="AS42" s="484"/>
      <c r="AT42" s="484"/>
      <c r="AU42" s="484"/>
      <c r="AV42" s="484"/>
      <c r="AW42" s="484"/>
      <c r="AX42" s="484"/>
      <c r="AY42" s="484"/>
      <c r="AZ42" s="484"/>
      <c r="BA42" s="484"/>
      <c r="BB42" s="484"/>
      <c r="BC42" s="484"/>
      <c r="BD42" s="484"/>
    </row>
    <row r="43" spans="1:56" ht="16" thickBot="1">
      <c r="A43" s="484"/>
      <c r="B43" s="484"/>
      <c r="C43" s="484"/>
      <c r="D43" s="485"/>
      <c r="E43" s="485"/>
      <c r="F43" s="584"/>
      <c r="G43" s="585"/>
      <c r="H43" s="585"/>
      <c r="I43" s="585"/>
      <c r="J43" s="585"/>
      <c r="K43" s="585"/>
      <c r="L43" s="585"/>
      <c r="M43" s="585"/>
      <c r="N43" s="585"/>
      <c r="O43" s="585"/>
      <c r="P43" s="585"/>
      <c r="Q43" s="585"/>
      <c r="R43" s="138">
        <f>SUM(R36:R42)</f>
        <v>125000</v>
      </c>
      <c r="S43" s="585"/>
      <c r="T43" s="585"/>
      <c r="U43" s="586"/>
      <c r="V43" s="139">
        <f t="shared" ref="V43:AD43" si="38">SUM(V36:V42)</f>
        <v>15</v>
      </c>
      <c r="W43" s="139">
        <f t="shared" si="38"/>
        <v>15</v>
      </c>
      <c r="X43" s="140">
        <f t="shared" si="38"/>
        <v>30</v>
      </c>
      <c r="Y43" s="141">
        <f t="shared" si="38"/>
        <v>0</v>
      </c>
      <c r="Z43" s="139">
        <f t="shared" si="38"/>
        <v>15</v>
      </c>
      <c r="AA43" s="139">
        <f t="shared" si="38"/>
        <v>15</v>
      </c>
      <c r="AB43" s="140">
        <f t="shared" si="38"/>
        <v>30</v>
      </c>
      <c r="AC43" s="140">
        <f t="shared" si="38"/>
        <v>59.999999999999993</v>
      </c>
      <c r="AD43" s="142">
        <f t="shared" si="38"/>
        <v>227231.16666666669</v>
      </c>
      <c r="AE43" s="139">
        <f>SUM(AE40:AE42)</f>
        <v>4.5</v>
      </c>
      <c r="AF43" s="139">
        <f>SUM(AF40:AF42)</f>
        <v>4.5</v>
      </c>
      <c r="AG43" s="140">
        <f>SUM(AG40:AG42)</f>
        <v>9</v>
      </c>
      <c r="AH43" s="139"/>
      <c r="AI43" s="143"/>
      <c r="AJ43" s="139">
        <f>SUM(AJ40:AJ42)</f>
        <v>0</v>
      </c>
      <c r="AK43" s="139">
        <f>SUM(AK40:AK42)</f>
        <v>6</v>
      </c>
      <c r="AL43" s="139">
        <f>SUM(AL40:AL42)</f>
        <v>6</v>
      </c>
      <c r="AM43" s="139">
        <f>SUM(AM40:AM42)</f>
        <v>6</v>
      </c>
      <c r="AN43" s="144">
        <f>SUM(AN36:AN42)</f>
        <v>36</v>
      </c>
      <c r="AO43" s="144">
        <f>SUM(AO36:AO42)</f>
        <v>0</v>
      </c>
      <c r="AP43" s="587"/>
      <c r="AQ43" s="11"/>
      <c r="AR43" s="484"/>
      <c r="AS43" s="484"/>
      <c r="AT43" s="484"/>
      <c r="AU43" s="484"/>
      <c r="AV43" s="484"/>
      <c r="AW43" s="484"/>
      <c r="AX43" s="484"/>
      <c r="AY43" s="484"/>
      <c r="AZ43" s="484"/>
      <c r="BA43" s="484"/>
      <c r="BB43" s="484"/>
      <c r="BC43" s="484"/>
      <c r="BD43" s="484"/>
    </row>
    <row r="44" spans="1:56" s="46" customFormat="1">
      <c r="A44" s="484"/>
      <c r="B44" s="484"/>
      <c r="C44" s="484"/>
      <c r="D44" s="485"/>
      <c r="E44" s="485"/>
      <c r="F44" s="54" t="s">
        <v>214</v>
      </c>
      <c r="G44" s="485"/>
      <c r="H44" s="485"/>
      <c r="I44" s="485"/>
      <c r="J44" s="485"/>
      <c r="K44" s="485"/>
      <c r="L44" s="485"/>
      <c r="M44" s="485"/>
      <c r="N44" s="485"/>
      <c r="O44" s="485"/>
      <c r="P44" s="485"/>
      <c r="Q44" s="485"/>
      <c r="R44" s="485"/>
      <c r="S44" s="485"/>
      <c r="T44" s="485"/>
      <c r="U44" s="485"/>
      <c r="V44" s="485"/>
      <c r="W44" s="485"/>
      <c r="X44" s="485"/>
      <c r="Y44" s="485"/>
      <c r="Z44" s="485"/>
      <c r="AA44" s="485"/>
      <c r="AB44" s="485"/>
      <c r="AC44" s="485"/>
      <c r="AD44" s="485"/>
      <c r="AE44" s="485"/>
      <c r="AF44" s="485"/>
      <c r="AG44" s="485"/>
      <c r="AH44" s="485"/>
      <c r="AI44" s="485"/>
      <c r="AJ44" s="486"/>
      <c r="AK44" s="8"/>
      <c r="AL44" s="9"/>
      <c r="AM44" s="10"/>
      <c r="AN44" s="10"/>
      <c r="AO44" s="7"/>
      <c r="AP44" s="57">
        <f>SUM(AP12:AP42)</f>
        <v>908807.66666666663</v>
      </c>
      <c r="AQ44" s="6"/>
      <c r="AR44" s="484"/>
      <c r="AS44" s="484"/>
      <c r="AT44" s="484"/>
      <c r="AU44" s="484"/>
      <c r="AV44" s="484"/>
      <c r="AW44" s="484"/>
      <c r="AX44" s="484"/>
      <c r="AY44" s="484"/>
      <c r="AZ44" s="484"/>
      <c r="BA44" s="484"/>
      <c r="BB44" s="484"/>
      <c r="BC44" s="484"/>
      <c r="BD44" s="484"/>
    </row>
    <row r="45" spans="1:56" s="46" customFormat="1" ht="16" thickBot="1">
      <c r="A45" s="484"/>
      <c r="B45" s="484"/>
      <c r="C45" s="484"/>
      <c r="D45" s="485"/>
      <c r="E45" s="485"/>
      <c r="F45" s="54" t="s">
        <v>215</v>
      </c>
      <c r="G45" s="485"/>
      <c r="H45" s="485"/>
      <c r="I45" s="485"/>
      <c r="J45" s="485"/>
      <c r="K45" s="485"/>
      <c r="L45" s="485"/>
      <c r="M45" s="485"/>
      <c r="N45" s="485"/>
      <c r="O45" s="485"/>
      <c r="P45" s="485"/>
      <c r="Q45" s="485"/>
      <c r="R45" s="485"/>
      <c r="S45" s="485"/>
      <c r="T45" s="485"/>
      <c r="U45" s="485"/>
      <c r="V45" s="485"/>
      <c r="W45" s="485"/>
      <c r="X45" s="485"/>
      <c r="Y45" s="485"/>
      <c r="Z45" s="485"/>
      <c r="AA45" s="485"/>
      <c r="AB45" s="485"/>
      <c r="AC45" s="485"/>
      <c r="AD45" s="485"/>
      <c r="AE45" s="485"/>
      <c r="AF45" s="485"/>
      <c r="AG45" s="485"/>
      <c r="AH45" s="485"/>
      <c r="AI45" s="485"/>
      <c r="AJ45" s="486"/>
      <c r="AK45" s="485"/>
      <c r="AL45" s="486"/>
      <c r="AM45" s="486"/>
      <c r="AN45" s="486"/>
      <c r="AO45" s="500"/>
      <c r="AP45" s="500"/>
      <c r="AQ45" s="6"/>
      <c r="AR45" s="484"/>
      <c r="AS45" s="484"/>
      <c r="AT45" s="484"/>
      <c r="AU45" s="484"/>
      <c r="AV45" s="484"/>
      <c r="AW45" s="484"/>
      <c r="AX45" s="484"/>
      <c r="AY45" s="484"/>
      <c r="AZ45" s="484"/>
      <c r="BA45" s="484"/>
      <c r="BB45" s="484"/>
      <c r="BC45" s="484"/>
      <c r="BD45" s="484"/>
    </row>
    <row r="46" spans="1:56" ht="16" thickBot="1">
      <c r="A46" s="484"/>
      <c r="B46" s="484"/>
      <c r="C46" s="484"/>
      <c r="D46" s="484"/>
      <c r="E46" s="485"/>
      <c r="F46" s="485"/>
      <c r="G46" s="485"/>
      <c r="H46" s="485"/>
      <c r="I46" s="485"/>
      <c r="J46" s="485"/>
      <c r="K46" s="485"/>
      <c r="L46" s="485"/>
      <c r="M46" s="485"/>
      <c r="N46" s="485"/>
      <c r="O46" s="485"/>
      <c r="P46" s="485"/>
      <c r="Q46" s="485"/>
      <c r="R46" s="485"/>
      <c r="S46" s="485"/>
      <c r="T46" s="485"/>
      <c r="U46" s="485"/>
      <c r="V46" s="485"/>
      <c r="W46" s="485"/>
      <c r="X46" s="485"/>
      <c r="Y46" s="485"/>
      <c r="Z46" s="485"/>
      <c r="AA46" s="485"/>
      <c r="AB46" s="485"/>
      <c r="AC46" s="485"/>
      <c r="AD46" s="485"/>
      <c r="AE46" s="485"/>
      <c r="AF46" s="485"/>
      <c r="AG46" s="485"/>
      <c r="AH46" s="486"/>
      <c r="AI46" s="486"/>
      <c r="AJ46" s="486"/>
      <c r="AK46" s="578"/>
      <c r="AL46" s="484"/>
      <c r="AM46" s="484"/>
      <c r="AN46" s="484"/>
      <c r="AO46" s="484"/>
      <c r="AP46" s="484"/>
      <c r="AQ46" s="579"/>
      <c r="AR46" s="484"/>
      <c r="AS46" s="484"/>
      <c r="AT46" s="484"/>
      <c r="AU46" s="484"/>
      <c r="AV46" s="484"/>
      <c r="AW46" s="484"/>
      <c r="AX46" s="484"/>
      <c r="AY46" s="484"/>
      <c r="AZ46" s="484"/>
      <c r="BA46" s="484"/>
      <c r="BB46" s="484"/>
      <c r="BC46" s="484"/>
      <c r="BD46" s="484"/>
    </row>
    <row r="47" spans="1:56">
      <c r="A47" s="484"/>
      <c r="B47" s="484"/>
      <c r="C47" s="484"/>
      <c r="D47" s="484"/>
      <c r="E47" s="485"/>
      <c r="F47" s="485" t="s">
        <v>184</v>
      </c>
      <c r="G47" s="485"/>
      <c r="H47" s="485"/>
      <c r="I47" s="485"/>
      <c r="J47" s="485"/>
      <c r="K47" s="485"/>
      <c r="L47" s="485"/>
      <c r="M47" s="485"/>
      <c r="N47" s="485"/>
      <c r="O47" s="485"/>
      <c r="P47" s="485"/>
      <c r="Q47" s="485"/>
      <c r="R47" s="485"/>
      <c r="S47" s="485"/>
      <c r="T47" s="485"/>
      <c r="U47" s="485"/>
      <c r="V47" s="485"/>
      <c r="W47" s="485"/>
      <c r="X47" s="485"/>
      <c r="Y47" s="485"/>
      <c r="Z47" s="485"/>
      <c r="AA47" s="485"/>
      <c r="AB47" s="485"/>
      <c r="AC47" s="485"/>
      <c r="AD47" s="485"/>
      <c r="AE47" s="485"/>
      <c r="AF47" s="485"/>
      <c r="AG47" s="485"/>
      <c r="AH47" s="486"/>
      <c r="AI47" s="486"/>
      <c r="AJ47" s="486"/>
      <c r="AK47" s="484"/>
      <c r="AL47" s="484"/>
      <c r="AM47" s="484"/>
      <c r="AN47" s="484"/>
      <c r="AO47" s="484"/>
      <c r="AP47" s="484"/>
      <c r="AQ47" s="484"/>
      <c r="AR47" s="484"/>
      <c r="AS47" s="484"/>
      <c r="AT47" s="484"/>
      <c r="AU47" s="484"/>
      <c r="AV47" s="484"/>
      <c r="AW47" s="484"/>
      <c r="AX47" s="484"/>
      <c r="AY47" s="484"/>
      <c r="AZ47" s="484"/>
      <c r="BA47" s="484"/>
      <c r="BB47" s="484"/>
      <c r="BC47" s="484"/>
      <c r="BD47" s="484"/>
    </row>
    <row r="48" spans="1:56" ht="16" thickBot="1">
      <c r="A48" s="484"/>
      <c r="B48" s="484"/>
      <c r="C48" s="484"/>
      <c r="D48" s="484"/>
      <c r="E48" s="485"/>
      <c r="F48" s="485"/>
      <c r="G48" s="485"/>
      <c r="H48" s="485"/>
      <c r="I48" s="485"/>
      <c r="J48" s="485"/>
      <c r="K48" s="485"/>
      <c r="L48" s="485"/>
      <c r="M48" s="653"/>
      <c r="N48" s="653"/>
      <c r="O48" s="653"/>
      <c r="P48" s="653"/>
      <c r="Q48" s="653"/>
      <c r="R48" s="485"/>
      <c r="S48" s="485"/>
      <c r="T48" s="485"/>
      <c r="U48" s="485"/>
      <c r="V48" s="485"/>
      <c r="W48" s="485"/>
      <c r="X48" s="485"/>
      <c r="Y48" s="485"/>
      <c r="Z48" s="654"/>
      <c r="AA48" s="654"/>
      <c r="AB48" s="654"/>
      <c r="AC48" s="654"/>
      <c r="AD48" s="654"/>
      <c r="AE48" s="654"/>
      <c r="AF48" s="654"/>
      <c r="AG48" s="653"/>
      <c r="AH48" s="653"/>
      <c r="AI48" s="653"/>
      <c r="AJ48" s="653"/>
      <c r="AK48" s="653"/>
      <c r="AL48" s="484"/>
      <c r="AM48" s="484"/>
      <c r="AN48" s="484"/>
      <c r="AO48" s="484"/>
      <c r="AP48" s="484"/>
      <c r="AQ48" s="484"/>
      <c r="AR48" s="484"/>
      <c r="AS48" s="484"/>
      <c r="AT48" s="484"/>
      <c r="AU48" s="484"/>
      <c r="AV48" s="499">
        <f>AP44+AS82</f>
        <v>1131972.3333333333</v>
      </c>
      <c r="AW48" s="484"/>
      <c r="AX48" s="484"/>
      <c r="AY48" s="484"/>
      <c r="AZ48" s="484"/>
      <c r="BA48" s="484"/>
      <c r="BB48" s="484"/>
      <c r="BC48" s="484"/>
      <c r="BD48" s="484"/>
    </row>
    <row r="49" spans="1:56">
      <c r="A49" s="484"/>
      <c r="B49" s="484"/>
      <c r="C49" s="484"/>
      <c r="D49" s="484"/>
      <c r="E49" s="485"/>
      <c r="F49" s="560"/>
      <c r="G49" s="516"/>
      <c r="H49" s="516"/>
      <c r="I49" s="516"/>
      <c r="J49" s="516"/>
      <c r="K49" s="516"/>
      <c r="L49" s="516"/>
      <c r="M49" s="516"/>
      <c r="N49" s="516"/>
      <c r="O49" s="516"/>
      <c r="P49" s="516"/>
      <c r="Q49" s="561"/>
      <c r="R49" s="516"/>
      <c r="S49" s="516"/>
      <c r="T49" s="516"/>
      <c r="U49" s="516"/>
      <c r="V49" s="516"/>
      <c r="W49" s="516"/>
      <c r="X49" s="561"/>
      <c r="Y49" s="561"/>
      <c r="Z49" s="561"/>
      <c r="AA49" s="516"/>
      <c r="AB49" s="562"/>
      <c r="AC49" s="516"/>
      <c r="AD49" s="516"/>
      <c r="AE49" s="561"/>
      <c r="AF49" s="561"/>
      <c r="AG49" s="561"/>
      <c r="AH49" s="516"/>
      <c r="AI49" s="516"/>
      <c r="AJ49" s="561"/>
      <c r="AK49" s="516"/>
      <c r="AL49" s="561"/>
      <c r="AM49" s="516"/>
      <c r="AN49" s="563"/>
      <c r="AO49" s="563"/>
      <c r="AP49" s="563"/>
      <c r="AQ49" s="564"/>
      <c r="AR49" s="564"/>
      <c r="AS49" s="565"/>
      <c r="AT49" s="484"/>
      <c r="AU49" s="484"/>
      <c r="AV49" s="559">
        <f>AQ45+AS84</f>
        <v>0</v>
      </c>
      <c r="AW49" s="484"/>
      <c r="AX49" s="484"/>
      <c r="AY49" s="484"/>
      <c r="AZ49" s="484"/>
      <c r="BA49" s="484"/>
      <c r="BB49" s="484"/>
      <c r="BC49" s="484"/>
      <c r="BD49" s="484"/>
    </row>
    <row r="50" spans="1:56" ht="16">
      <c r="A50" s="484"/>
      <c r="B50" s="484"/>
      <c r="C50" s="484"/>
      <c r="D50" s="484"/>
      <c r="E50" s="485"/>
      <c r="F50" s="566" t="s">
        <v>128</v>
      </c>
      <c r="G50" s="485" t="s">
        <v>129</v>
      </c>
      <c r="H50" s="485" t="s">
        <v>130</v>
      </c>
      <c r="I50" s="485" t="s">
        <v>131</v>
      </c>
      <c r="J50" s="485" t="s">
        <v>190</v>
      </c>
      <c r="K50" s="485" t="s">
        <v>132</v>
      </c>
      <c r="L50" s="485" t="s">
        <v>133</v>
      </c>
      <c r="M50" s="485"/>
      <c r="N50" s="485"/>
      <c r="O50" s="485"/>
      <c r="P50" s="485"/>
      <c r="Q50" s="509"/>
      <c r="R50" s="485"/>
      <c r="S50" s="485"/>
      <c r="T50" s="485"/>
      <c r="U50" s="485"/>
      <c r="V50" s="485"/>
      <c r="W50" s="485"/>
      <c r="X50" s="509" t="s">
        <v>191</v>
      </c>
      <c r="Y50" s="509" t="s">
        <v>41</v>
      </c>
      <c r="Z50" s="509" t="s">
        <v>192</v>
      </c>
      <c r="AA50" s="485"/>
      <c r="AB50" s="487"/>
      <c r="AC50" s="485"/>
      <c r="AD50" s="485"/>
      <c r="AE50" s="509" t="s">
        <v>193</v>
      </c>
      <c r="AF50" s="509" t="s">
        <v>194</v>
      </c>
      <c r="AG50" s="509" t="s">
        <v>12</v>
      </c>
      <c r="AH50" s="485"/>
      <c r="AI50" s="485"/>
      <c r="AJ50" s="509" t="s">
        <v>72</v>
      </c>
      <c r="AK50" s="485"/>
      <c r="AL50" s="509" t="s">
        <v>67</v>
      </c>
      <c r="AM50" s="485"/>
      <c r="AN50" s="486"/>
      <c r="AO50" s="486"/>
      <c r="AP50" s="486"/>
      <c r="AQ50" s="510" t="s">
        <v>53</v>
      </c>
      <c r="AR50" s="510" t="s">
        <v>95</v>
      </c>
      <c r="AS50" s="567" t="s">
        <v>102</v>
      </c>
      <c r="AT50" s="484"/>
      <c r="AU50" s="484"/>
      <c r="AV50" s="484"/>
      <c r="AW50" s="484"/>
      <c r="AX50" s="484"/>
      <c r="AY50" s="484"/>
      <c r="AZ50" s="484"/>
      <c r="BA50" s="484"/>
      <c r="BB50" s="484"/>
      <c r="BC50" s="484"/>
      <c r="BD50" s="484"/>
    </row>
    <row r="51" spans="1:56" ht="18" thickBot="1">
      <c r="A51" s="484"/>
      <c r="B51" s="484"/>
      <c r="C51" s="484"/>
      <c r="D51" s="484"/>
      <c r="E51" s="485"/>
      <c r="F51" s="580" t="s">
        <v>137</v>
      </c>
      <c r="G51" s="485" t="s">
        <v>138</v>
      </c>
      <c r="H51" s="485" t="s">
        <v>139</v>
      </c>
      <c r="I51" s="485" t="s">
        <v>140</v>
      </c>
      <c r="J51" s="485"/>
      <c r="K51" s="485"/>
      <c r="L51" s="485"/>
      <c r="M51" s="63" t="s">
        <v>195</v>
      </c>
      <c r="N51" s="513" t="s">
        <v>110</v>
      </c>
      <c r="O51" s="63" t="s">
        <v>196</v>
      </c>
      <c r="P51" s="63" t="s">
        <v>197</v>
      </c>
      <c r="Q51" s="514" t="s">
        <v>97</v>
      </c>
      <c r="R51" s="485" t="s">
        <v>40</v>
      </c>
      <c r="S51" s="485" t="s">
        <v>47</v>
      </c>
      <c r="T51" s="485" t="s">
        <v>83</v>
      </c>
      <c r="U51" s="485" t="s">
        <v>198</v>
      </c>
      <c r="V51" s="485" t="s">
        <v>199</v>
      </c>
      <c r="W51" s="485" t="s">
        <v>200</v>
      </c>
      <c r="X51" s="105" t="s">
        <v>216</v>
      </c>
      <c r="Y51" s="105" t="s">
        <v>217</v>
      </c>
      <c r="Z51" s="105" t="s">
        <v>218</v>
      </c>
      <c r="AA51" s="485" t="s">
        <v>64</v>
      </c>
      <c r="AB51" s="485" t="s">
        <v>62</v>
      </c>
      <c r="AC51" s="3" t="s">
        <v>201</v>
      </c>
      <c r="AD51" s="485" t="s">
        <v>112</v>
      </c>
      <c r="AE51" s="64" t="s">
        <v>202</v>
      </c>
      <c r="AF51" s="105" t="s">
        <v>219</v>
      </c>
      <c r="AG51" s="65" t="s">
        <v>204</v>
      </c>
      <c r="AH51" s="485" t="s">
        <v>104</v>
      </c>
      <c r="AI51" s="485" t="s">
        <v>99</v>
      </c>
      <c r="AJ51" s="509" t="s">
        <v>66</v>
      </c>
      <c r="AK51" s="485" t="s">
        <v>69</v>
      </c>
      <c r="AL51" s="66" t="s">
        <v>74</v>
      </c>
      <c r="AM51" s="513" t="s">
        <v>52</v>
      </c>
      <c r="AN51" s="513" t="s">
        <v>55</v>
      </c>
      <c r="AO51" s="513" t="s">
        <v>60</v>
      </c>
      <c r="AP51" s="513" t="s">
        <v>57</v>
      </c>
      <c r="AQ51" s="514" t="s">
        <v>81</v>
      </c>
      <c r="AR51" s="514" t="s">
        <v>94</v>
      </c>
      <c r="AS51" s="581" t="s">
        <v>101</v>
      </c>
      <c r="AT51" s="484"/>
      <c r="AU51" s="484"/>
      <c r="AV51" s="499">
        <f>AV48-AV49</f>
        <v>1131972.3333333333</v>
      </c>
      <c r="AW51" s="484"/>
      <c r="AX51" s="484"/>
      <c r="AY51" s="484"/>
      <c r="AZ51" s="484"/>
      <c r="BA51" s="484"/>
      <c r="BB51" s="484"/>
      <c r="BC51" s="484"/>
      <c r="BD51" s="484"/>
    </row>
    <row r="52" spans="1:56">
      <c r="A52" s="484"/>
      <c r="B52" s="484"/>
      <c r="C52" s="484"/>
      <c r="D52" s="485"/>
      <c r="E52" s="485"/>
      <c r="F52" s="36" t="s">
        <v>172</v>
      </c>
      <c r="G52" s="15">
        <v>1</v>
      </c>
      <c r="H52" s="15" t="s">
        <v>173</v>
      </c>
      <c r="I52" s="15" t="s">
        <v>220</v>
      </c>
      <c r="J52" s="516" t="s">
        <v>174</v>
      </c>
      <c r="K52" s="516">
        <v>44</v>
      </c>
      <c r="L52" s="516">
        <v>12</v>
      </c>
      <c r="M52" s="492"/>
      <c r="N52" s="492"/>
      <c r="O52" s="492"/>
      <c r="P52" s="492"/>
      <c r="Q52" s="517">
        <f t="shared" ref="Q52:Q64" si="39">O52+P52</f>
        <v>0</v>
      </c>
      <c r="R52" s="518">
        <v>4.9000000000000002E-2</v>
      </c>
      <c r="S52" s="491">
        <v>28</v>
      </c>
      <c r="T52" s="519">
        <v>0</v>
      </c>
      <c r="U52" s="520"/>
      <c r="V52" s="521"/>
      <c r="W52" s="114"/>
      <c r="X52" s="522">
        <f t="shared" ref="X52:X64" si="40">W52+V52</f>
        <v>0</v>
      </c>
      <c r="Y52" s="523">
        <f>(R52*S52*AA52)</f>
        <v>13720.000000000002</v>
      </c>
      <c r="Z52" s="522">
        <f t="shared" ref="Z52:Z64" si="41">U52+T52</f>
        <v>0</v>
      </c>
      <c r="AA52" s="491">
        <f>2*5000</f>
        <v>10000</v>
      </c>
      <c r="AB52" s="491">
        <f t="shared" ref="AB52:AB64" si="42">AA52</f>
        <v>10000</v>
      </c>
      <c r="AC52" s="492">
        <v>0.77</v>
      </c>
      <c r="AD52" s="492">
        <v>0.89</v>
      </c>
      <c r="AE52" s="523">
        <f>(AA52*AC52*AD52)</f>
        <v>6853</v>
      </c>
      <c r="AF52" s="523">
        <f>($X$58+$Y$58+$Z$58)*(AA52/$AB$58)</f>
        <v>13720.000000000002</v>
      </c>
      <c r="AG52" s="523">
        <f>(AE52*K52/L52)-AF52</f>
        <v>11407.666666666666</v>
      </c>
      <c r="AH52" s="492"/>
      <c r="AI52" s="520"/>
      <c r="AJ52" s="524">
        <f>AI52+AH52</f>
        <v>0</v>
      </c>
      <c r="AK52" s="492"/>
      <c r="AL52" s="517">
        <f>(AJ52+AK52)</f>
        <v>0</v>
      </c>
      <c r="AM52" s="492"/>
      <c r="AN52" s="525"/>
      <c r="AO52" s="526"/>
      <c r="AP52" s="526"/>
      <c r="AQ52" s="527">
        <f t="shared" ref="AQ52:AQ64" si="43">AM52+AN52+AO52+AP52</f>
        <v>0</v>
      </c>
      <c r="AR52" s="527">
        <f t="shared" ref="AR52:AR64" si="44">Q52-N52</f>
        <v>0</v>
      </c>
      <c r="AS52" s="528">
        <f>AR52+AG52-AL52-AQ52</f>
        <v>11407.666666666666</v>
      </c>
      <c r="AT52" s="484"/>
      <c r="AU52" s="484"/>
      <c r="AV52" s="484"/>
      <c r="AW52" s="484"/>
      <c r="AX52" s="484"/>
      <c r="AY52" s="484"/>
      <c r="AZ52" s="484"/>
      <c r="BA52" s="484"/>
      <c r="BB52" s="484"/>
      <c r="BC52" s="484"/>
      <c r="BD52" s="484"/>
    </row>
    <row r="53" spans="1:56">
      <c r="A53" s="484"/>
      <c r="B53" s="484"/>
      <c r="C53" s="484"/>
      <c r="D53" s="485"/>
      <c r="E53" s="485"/>
      <c r="F53" s="56" t="s">
        <v>175</v>
      </c>
      <c r="G53" s="12">
        <v>1</v>
      </c>
      <c r="H53" s="12" t="s">
        <v>173</v>
      </c>
      <c r="I53" s="12" t="s">
        <v>220</v>
      </c>
      <c r="J53" s="485" t="s">
        <v>174</v>
      </c>
      <c r="K53" s="485">
        <v>44</v>
      </c>
      <c r="L53" s="485">
        <v>12</v>
      </c>
      <c r="M53" s="494"/>
      <c r="N53" s="494"/>
      <c r="O53" s="494"/>
      <c r="P53" s="494"/>
      <c r="Q53" s="530">
        <f t="shared" si="39"/>
        <v>0</v>
      </c>
      <c r="R53" s="531">
        <v>4.9000000000000002E-2</v>
      </c>
      <c r="S53" s="493">
        <v>28</v>
      </c>
      <c r="T53" s="532">
        <v>0</v>
      </c>
      <c r="U53" s="494"/>
      <c r="V53" s="494"/>
      <c r="W53" s="107"/>
      <c r="X53" s="533">
        <f t="shared" si="40"/>
        <v>0</v>
      </c>
      <c r="Y53" s="534">
        <f t="shared" ref="Y53:Y64" si="45">(R53*S53*AA53)</f>
        <v>65170.000000000007</v>
      </c>
      <c r="Z53" s="533">
        <f t="shared" si="41"/>
        <v>0</v>
      </c>
      <c r="AA53" s="493">
        <f>9.5*5000</f>
        <v>47500</v>
      </c>
      <c r="AB53" s="493">
        <f t="shared" si="42"/>
        <v>47500</v>
      </c>
      <c r="AC53" s="494">
        <v>0.49</v>
      </c>
      <c r="AD53" s="494">
        <v>0.89</v>
      </c>
      <c r="AE53" s="534">
        <f t="shared" ref="AE53:AE64" si="46">(AA53*AC53*AD53)</f>
        <v>20714.75</v>
      </c>
      <c r="AF53" s="534">
        <f>($X$58+$Y$58+$Z$58)*(AA53/$AB$58)</f>
        <v>65170.000000000015</v>
      </c>
      <c r="AG53" s="534">
        <f t="shared" ref="AG53:AG64" si="47">(AE53*K53/L53)-AF53</f>
        <v>10784.083333333314</v>
      </c>
      <c r="AH53" s="494"/>
      <c r="AI53" s="494"/>
      <c r="AJ53" s="535">
        <f t="shared" ref="AJ53:AJ54" si="48">AI53+AH53</f>
        <v>0</v>
      </c>
      <c r="AK53" s="494"/>
      <c r="AL53" s="530">
        <f t="shared" ref="AL53:AL54" si="49">(AJ53+AK53)</f>
        <v>0</v>
      </c>
      <c r="AM53" s="494"/>
      <c r="AN53" s="536"/>
      <c r="AO53" s="537"/>
      <c r="AP53" s="537"/>
      <c r="AQ53" s="538">
        <f t="shared" si="43"/>
        <v>0</v>
      </c>
      <c r="AR53" s="538">
        <f t="shared" si="44"/>
        <v>0</v>
      </c>
      <c r="AS53" s="539">
        <f t="shared" ref="AS53:AS64" si="50">AR53+AG53-AL53-AQ53</f>
        <v>10784.083333333314</v>
      </c>
      <c r="AT53" s="484"/>
      <c r="AU53" s="484"/>
      <c r="AV53" s="484"/>
      <c r="AW53" s="484"/>
      <c r="AX53" s="484"/>
      <c r="AY53" s="484"/>
      <c r="AZ53" s="484"/>
      <c r="BA53" s="484"/>
      <c r="BB53" s="484"/>
      <c r="BC53" s="484"/>
      <c r="BD53" s="484"/>
    </row>
    <row r="54" spans="1:56">
      <c r="A54" s="484"/>
      <c r="B54" s="484"/>
      <c r="C54" s="484"/>
      <c r="D54" s="485"/>
      <c r="E54" s="485"/>
      <c r="F54" s="20" t="s">
        <v>176</v>
      </c>
      <c r="G54" s="12">
        <v>1</v>
      </c>
      <c r="H54" s="12" t="s">
        <v>173</v>
      </c>
      <c r="I54" s="12" t="s">
        <v>220</v>
      </c>
      <c r="J54" s="485" t="s">
        <v>174</v>
      </c>
      <c r="K54" s="485">
        <v>44</v>
      </c>
      <c r="L54" s="485">
        <v>12</v>
      </c>
      <c r="M54" s="485"/>
      <c r="N54" s="485"/>
      <c r="O54" s="485"/>
      <c r="P54" s="485"/>
      <c r="Q54" s="530">
        <f t="shared" si="39"/>
        <v>0</v>
      </c>
      <c r="R54" s="531">
        <v>4.9000000000000002E-2</v>
      </c>
      <c r="S54" s="493">
        <v>28</v>
      </c>
      <c r="T54" s="532">
        <v>0</v>
      </c>
      <c r="U54" s="485"/>
      <c r="V54" s="485"/>
      <c r="W54" s="107"/>
      <c r="X54" s="533">
        <f t="shared" si="40"/>
        <v>0</v>
      </c>
      <c r="Y54" s="534">
        <f t="shared" si="45"/>
        <v>6860.0000000000009</v>
      </c>
      <c r="Z54" s="533">
        <f t="shared" si="41"/>
        <v>0</v>
      </c>
      <c r="AA54" s="493">
        <f>1*5000</f>
        <v>5000</v>
      </c>
      <c r="AB54" s="493">
        <f t="shared" si="42"/>
        <v>5000</v>
      </c>
      <c r="AC54" s="494">
        <v>0.77</v>
      </c>
      <c r="AD54" s="494">
        <v>0.89</v>
      </c>
      <c r="AE54" s="534">
        <f t="shared" si="46"/>
        <v>3426.5</v>
      </c>
      <c r="AF54" s="534">
        <f>($X$58+$Y$58+$Z$58)*(AA54/$AB$58)</f>
        <v>6860.0000000000009</v>
      </c>
      <c r="AG54" s="534">
        <f t="shared" si="47"/>
        <v>5703.833333333333</v>
      </c>
      <c r="AH54" s="485"/>
      <c r="AI54" s="485"/>
      <c r="AJ54" s="535">
        <f t="shared" si="48"/>
        <v>0</v>
      </c>
      <c r="AK54" s="485"/>
      <c r="AL54" s="530">
        <f t="shared" si="49"/>
        <v>0</v>
      </c>
      <c r="AM54" s="485"/>
      <c r="AN54" s="486"/>
      <c r="AO54" s="486"/>
      <c r="AP54" s="486"/>
      <c r="AQ54" s="538">
        <f t="shared" si="43"/>
        <v>0</v>
      </c>
      <c r="AR54" s="538">
        <f t="shared" si="44"/>
        <v>0</v>
      </c>
      <c r="AS54" s="539">
        <f t="shared" si="50"/>
        <v>5703.833333333333</v>
      </c>
      <c r="AT54" s="484"/>
      <c r="AU54" s="484"/>
      <c r="AV54" s="484"/>
      <c r="AW54" s="484"/>
      <c r="AX54" s="484"/>
      <c r="AY54" s="484"/>
      <c r="AZ54" s="484"/>
      <c r="BA54" s="484"/>
      <c r="BB54" s="484"/>
      <c r="BC54" s="484"/>
      <c r="BD54" s="484"/>
    </row>
    <row r="55" spans="1:56" s="46" customFormat="1">
      <c r="A55" s="484"/>
      <c r="B55" s="484"/>
      <c r="C55" s="484"/>
      <c r="D55" s="485"/>
      <c r="E55" s="485"/>
      <c r="F55" s="20" t="s">
        <v>172</v>
      </c>
      <c r="G55" s="12">
        <v>1</v>
      </c>
      <c r="H55" s="12" t="s">
        <v>212</v>
      </c>
      <c r="I55" s="12" t="s">
        <v>220</v>
      </c>
      <c r="J55" s="485" t="s">
        <v>174</v>
      </c>
      <c r="K55" s="485">
        <v>44</v>
      </c>
      <c r="L55" s="485">
        <v>12</v>
      </c>
      <c r="M55" s="485"/>
      <c r="N55" s="485"/>
      <c r="O55" s="485"/>
      <c r="P55" s="485"/>
      <c r="Q55" s="530">
        <f t="shared" si="39"/>
        <v>0</v>
      </c>
      <c r="R55" s="531">
        <v>4.9000000000000002E-2</v>
      </c>
      <c r="S55" s="493">
        <v>28</v>
      </c>
      <c r="T55" s="532">
        <v>0</v>
      </c>
      <c r="U55" s="540"/>
      <c r="V55" s="541"/>
      <c r="W55" s="107"/>
      <c r="X55" s="533">
        <f t="shared" si="40"/>
        <v>0</v>
      </c>
      <c r="Y55" s="534">
        <f t="shared" si="45"/>
        <v>13720.000000000002</v>
      </c>
      <c r="Z55" s="533">
        <f t="shared" si="41"/>
        <v>0</v>
      </c>
      <c r="AA55" s="493">
        <f>2*5000</f>
        <v>10000</v>
      </c>
      <c r="AB55" s="493">
        <f t="shared" si="42"/>
        <v>10000</v>
      </c>
      <c r="AC55" s="494">
        <v>0.77</v>
      </c>
      <c r="AD55" s="494">
        <v>0.89</v>
      </c>
      <c r="AE55" s="534">
        <f t="shared" si="46"/>
        <v>6853</v>
      </c>
      <c r="AF55" s="534">
        <f t="shared" ref="AF55:AF57" si="51">($X$58+$Y$58+$Z$58)*(AA55/$AB$58)</f>
        <v>13720.000000000002</v>
      </c>
      <c r="AG55" s="534">
        <f>(AE55*K55/L55)-AF55</f>
        <v>11407.666666666666</v>
      </c>
      <c r="AH55" s="494"/>
      <c r="AI55" s="540"/>
      <c r="AJ55" s="535">
        <f>AI55+AH55</f>
        <v>0</v>
      </c>
      <c r="AK55" s="494"/>
      <c r="AL55" s="530">
        <f>(AJ55+AK55)</f>
        <v>0</v>
      </c>
      <c r="AM55" s="494"/>
      <c r="AN55" s="536"/>
      <c r="AO55" s="542"/>
      <c r="AP55" s="542"/>
      <c r="AQ55" s="538">
        <f t="shared" si="43"/>
        <v>0</v>
      </c>
      <c r="AR55" s="538">
        <f t="shared" si="44"/>
        <v>0</v>
      </c>
      <c r="AS55" s="539">
        <f t="shared" si="50"/>
        <v>11407.666666666666</v>
      </c>
      <c r="AT55" s="484"/>
      <c r="AU55" s="484"/>
      <c r="AV55" s="484"/>
      <c r="AW55" s="484"/>
      <c r="AX55" s="484"/>
      <c r="AY55" s="484"/>
      <c r="AZ55" s="484"/>
      <c r="BA55" s="484"/>
      <c r="BB55" s="484"/>
      <c r="BC55" s="484"/>
      <c r="BD55" s="484"/>
    </row>
    <row r="56" spans="1:56" s="46" customFormat="1">
      <c r="A56" s="484"/>
      <c r="B56" s="484"/>
      <c r="C56" s="484"/>
      <c r="D56" s="485"/>
      <c r="E56" s="485"/>
      <c r="F56" s="56" t="s">
        <v>175</v>
      </c>
      <c r="G56" s="12">
        <v>1</v>
      </c>
      <c r="H56" s="12" t="s">
        <v>212</v>
      </c>
      <c r="I56" s="12" t="s">
        <v>220</v>
      </c>
      <c r="J56" s="485" t="s">
        <v>174</v>
      </c>
      <c r="K56" s="485">
        <v>44</v>
      </c>
      <c r="L56" s="485">
        <v>12</v>
      </c>
      <c r="M56" s="485"/>
      <c r="N56" s="485"/>
      <c r="O56" s="485"/>
      <c r="P56" s="485"/>
      <c r="Q56" s="530">
        <f t="shared" si="39"/>
        <v>0</v>
      </c>
      <c r="R56" s="531">
        <v>4.9000000000000002E-2</v>
      </c>
      <c r="S56" s="493">
        <v>28</v>
      </c>
      <c r="T56" s="532">
        <v>0</v>
      </c>
      <c r="U56" s="494"/>
      <c r="V56" s="494"/>
      <c r="W56" s="107"/>
      <c r="X56" s="533">
        <f t="shared" si="40"/>
        <v>0</v>
      </c>
      <c r="Y56" s="534">
        <f t="shared" si="45"/>
        <v>65170.000000000007</v>
      </c>
      <c r="Z56" s="533">
        <f t="shared" si="41"/>
        <v>0</v>
      </c>
      <c r="AA56" s="493">
        <f>9.5*5000</f>
        <v>47500</v>
      </c>
      <c r="AB56" s="493">
        <f t="shared" si="42"/>
        <v>47500</v>
      </c>
      <c r="AC56" s="494">
        <v>0.49</v>
      </c>
      <c r="AD56" s="494">
        <v>0.89</v>
      </c>
      <c r="AE56" s="534">
        <f t="shared" si="46"/>
        <v>20714.75</v>
      </c>
      <c r="AF56" s="534">
        <f t="shared" si="51"/>
        <v>65170.000000000015</v>
      </c>
      <c r="AG56" s="534">
        <f t="shared" si="47"/>
        <v>10784.083333333314</v>
      </c>
      <c r="AH56" s="494"/>
      <c r="AI56" s="494"/>
      <c r="AJ56" s="535">
        <f t="shared" ref="AJ56:AJ57" si="52">AI56+AH56</f>
        <v>0</v>
      </c>
      <c r="AK56" s="494"/>
      <c r="AL56" s="530">
        <f t="shared" ref="AL56:AL57" si="53">(AJ56+AK56)</f>
        <v>0</v>
      </c>
      <c r="AM56" s="494"/>
      <c r="AN56" s="536"/>
      <c r="AO56" s="537"/>
      <c r="AP56" s="537"/>
      <c r="AQ56" s="538">
        <f t="shared" si="43"/>
        <v>0</v>
      </c>
      <c r="AR56" s="538">
        <f t="shared" si="44"/>
        <v>0</v>
      </c>
      <c r="AS56" s="539">
        <f t="shared" si="50"/>
        <v>10784.083333333314</v>
      </c>
      <c r="AT56" s="484"/>
      <c r="AU56" s="484"/>
      <c r="AV56" s="484"/>
      <c r="AW56" s="484"/>
      <c r="AX56" s="484"/>
      <c r="AY56" s="484"/>
      <c r="AZ56" s="484"/>
      <c r="BA56" s="484"/>
      <c r="BB56" s="484"/>
      <c r="BC56" s="484"/>
      <c r="BD56" s="484"/>
    </row>
    <row r="57" spans="1:56" s="46" customFormat="1">
      <c r="A57" s="484"/>
      <c r="B57" s="484"/>
      <c r="C57" s="484"/>
      <c r="D57" s="485"/>
      <c r="E57" s="485"/>
      <c r="F57" s="20" t="s">
        <v>176</v>
      </c>
      <c r="G57" s="12">
        <v>1</v>
      </c>
      <c r="H57" s="12" t="s">
        <v>212</v>
      </c>
      <c r="I57" s="12" t="s">
        <v>220</v>
      </c>
      <c r="J57" s="485" t="s">
        <v>174</v>
      </c>
      <c r="K57" s="485">
        <v>44</v>
      </c>
      <c r="L57" s="485">
        <v>12</v>
      </c>
      <c r="M57" s="485"/>
      <c r="N57" s="485"/>
      <c r="O57" s="485"/>
      <c r="P57" s="485"/>
      <c r="Q57" s="530">
        <f t="shared" si="39"/>
        <v>0</v>
      </c>
      <c r="R57" s="531">
        <v>4.9000000000000002E-2</v>
      </c>
      <c r="S57" s="493">
        <v>28</v>
      </c>
      <c r="T57" s="532">
        <v>0</v>
      </c>
      <c r="U57" s="485"/>
      <c r="V57" s="485"/>
      <c r="W57" s="107"/>
      <c r="X57" s="533">
        <f t="shared" si="40"/>
        <v>0</v>
      </c>
      <c r="Y57" s="534">
        <f t="shared" si="45"/>
        <v>6860.0000000000009</v>
      </c>
      <c r="Z57" s="533">
        <f t="shared" si="41"/>
        <v>0</v>
      </c>
      <c r="AA57" s="493">
        <f>1*5000</f>
        <v>5000</v>
      </c>
      <c r="AB57" s="493">
        <f t="shared" si="42"/>
        <v>5000</v>
      </c>
      <c r="AC57" s="494">
        <v>0.77</v>
      </c>
      <c r="AD57" s="494">
        <v>0.89</v>
      </c>
      <c r="AE57" s="534">
        <f t="shared" si="46"/>
        <v>3426.5</v>
      </c>
      <c r="AF57" s="534">
        <f t="shared" si="51"/>
        <v>6860.0000000000009</v>
      </c>
      <c r="AG57" s="534">
        <f t="shared" si="47"/>
        <v>5703.833333333333</v>
      </c>
      <c r="AH57" s="485"/>
      <c r="AI57" s="485"/>
      <c r="AJ57" s="535">
        <f t="shared" si="52"/>
        <v>0</v>
      </c>
      <c r="AK57" s="485"/>
      <c r="AL57" s="530">
        <f t="shared" si="53"/>
        <v>0</v>
      </c>
      <c r="AM57" s="485"/>
      <c r="AN57" s="486"/>
      <c r="AO57" s="486"/>
      <c r="AP57" s="486"/>
      <c r="AQ57" s="538">
        <f t="shared" si="43"/>
        <v>0</v>
      </c>
      <c r="AR57" s="538">
        <f t="shared" si="44"/>
        <v>0</v>
      </c>
      <c r="AS57" s="539">
        <f t="shared" si="50"/>
        <v>5703.833333333333</v>
      </c>
      <c r="AT57" s="484"/>
      <c r="AU57" s="484"/>
      <c r="AV57" s="484"/>
      <c r="AW57" s="484"/>
      <c r="AX57" s="484"/>
      <c r="AY57" s="484"/>
      <c r="AZ57" s="484"/>
      <c r="BA57" s="484"/>
      <c r="BB57" s="484"/>
      <c r="BC57" s="484"/>
      <c r="BD57" s="484"/>
    </row>
    <row r="58" spans="1:56" s="46" customFormat="1">
      <c r="A58" s="484"/>
      <c r="B58" s="484"/>
      <c r="C58" s="484"/>
      <c r="D58" s="485"/>
      <c r="E58" s="485"/>
      <c r="F58" s="20"/>
      <c r="G58" s="12"/>
      <c r="H58" s="12"/>
      <c r="I58" s="12"/>
      <c r="J58" s="485"/>
      <c r="K58" s="485"/>
      <c r="L58" s="485"/>
      <c r="M58" s="485"/>
      <c r="N58" s="485"/>
      <c r="O58" s="485"/>
      <c r="P58" s="485"/>
      <c r="Q58" s="530"/>
      <c r="R58" s="531"/>
      <c r="S58" s="493"/>
      <c r="T58" s="532"/>
      <c r="U58" s="485"/>
      <c r="V58" s="485"/>
      <c r="W58" s="111"/>
      <c r="X58" s="112">
        <f>SUM(X52:X57)</f>
        <v>0</v>
      </c>
      <c r="Y58" s="113">
        <f>SUM(Y52:Y57)</f>
        <v>171500.00000000003</v>
      </c>
      <c r="Z58" s="112">
        <f>SUM(Z52:Z57)</f>
        <v>0</v>
      </c>
      <c r="AA58" s="493"/>
      <c r="AB58" s="58">
        <f>SUM(AA52:AA57)</f>
        <v>125000</v>
      </c>
      <c r="AC58" s="494"/>
      <c r="AD58" s="485"/>
      <c r="AE58" s="534"/>
      <c r="AF58" s="106">
        <f>SUM(AF52:AF57)</f>
        <v>171500.00000000003</v>
      </c>
      <c r="AG58" s="534"/>
      <c r="AH58" s="485"/>
      <c r="AI58" s="485"/>
      <c r="AJ58" s="535"/>
      <c r="AK58" s="485"/>
      <c r="AL58" s="530"/>
      <c r="AM58" s="485"/>
      <c r="AN58" s="486"/>
      <c r="AO58" s="486"/>
      <c r="AP58" s="486"/>
      <c r="AQ58" s="538"/>
      <c r="AR58" s="538"/>
      <c r="AS58" s="539"/>
      <c r="AT58" s="484"/>
      <c r="AU58" s="484"/>
      <c r="AV58" s="484"/>
      <c r="AW58" s="484"/>
      <c r="AX58" s="484"/>
      <c r="AY58" s="484"/>
      <c r="AZ58" s="484"/>
      <c r="BA58" s="484"/>
      <c r="BB58" s="484"/>
      <c r="BC58" s="484"/>
      <c r="BD58" s="484"/>
    </row>
    <row r="59" spans="1:56" s="46" customFormat="1">
      <c r="A59" s="484"/>
      <c r="B59" s="484"/>
      <c r="C59" s="484"/>
      <c r="D59" s="485"/>
      <c r="E59" s="485"/>
      <c r="F59" s="20" t="s">
        <v>172</v>
      </c>
      <c r="G59" s="12">
        <v>1</v>
      </c>
      <c r="H59" s="12" t="s">
        <v>173</v>
      </c>
      <c r="I59" s="12" t="s">
        <v>221</v>
      </c>
      <c r="J59" s="485" t="s">
        <v>174</v>
      </c>
      <c r="K59" s="485">
        <v>44</v>
      </c>
      <c r="L59" s="485">
        <v>12</v>
      </c>
      <c r="M59" s="485"/>
      <c r="N59" s="485"/>
      <c r="O59" s="485"/>
      <c r="P59" s="485"/>
      <c r="Q59" s="530">
        <f t="shared" si="39"/>
        <v>0</v>
      </c>
      <c r="R59" s="531">
        <v>4.9000000000000002E-2</v>
      </c>
      <c r="S59" s="493">
        <v>28</v>
      </c>
      <c r="T59" s="532">
        <v>0</v>
      </c>
      <c r="U59" s="540"/>
      <c r="V59" s="541"/>
      <c r="W59" s="107"/>
      <c r="X59" s="533">
        <f t="shared" si="40"/>
        <v>0</v>
      </c>
      <c r="Y59" s="534">
        <f t="shared" si="45"/>
        <v>13720.000000000002</v>
      </c>
      <c r="Z59" s="533">
        <f t="shared" si="41"/>
        <v>0</v>
      </c>
      <c r="AA59" s="493">
        <f>2*5000</f>
        <v>10000</v>
      </c>
      <c r="AB59" s="493">
        <f t="shared" si="42"/>
        <v>10000</v>
      </c>
      <c r="AC59" s="494">
        <v>0.77</v>
      </c>
      <c r="AD59" s="494">
        <v>0.89</v>
      </c>
      <c r="AE59" s="534">
        <f t="shared" si="46"/>
        <v>6853</v>
      </c>
      <c r="AF59" s="534">
        <f>($X$65+$Y$65+$Z$65)*(AA59/$AB$65)</f>
        <v>13720.000000000002</v>
      </c>
      <c r="AG59" s="534">
        <f t="shared" si="47"/>
        <v>11407.666666666666</v>
      </c>
      <c r="AH59" s="494"/>
      <c r="AI59" s="540"/>
      <c r="AJ59" s="535">
        <f>AI59+AH59</f>
        <v>0</v>
      </c>
      <c r="AK59" s="494"/>
      <c r="AL59" s="530">
        <f>(AJ59+AK59)</f>
        <v>0</v>
      </c>
      <c r="AM59" s="494"/>
      <c r="AN59" s="536"/>
      <c r="AO59" s="542"/>
      <c r="AP59" s="542"/>
      <c r="AQ59" s="538">
        <f t="shared" si="43"/>
        <v>0</v>
      </c>
      <c r="AR59" s="538">
        <f t="shared" si="44"/>
        <v>0</v>
      </c>
      <c r="AS59" s="539">
        <f t="shared" si="50"/>
        <v>11407.666666666666</v>
      </c>
      <c r="AT59" s="484"/>
      <c r="AU59" s="484"/>
      <c r="AV59" s="484"/>
      <c r="AW59" s="484"/>
      <c r="AX59" s="484"/>
      <c r="AY59" s="484"/>
      <c r="AZ59" s="484"/>
      <c r="BA59" s="484"/>
      <c r="BB59" s="484"/>
      <c r="BC59" s="484"/>
      <c r="BD59" s="484"/>
    </row>
    <row r="60" spans="1:56" s="46" customFormat="1">
      <c r="A60" s="484"/>
      <c r="B60" s="484"/>
      <c r="C60" s="484"/>
      <c r="D60" s="485"/>
      <c r="E60" s="485"/>
      <c r="F60" s="56" t="s">
        <v>175</v>
      </c>
      <c r="G60" s="12">
        <v>1</v>
      </c>
      <c r="H60" s="12" t="s">
        <v>173</v>
      </c>
      <c r="I60" s="12" t="s">
        <v>221</v>
      </c>
      <c r="J60" s="485" t="s">
        <v>174</v>
      </c>
      <c r="K60" s="485">
        <v>44</v>
      </c>
      <c r="L60" s="485">
        <v>12</v>
      </c>
      <c r="M60" s="485"/>
      <c r="N60" s="485"/>
      <c r="O60" s="485"/>
      <c r="P60" s="485"/>
      <c r="Q60" s="530">
        <f t="shared" si="39"/>
        <v>0</v>
      </c>
      <c r="R60" s="531">
        <v>4.9000000000000002E-2</v>
      </c>
      <c r="S60" s="493">
        <v>28</v>
      </c>
      <c r="T60" s="532">
        <v>0</v>
      </c>
      <c r="U60" s="494"/>
      <c r="V60" s="494"/>
      <c r="W60" s="107"/>
      <c r="X60" s="533">
        <f t="shared" si="40"/>
        <v>0</v>
      </c>
      <c r="Y60" s="534">
        <f t="shared" si="45"/>
        <v>65170.000000000007</v>
      </c>
      <c r="Z60" s="533">
        <f t="shared" si="41"/>
        <v>0</v>
      </c>
      <c r="AA60" s="493">
        <f>9.5*5000</f>
        <v>47500</v>
      </c>
      <c r="AB60" s="493">
        <f t="shared" si="42"/>
        <v>47500</v>
      </c>
      <c r="AC60" s="494">
        <v>0.49</v>
      </c>
      <c r="AD60" s="494">
        <v>0.89</v>
      </c>
      <c r="AE60" s="534">
        <f t="shared" si="46"/>
        <v>20714.75</v>
      </c>
      <c r="AF60" s="534">
        <f t="shared" ref="AF60:AF64" si="54">($X$65+$Y$65+$Z$65)*(AA60/$AB$65)</f>
        <v>65170.000000000015</v>
      </c>
      <c r="AG60" s="534">
        <f t="shared" si="47"/>
        <v>10784.083333333314</v>
      </c>
      <c r="AH60" s="494"/>
      <c r="AI60" s="494"/>
      <c r="AJ60" s="535">
        <f t="shared" ref="AJ60:AJ61" si="55">AI60+AH60</f>
        <v>0</v>
      </c>
      <c r="AK60" s="494"/>
      <c r="AL60" s="530">
        <f t="shared" ref="AL60:AL61" si="56">(AJ60+AK60)</f>
        <v>0</v>
      </c>
      <c r="AM60" s="494"/>
      <c r="AN60" s="536"/>
      <c r="AO60" s="537"/>
      <c r="AP60" s="537"/>
      <c r="AQ60" s="538">
        <f t="shared" si="43"/>
        <v>0</v>
      </c>
      <c r="AR60" s="538">
        <f t="shared" si="44"/>
        <v>0</v>
      </c>
      <c r="AS60" s="539">
        <f t="shared" si="50"/>
        <v>10784.083333333314</v>
      </c>
      <c r="AT60" s="484"/>
      <c r="AU60" s="484"/>
      <c r="AV60" s="484"/>
      <c r="AW60" s="484"/>
      <c r="AX60" s="484"/>
      <c r="AY60" s="484"/>
      <c r="AZ60" s="484"/>
      <c r="BA60" s="484"/>
      <c r="BB60" s="484"/>
      <c r="BC60" s="484"/>
      <c r="BD60" s="484"/>
    </row>
    <row r="61" spans="1:56" s="46" customFormat="1">
      <c r="A61" s="484"/>
      <c r="B61" s="484"/>
      <c r="C61" s="484"/>
      <c r="D61" s="485"/>
      <c r="E61" s="485"/>
      <c r="F61" s="20" t="s">
        <v>176</v>
      </c>
      <c r="G61" s="12">
        <v>1</v>
      </c>
      <c r="H61" s="12" t="s">
        <v>173</v>
      </c>
      <c r="I61" s="12" t="s">
        <v>221</v>
      </c>
      <c r="J61" s="485" t="s">
        <v>174</v>
      </c>
      <c r="K61" s="485">
        <v>44</v>
      </c>
      <c r="L61" s="485">
        <v>12</v>
      </c>
      <c r="M61" s="485"/>
      <c r="N61" s="485"/>
      <c r="O61" s="485"/>
      <c r="P61" s="485"/>
      <c r="Q61" s="530">
        <f t="shared" si="39"/>
        <v>0</v>
      </c>
      <c r="R61" s="531">
        <v>4.9000000000000002E-2</v>
      </c>
      <c r="S61" s="493">
        <v>28</v>
      </c>
      <c r="T61" s="532">
        <v>0</v>
      </c>
      <c r="U61" s="485"/>
      <c r="V61" s="485"/>
      <c r="W61" s="107"/>
      <c r="X61" s="533">
        <f t="shared" si="40"/>
        <v>0</v>
      </c>
      <c r="Y61" s="534">
        <f t="shared" si="45"/>
        <v>6860.0000000000009</v>
      </c>
      <c r="Z61" s="533">
        <f t="shared" si="41"/>
        <v>0</v>
      </c>
      <c r="AA61" s="493">
        <f>1*5000</f>
        <v>5000</v>
      </c>
      <c r="AB61" s="493">
        <f t="shared" si="42"/>
        <v>5000</v>
      </c>
      <c r="AC61" s="494">
        <v>0.77</v>
      </c>
      <c r="AD61" s="494">
        <v>0.89</v>
      </c>
      <c r="AE61" s="534">
        <f t="shared" si="46"/>
        <v>3426.5</v>
      </c>
      <c r="AF61" s="534">
        <f t="shared" si="54"/>
        <v>6860.0000000000009</v>
      </c>
      <c r="AG61" s="534">
        <f t="shared" si="47"/>
        <v>5703.833333333333</v>
      </c>
      <c r="AH61" s="485"/>
      <c r="AI61" s="485"/>
      <c r="AJ61" s="535">
        <f t="shared" si="55"/>
        <v>0</v>
      </c>
      <c r="AK61" s="485"/>
      <c r="AL61" s="530">
        <f t="shared" si="56"/>
        <v>0</v>
      </c>
      <c r="AM61" s="485"/>
      <c r="AN61" s="486"/>
      <c r="AO61" s="486"/>
      <c r="AP61" s="486"/>
      <c r="AQ61" s="538">
        <f t="shared" si="43"/>
        <v>0</v>
      </c>
      <c r="AR61" s="538">
        <f t="shared" si="44"/>
        <v>0</v>
      </c>
      <c r="AS61" s="539">
        <f t="shared" si="50"/>
        <v>5703.833333333333</v>
      </c>
      <c r="AT61" s="484"/>
      <c r="AU61" s="484"/>
      <c r="AV61" s="484"/>
      <c r="AW61" s="484"/>
      <c r="AX61" s="484"/>
      <c r="AY61" s="484"/>
      <c r="AZ61" s="484"/>
      <c r="BA61" s="484"/>
      <c r="BB61" s="484"/>
      <c r="BC61" s="484"/>
      <c r="BD61" s="484"/>
    </row>
    <row r="62" spans="1:56" s="46" customFormat="1">
      <c r="A62" s="484"/>
      <c r="B62" s="484"/>
      <c r="C62" s="484"/>
      <c r="D62" s="485"/>
      <c r="E62" s="485"/>
      <c r="F62" s="20" t="s">
        <v>172</v>
      </c>
      <c r="G62" s="12">
        <v>1</v>
      </c>
      <c r="H62" s="12" t="s">
        <v>212</v>
      </c>
      <c r="I62" s="12" t="s">
        <v>221</v>
      </c>
      <c r="J62" s="485" t="s">
        <v>174</v>
      </c>
      <c r="K62" s="485">
        <v>44</v>
      </c>
      <c r="L62" s="485">
        <v>12</v>
      </c>
      <c r="M62" s="485"/>
      <c r="N62" s="485"/>
      <c r="O62" s="485"/>
      <c r="P62" s="485"/>
      <c r="Q62" s="530">
        <f t="shared" si="39"/>
        <v>0</v>
      </c>
      <c r="R62" s="531">
        <v>4.9000000000000002E-2</v>
      </c>
      <c r="S62" s="493">
        <v>28</v>
      </c>
      <c r="T62" s="532">
        <v>0</v>
      </c>
      <c r="U62" s="540"/>
      <c r="V62" s="541"/>
      <c r="W62" s="107"/>
      <c r="X62" s="533">
        <f t="shared" si="40"/>
        <v>0</v>
      </c>
      <c r="Y62" s="534">
        <f t="shared" si="45"/>
        <v>13720.000000000002</v>
      </c>
      <c r="Z62" s="533">
        <f t="shared" si="41"/>
        <v>0</v>
      </c>
      <c r="AA62" s="493">
        <f>2*5000</f>
        <v>10000</v>
      </c>
      <c r="AB62" s="493">
        <f t="shared" si="42"/>
        <v>10000</v>
      </c>
      <c r="AC62" s="494">
        <v>0.77</v>
      </c>
      <c r="AD62" s="494">
        <v>0.89</v>
      </c>
      <c r="AE62" s="534">
        <f t="shared" si="46"/>
        <v>6853</v>
      </c>
      <c r="AF62" s="534">
        <f t="shared" si="54"/>
        <v>13720.000000000002</v>
      </c>
      <c r="AG62" s="534">
        <f t="shared" si="47"/>
        <v>11407.666666666666</v>
      </c>
      <c r="AH62" s="494"/>
      <c r="AI62" s="540"/>
      <c r="AJ62" s="535">
        <f>AI62+AH62</f>
        <v>0</v>
      </c>
      <c r="AK62" s="494"/>
      <c r="AL62" s="530">
        <f>(AJ62+AK62)</f>
        <v>0</v>
      </c>
      <c r="AM62" s="494"/>
      <c r="AN62" s="536"/>
      <c r="AO62" s="542"/>
      <c r="AP62" s="542"/>
      <c r="AQ62" s="538">
        <f t="shared" si="43"/>
        <v>0</v>
      </c>
      <c r="AR62" s="538">
        <f t="shared" si="44"/>
        <v>0</v>
      </c>
      <c r="AS62" s="539">
        <f t="shared" si="50"/>
        <v>11407.666666666666</v>
      </c>
      <c r="AT62" s="484"/>
      <c r="AU62" s="484"/>
      <c r="AV62" s="484"/>
      <c r="AW62" s="484"/>
      <c r="AX62" s="484"/>
      <c r="AY62" s="484"/>
      <c r="AZ62" s="484"/>
      <c r="BA62" s="484"/>
      <c r="BB62" s="484"/>
      <c r="BC62" s="484"/>
      <c r="BD62" s="484"/>
    </row>
    <row r="63" spans="1:56" s="46" customFormat="1">
      <c r="A63" s="484"/>
      <c r="B63" s="484"/>
      <c r="C63" s="484"/>
      <c r="D63" s="485"/>
      <c r="E63" s="485"/>
      <c r="F63" s="56" t="s">
        <v>175</v>
      </c>
      <c r="G63" s="12">
        <v>1</v>
      </c>
      <c r="H63" s="12" t="s">
        <v>212</v>
      </c>
      <c r="I63" s="12" t="s">
        <v>221</v>
      </c>
      <c r="J63" s="485" t="s">
        <v>174</v>
      </c>
      <c r="K63" s="485">
        <v>44</v>
      </c>
      <c r="L63" s="485">
        <v>12</v>
      </c>
      <c r="M63" s="485"/>
      <c r="N63" s="485"/>
      <c r="O63" s="485"/>
      <c r="P63" s="485"/>
      <c r="Q63" s="530">
        <f t="shared" si="39"/>
        <v>0</v>
      </c>
      <c r="R63" s="531">
        <v>4.9000000000000002E-2</v>
      </c>
      <c r="S63" s="493">
        <v>28</v>
      </c>
      <c r="T63" s="532">
        <v>0</v>
      </c>
      <c r="U63" s="494"/>
      <c r="V63" s="494"/>
      <c r="W63" s="107"/>
      <c r="X63" s="533">
        <f t="shared" si="40"/>
        <v>0</v>
      </c>
      <c r="Y63" s="534">
        <f t="shared" si="45"/>
        <v>65170.000000000007</v>
      </c>
      <c r="Z63" s="533">
        <f t="shared" si="41"/>
        <v>0</v>
      </c>
      <c r="AA63" s="493">
        <f>9.5*5000</f>
        <v>47500</v>
      </c>
      <c r="AB63" s="493">
        <f t="shared" si="42"/>
        <v>47500</v>
      </c>
      <c r="AC63" s="494">
        <v>0.49</v>
      </c>
      <c r="AD63" s="494">
        <v>0.89</v>
      </c>
      <c r="AE63" s="534">
        <f t="shared" si="46"/>
        <v>20714.75</v>
      </c>
      <c r="AF63" s="534">
        <f t="shared" si="54"/>
        <v>65170.000000000015</v>
      </c>
      <c r="AG63" s="534">
        <f t="shared" si="47"/>
        <v>10784.083333333314</v>
      </c>
      <c r="AH63" s="494"/>
      <c r="AI63" s="494"/>
      <c r="AJ63" s="535">
        <f t="shared" ref="AJ63:AJ64" si="57">AI63+AH63</f>
        <v>0</v>
      </c>
      <c r="AK63" s="494"/>
      <c r="AL63" s="530">
        <f t="shared" ref="AL63:AL64" si="58">(AJ63+AK63)</f>
        <v>0</v>
      </c>
      <c r="AM63" s="494"/>
      <c r="AN63" s="536"/>
      <c r="AO63" s="537"/>
      <c r="AP63" s="537"/>
      <c r="AQ63" s="538">
        <f t="shared" si="43"/>
        <v>0</v>
      </c>
      <c r="AR63" s="538">
        <f t="shared" si="44"/>
        <v>0</v>
      </c>
      <c r="AS63" s="539">
        <f t="shared" si="50"/>
        <v>10784.083333333314</v>
      </c>
      <c r="AT63" s="484"/>
      <c r="AU63" s="484"/>
      <c r="AV63" s="484"/>
      <c r="AW63" s="484"/>
      <c r="AX63" s="484"/>
      <c r="AY63" s="484"/>
      <c r="AZ63" s="484"/>
      <c r="BA63" s="484"/>
      <c r="BB63" s="484"/>
      <c r="BC63" s="484"/>
      <c r="BD63" s="484"/>
    </row>
    <row r="64" spans="1:56" s="46" customFormat="1">
      <c r="A64" s="484"/>
      <c r="B64" s="484"/>
      <c r="C64" s="484"/>
      <c r="D64" s="485"/>
      <c r="E64" s="485"/>
      <c r="F64" s="20" t="s">
        <v>176</v>
      </c>
      <c r="G64" s="12">
        <v>1</v>
      </c>
      <c r="H64" s="12" t="s">
        <v>212</v>
      </c>
      <c r="I64" s="12" t="s">
        <v>221</v>
      </c>
      <c r="J64" s="485" t="s">
        <v>174</v>
      </c>
      <c r="K64" s="485">
        <v>44</v>
      </c>
      <c r="L64" s="485">
        <v>12</v>
      </c>
      <c r="M64" s="485"/>
      <c r="N64" s="485"/>
      <c r="O64" s="485"/>
      <c r="P64" s="485"/>
      <c r="Q64" s="530">
        <f t="shared" si="39"/>
        <v>0</v>
      </c>
      <c r="R64" s="531">
        <v>4.9000000000000002E-2</v>
      </c>
      <c r="S64" s="493">
        <v>28</v>
      </c>
      <c r="T64" s="532">
        <v>0</v>
      </c>
      <c r="U64" s="485"/>
      <c r="V64" s="485"/>
      <c r="W64" s="107"/>
      <c r="X64" s="533">
        <f t="shared" si="40"/>
        <v>0</v>
      </c>
      <c r="Y64" s="534">
        <f t="shared" si="45"/>
        <v>6860.0000000000009</v>
      </c>
      <c r="Z64" s="533">
        <f t="shared" si="41"/>
        <v>0</v>
      </c>
      <c r="AA64" s="493">
        <f>1*5000</f>
        <v>5000</v>
      </c>
      <c r="AB64" s="493">
        <f t="shared" si="42"/>
        <v>5000</v>
      </c>
      <c r="AC64" s="494">
        <v>0.77</v>
      </c>
      <c r="AD64" s="494">
        <v>0.89</v>
      </c>
      <c r="AE64" s="534">
        <f t="shared" si="46"/>
        <v>3426.5</v>
      </c>
      <c r="AF64" s="534">
        <f t="shared" si="54"/>
        <v>6860.0000000000009</v>
      </c>
      <c r="AG64" s="534">
        <f t="shared" si="47"/>
        <v>5703.833333333333</v>
      </c>
      <c r="AH64" s="485"/>
      <c r="AI64" s="485"/>
      <c r="AJ64" s="535">
        <f t="shared" si="57"/>
        <v>0</v>
      </c>
      <c r="AK64" s="485"/>
      <c r="AL64" s="530">
        <f t="shared" si="58"/>
        <v>0</v>
      </c>
      <c r="AM64" s="485"/>
      <c r="AN64" s="486"/>
      <c r="AO64" s="486"/>
      <c r="AP64" s="486"/>
      <c r="AQ64" s="538">
        <f t="shared" si="43"/>
        <v>0</v>
      </c>
      <c r="AR64" s="538">
        <f t="shared" si="44"/>
        <v>0</v>
      </c>
      <c r="AS64" s="539">
        <f t="shared" si="50"/>
        <v>5703.833333333333</v>
      </c>
      <c r="AT64" s="484"/>
      <c r="AU64" s="484"/>
      <c r="AV64" s="484"/>
      <c r="AW64" s="484"/>
      <c r="AX64" s="484"/>
      <c r="AY64" s="484"/>
      <c r="AZ64" s="484"/>
      <c r="BA64" s="484"/>
      <c r="BB64" s="484"/>
      <c r="BC64" s="484"/>
      <c r="BD64" s="484"/>
    </row>
    <row r="65" spans="1:56" s="46" customFormat="1">
      <c r="A65" s="484"/>
      <c r="B65" s="484"/>
      <c r="C65" s="484"/>
      <c r="D65" s="485"/>
      <c r="E65" s="485"/>
      <c r="F65" s="529"/>
      <c r="G65" s="485"/>
      <c r="H65" s="485"/>
      <c r="I65" s="485"/>
      <c r="J65" s="485"/>
      <c r="K65" s="485"/>
      <c r="L65" s="485"/>
      <c r="M65" s="485"/>
      <c r="N65" s="485"/>
      <c r="O65" s="485"/>
      <c r="P65" s="485"/>
      <c r="Q65" s="530"/>
      <c r="R65" s="531"/>
      <c r="S65" s="493"/>
      <c r="T65" s="532"/>
      <c r="U65" s="485"/>
      <c r="V65" s="485"/>
      <c r="W65" s="485"/>
      <c r="X65" s="112">
        <f>SUM(X59:X64)</f>
        <v>0</v>
      </c>
      <c r="Y65" s="113">
        <f>SUM(Y59:Y64)</f>
        <v>171500.00000000003</v>
      </c>
      <c r="Z65" s="112">
        <f>SUM(Z59:Z64)</f>
        <v>0</v>
      </c>
      <c r="AA65" s="493"/>
      <c r="AB65" s="58">
        <f>SUM(AA59:AA64)</f>
        <v>125000</v>
      </c>
      <c r="AC65" s="494"/>
      <c r="AD65" s="485"/>
      <c r="AE65" s="534"/>
      <c r="AF65" s="534"/>
      <c r="AG65" s="534"/>
      <c r="AH65" s="485"/>
      <c r="AI65" s="485"/>
      <c r="AJ65" s="535"/>
      <c r="AK65" s="485"/>
      <c r="AL65" s="530"/>
      <c r="AM65" s="485"/>
      <c r="AN65" s="486"/>
      <c r="AO65" s="486"/>
      <c r="AP65" s="486"/>
      <c r="AQ65" s="538"/>
      <c r="AR65" s="538"/>
      <c r="AS65" s="539"/>
      <c r="AT65" s="484"/>
      <c r="AU65" s="484"/>
      <c r="AV65" s="484"/>
      <c r="AW65" s="484"/>
      <c r="AX65" s="484"/>
      <c r="AY65" s="484"/>
      <c r="AZ65" s="484"/>
      <c r="BA65" s="484"/>
      <c r="BB65" s="484"/>
      <c r="BC65" s="484"/>
      <c r="BD65" s="484"/>
    </row>
    <row r="66" spans="1:56" s="2" customFormat="1">
      <c r="A66" s="4"/>
      <c r="B66" s="4"/>
      <c r="C66" s="4"/>
      <c r="D66" s="3"/>
      <c r="E66" s="3"/>
      <c r="F66" s="74"/>
      <c r="G66" s="3"/>
      <c r="H66" s="3"/>
      <c r="I66" s="3"/>
      <c r="J66" s="3"/>
      <c r="K66" s="3"/>
      <c r="L66" s="3"/>
      <c r="M66" s="3"/>
      <c r="N66" s="3"/>
      <c r="O66" s="3"/>
      <c r="P66" s="3"/>
      <c r="Q66" s="67"/>
      <c r="R66" s="68"/>
      <c r="S66" s="83"/>
      <c r="T66" s="69"/>
      <c r="U66" s="3"/>
      <c r="V66" s="3"/>
      <c r="W66" s="3"/>
      <c r="X66" s="90"/>
      <c r="Y66" s="90"/>
      <c r="Z66" s="90"/>
      <c r="AA66" s="92"/>
      <c r="AB66" s="92"/>
      <c r="AC66" s="92"/>
      <c r="AD66" s="92"/>
      <c r="AE66" s="90"/>
      <c r="AF66" s="90"/>
      <c r="AG66" s="91"/>
      <c r="AH66" s="70"/>
      <c r="AI66" s="70"/>
      <c r="AJ66" s="71"/>
      <c r="AK66" s="4"/>
      <c r="AL66" s="67"/>
      <c r="AM66" s="4"/>
      <c r="AN66" s="4"/>
      <c r="AO66" s="4"/>
      <c r="AP66" s="4"/>
      <c r="AQ66" s="72"/>
      <c r="AR66" s="72"/>
      <c r="AS66" s="80"/>
      <c r="AT66" s="4"/>
      <c r="AU66" s="4"/>
      <c r="AV66" s="4"/>
      <c r="AW66" s="4"/>
      <c r="AX66" s="4"/>
      <c r="AY66" s="4"/>
      <c r="AZ66" s="4"/>
      <c r="BA66" s="4"/>
      <c r="BB66" s="4"/>
      <c r="BC66" s="4"/>
      <c r="BD66" s="4"/>
    </row>
    <row r="67" spans="1:56">
      <c r="A67" s="484"/>
      <c r="B67" s="484"/>
      <c r="C67" s="484"/>
      <c r="D67" s="485"/>
      <c r="E67" s="485"/>
      <c r="F67" s="20" t="s">
        <v>172</v>
      </c>
      <c r="G67" s="12">
        <v>2</v>
      </c>
      <c r="H67" s="12" t="s">
        <v>173</v>
      </c>
      <c r="I67" s="12" t="s">
        <v>220</v>
      </c>
      <c r="J67" s="485" t="s">
        <v>174</v>
      </c>
      <c r="K67" s="485">
        <v>44</v>
      </c>
      <c r="L67" s="485">
        <v>12</v>
      </c>
      <c r="M67" s="494"/>
      <c r="N67" s="494"/>
      <c r="O67" s="494"/>
      <c r="P67" s="494"/>
      <c r="Q67" s="530">
        <f t="shared" ref="Q67:Q79" si="59">O67+P67</f>
        <v>0</v>
      </c>
      <c r="R67" s="531">
        <v>4.9000000000000002E-2</v>
      </c>
      <c r="S67" s="493">
        <v>28</v>
      </c>
      <c r="T67" s="532">
        <v>0</v>
      </c>
      <c r="U67" s="540"/>
      <c r="V67" s="541"/>
      <c r="W67" s="107"/>
      <c r="X67" s="533">
        <f t="shared" ref="X67:X79" si="60">W67+V67</f>
        <v>0</v>
      </c>
      <c r="Y67" s="534">
        <f t="shared" ref="Y67:Y79" si="61">(R67*S67*AA67)</f>
        <v>13720.000000000002</v>
      </c>
      <c r="Z67" s="533">
        <f t="shared" ref="Z67:Z79" si="62">U67+T67</f>
        <v>0</v>
      </c>
      <c r="AA67" s="493">
        <f>2*5000</f>
        <v>10000</v>
      </c>
      <c r="AB67" s="493">
        <f t="shared" ref="AB67:AB79" si="63">AA67</f>
        <v>10000</v>
      </c>
      <c r="AC67" s="494">
        <v>0.77</v>
      </c>
      <c r="AD67" s="494">
        <v>0.89</v>
      </c>
      <c r="AE67" s="534">
        <f t="shared" ref="AE67:AE79" si="64">(AA67*AC67*AD67)</f>
        <v>6853</v>
      </c>
      <c r="AF67" s="534">
        <f>($X$73+$Y$73+$Z$73)*(AA67/$AB$73)</f>
        <v>13720.000000000002</v>
      </c>
      <c r="AG67" s="534">
        <f t="shared" ref="AG67:AG79" si="65">(AE67*K67/L67)-AF67</f>
        <v>11407.666666666666</v>
      </c>
      <c r="AH67" s="494"/>
      <c r="AI67" s="540"/>
      <c r="AJ67" s="535">
        <f t="shared" ref="AJ67:AJ79" si="66">AI67+AH67</f>
        <v>0</v>
      </c>
      <c r="AK67" s="494"/>
      <c r="AL67" s="530">
        <f t="shared" ref="AL67:AL79" si="67">(AJ67+AK67)</f>
        <v>0</v>
      </c>
      <c r="AM67" s="494"/>
      <c r="AN67" s="536"/>
      <c r="AO67" s="542"/>
      <c r="AP67" s="542"/>
      <c r="AQ67" s="538">
        <f t="shared" ref="AQ67:AQ79" si="68">AM67+AN67+AO67+AP67</f>
        <v>0</v>
      </c>
      <c r="AR67" s="538">
        <f t="shared" ref="AR67:AR79" si="69">Q67-N67</f>
        <v>0</v>
      </c>
      <c r="AS67" s="539">
        <f t="shared" ref="AS67:AS79" si="70">AR67+AG67-AL67-AQ67</f>
        <v>11407.666666666666</v>
      </c>
      <c r="AT67" s="484"/>
      <c r="AU67" s="484"/>
      <c r="AV67" s="484"/>
      <c r="AW67" s="484"/>
      <c r="AX67" s="484"/>
      <c r="AY67" s="484"/>
      <c r="AZ67" s="484"/>
      <c r="BA67" s="484"/>
      <c r="BB67" s="484"/>
      <c r="BC67" s="484"/>
      <c r="BD67" s="484"/>
    </row>
    <row r="68" spans="1:56">
      <c r="A68" s="484"/>
      <c r="B68" s="484"/>
      <c r="C68" s="484"/>
      <c r="D68" s="485"/>
      <c r="E68" s="485"/>
      <c r="F68" s="56" t="s">
        <v>175</v>
      </c>
      <c r="G68" s="12">
        <v>2</v>
      </c>
      <c r="H68" s="12" t="s">
        <v>173</v>
      </c>
      <c r="I68" s="12" t="s">
        <v>220</v>
      </c>
      <c r="J68" s="485" t="s">
        <v>174</v>
      </c>
      <c r="K68" s="485">
        <v>44</v>
      </c>
      <c r="L68" s="485">
        <v>12</v>
      </c>
      <c r="M68" s="494"/>
      <c r="N68" s="494"/>
      <c r="O68" s="494"/>
      <c r="P68" s="494"/>
      <c r="Q68" s="530">
        <f t="shared" si="59"/>
        <v>0</v>
      </c>
      <c r="R68" s="531">
        <v>4.9000000000000002E-2</v>
      </c>
      <c r="S68" s="493">
        <v>28</v>
      </c>
      <c r="T68" s="532">
        <v>0</v>
      </c>
      <c r="U68" s="494"/>
      <c r="V68" s="494"/>
      <c r="W68" s="107"/>
      <c r="X68" s="533">
        <f t="shared" si="60"/>
        <v>0</v>
      </c>
      <c r="Y68" s="534">
        <f t="shared" si="61"/>
        <v>65170.000000000007</v>
      </c>
      <c r="Z68" s="533">
        <f t="shared" si="62"/>
        <v>0</v>
      </c>
      <c r="AA68" s="493">
        <f>9.5*5000</f>
        <v>47500</v>
      </c>
      <c r="AB68" s="493">
        <f t="shared" si="63"/>
        <v>47500</v>
      </c>
      <c r="AC68" s="494">
        <v>0.49</v>
      </c>
      <c r="AD68" s="494">
        <v>0.89</v>
      </c>
      <c r="AE68" s="534">
        <f t="shared" si="64"/>
        <v>20714.75</v>
      </c>
      <c r="AF68" s="534">
        <f t="shared" ref="AF68:AF72" si="71">($X$73+$Y$73+$Z$73)*(AA68/$AB$73)</f>
        <v>65170.000000000015</v>
      </c>
      <c r="AG68" s="534">
        <f t="shared" si="65"/>
        <v>10784.083333333314</v>
      </c>
      <c r="AH68" s="494"/>
      <c r="AI68" s="494"/>
      <c r="AJ68" s="535">
        <f t="shared" si="66"/>
        <v>0</v>
      </c>
      <c r="AK68" s="494"/>
      <c r="AL68" s="530">
        <f t="shared" si="67"/>
        <v>0</v>
      </c>
      <c r="AM68" s="494"/>
      <c r="AN68" s="536"/>
      <c r="AO68" s="537"/>
      <c r="AP68" s="537"/>
      <c r="AQ68" s="538">
        <f t="shared" si="68"/>
        <v>0</v>
      </c>
      <c r="AR68" s="538">
        <f t="shared" si="69"/>
        <v>0</v>
      </c>
      <c r="AS68" s="539">
        <f t="shared" si="70"/>
        <v>10784.083333333314</v>
      </c>
      <c r="AT68" s="484"/>
      <c r="AU68" s="484"/>
      <c r="AV68" s="484"/>
      <c r="AW68" s="484"/>
      <c r="AX68" s="484"/>
      <c r="AY68" s="484"/>
      <c r="AZ68" s="484"/>
      <c r="BA68" s="484"/>
      <c r="BB68" s="484"/>
      <c r="BC68" s="484"/>
      <c r="BD68" s="484"/>
    </row>
    <row r="69" spans="1:56" s="46" customFormat="1">
      <c r="A69" s="484"/>
      <c r="B69" s="484"/>
      <c r="C69" s="484"/>
      <c r="D69" s="485"/>
      <c r="E69" s="485"/>
      <c r="F69" s="20" t="s">
        <v>176</v>
      </c>
      <c r="G69" s="12">
        <v>2</v>
      </c>
      <c r="H69" s="12" t="s">
        <v>173</v>
      </c>
      <c r="I69" s="12" t="s">
        <v>220</v>
      </c>
      <c r="J69" s="485" t="s">
        <v>174</v>
      </c>
      <c r="K69" s="485">
        <v>44</v>
      </c>
      <c r="L69" s="485">
        <v>12</v>
      </c>
      <c r="M69" s="485"/>
      <c r="N69" s="485"/>
      <c r="O69" s="485"/>
      <c r="P69" s="485"/>
      <c r="Q69" s="530">
        <f t="shared" si="59"/>
        <v>0</v>
      </c>
      <c r="R69" s="531">
        <v>4.9000000000000002E-2</v>
      </c>
      <c r="S69" s="493">
        <v>28</v>
      </c>
      <c r="T69" s="532">
        <v>0</v>
      </c>
      <c r="U69" s="485"/>
      <c r="V69" s="485"/>
      <c r="W69" s="107"/>
      <c r="X69" s="533">
        <f t="shared" si="60"/>
        <v>0</v>
      </c>
      <c r="Y69" s="534">
        <f t="shared" si="61"/>
        <v>6860.0000000000009</v>
      </c>
      <c r="Z69" s="533">
        <f t="shared" si="62"/>
        <v>0</v>
      </c>
      <c r="AA69" s="493">
        <f>1*5000</f>
        <v>5000</v>
      </c>
      <c r="AB69" s="493">
        <f t="shared" si="63"/>
        <v>5000</v>
      </c>
      <c r="AC69" s="494">
        <v>0.77</v>
      </c>
      <c r="AD69" s="494">
        <v>0.89</v>
      </c>
      <c r="AE69" s="534">
        <f t="shared" si="64"/>
        <v>3426.5</v>
      </c>
      <c r="AF69" s="534">
        <f t="shared" si="71"/>
        <v>6860.0000000000009</v>
      </c>
      <c r="AG69" s="534">
        <f t="shared" si="65"/>
        <v>5703.833333333333</v>
      </c>
      <c r="AH69" s="485"/>
      <c r="AI69" s="485"/>
      <c r="AJ69" s="535">
        <f t="shared" si="66"/>
        <v>0</v>
      </c>
      <c r="AK69" s="485"/>
      <c r="AL69" s="530">
        <f t="shared" si="67"/>
        <v>0</v>
      </c>
      <c r="AM69" s="485"/>
      <c r="AN69" s="486"/>
      <c r="AO69" s="486"/>
      <c r="AP69" s="486"/>
      <c r="AQ69" s="538">
        <f t="shared" si="68"/>
        <v>0</v>
      </c>
      <c r="AR69" s="538">
        <f t="shared" si="69"/>
        <v>0</v>
      </c>
      <c r="AS69" s="539">
        <f t="shared" si="70"/>
        <v>5703.833333333333</v>
      </c>
      <c r="AT69" s="484"/>
      <c r="AU69" s="484"/>
      <c r="AV69" s="484"/>
      <c r="AW69" s="484"/>
      <c r="AX69" s="484"/>
      <c r="AY69" s="484"/>
      <c r="AZ69" s="484"/>
      <c r="BA69" s="484"/>
      <c r="BB69" s="484"/>
      <c r="BC69" s="484"/>
      <c r="BD69" s="484"/>
    </row>
    <row r="70" spans="1:56" s="46" customFormat="1">
      <c r="A70" s="484"/>
      <c r="B70" s="484"/>
      <c r="C70" s="484"/>
      <c r="D70" s="485"/>
      <c r="E70" s="485"/>
      <c r="F70" s="20" t="s">
        <v>172</v>
      </c>
      <c r="G70" s="12">
        <v>2</v>
      </c>
      <c r="H70" s="12" t="s">
        <v>212</v>
      </c>
      <c r="I70" s="12" t="s">
        <v>220</v>
      </c>
      <c r="J70" s="485" t="s">
        <v>174</v>
      </c>
      <c r="K70" s="485">
        <v>44</v>
      </c>
      <c r="L70" s="485">
        <v>12</v>
      </c>
      <c r="M70" s="485"/>
      <c r="N70" s="485"/>
      <c r="O70" s="485"/>
      <c r="P70" s="485"/>
      <c r="Q70" s="530">
        <f t="shared" si="59"/>
        <v>0</v>
      </c>
      <c r="R70" s="531">
        <v>4.9000000000000002E-2</v>
      </c>
      <c r="S70" s="493">
        <v>28</v>
      </c>
      <c r="T70" s="532">
        <v>0</v>
      </c>
      <c r="U70" s="540"/>
      <c r="V70" s="541"/>
      <c r="W70" s="107"/>
      <c r="X70" s="533">
        <f t="shared" si="60"/>
        <v>0</v>
      </c>
      <c r="Y70" s="534">
        <f t="shared" si="61"/>
        <v>13720.000000000002</v>
      </c>
      <c r="Z70" s="533">
        <f t="shared" si="62"/>
        <v>0</v>
      </c>
      <c r="AA70" s="493">
        <f>2*5000</f>
        <v>10000</v>
      </c>
      <c r="AB70" s="493">
        <f t="shared" si="63"/>
        <v>10000</v>
      </c>
      <c r="AC70" s="494">
        <v>0.77</v>
      </c>
      <c r="AD70" s="494">
        <v>0.89</v>
      </c>
      <c r="AE70" s="534">
        <f t="shared" si="64"/>
        <v>6853</v>
      </c>
      <c r="AF70" s="534">
        <f t="shared" si="71"/>
        <v>13720.000000000002</v>
      </c>
      <c r="AG70" s="534">
        <f t="shared" si="65"/>
        <v>11407.666666666666</v>
      </c>
      <c r="AH70" s="494"/>
      <c r="AI70" s="540"/>
      <c r="AJ70" s="535">
        <f t="shared" si="66"/>
        <v>0</v>
      </c>
      <c r="AK70" s="494"/>
      <c r="AL70" s="530">
        <f t="shared" si="67"/>
        <v>0</v>
      </c>
      <c r="AM70" s="494"/>
      <c r="AN70" s="536"/>
      <c r="AO70" s="542"/>
      <c r="AP70" s="542"/>
      <c r="AQ70" s="538">
        <f t="shared" si="68"/>
        <v>0</v>
      </c>
      <c r="AR70" s="538">
        <f t="shared" si="69"/>
        <v>0</v>
      </c>
      <c r="AS70" s="539">
        <f t="shared" si="70"/>
        <v>11407.666666666666</v>
      </c>
      <c r="AT70" s="484"/>
      <c r="AU70" s="484"/>
      <c r="AV70" s="484"/>
      <c r="AW70" s="484"/>
      <c r="AX70" s="484"/>
      <c r="AY70" s="484"/>
      <c r="AZ70" s="484"/>
      <c r="BA70" s="484"/>
      <c r="BB70" s="484"/>
      <c r="BC70" s="484"/>
      <c r="BD70" s="484"/>
    </row>
    <row r="71" spans="1:56" s="46" customFormat="1">
      <c r="A71" s="484"/>
      <c r="B71" s="484"/>
      <c r="C71" s="484"/>
      <c r="D71" s="485"/>
      <c r="E71" s="485"/>
      <c r="F71" s="56" t="s">
        <v>175</v>
      </c>
      <c r="G71" s="12">
        <v>2</v>
      </c>
      <c r="H71" s="12" t="s">
        <v>212</v>
      </c>
      <c r="I71" s="12" t="s">
        <v>220</v>
      </c>
      <c r="J71" s="485" t="s">
        <v>174</v>
      </c>
      <c r="K71" s="485">
        <v>44</v>
      </c>
      <c r="L71" s="485">
        <v>12</v>
      </c>
      <c r="M71" s="485"/>
      <c r="N71" s="485"/>
      <c r="O71" s="485"/>
      <c r="P71" s="485"/>
      <c r="Q71" s="530">
        <f t="shared" si="59"/>
        <v>0</v>
      </c>
      <c r="R71" s="531">
        <v>4.9000000000000002E-2</v>
      </c>
      <c r="S71" s="493">
        <v>28</v>
      </c>
      <c r="T71" s="532">
        <v>0</v>
      </c>
      <c r="U71" s="494"/>
      <c r="V71" s="494"/>
      <c r="W71" s="107"/>
      <c r="X71" s="533">
        <f t="shared" si="60"/>
        <v>0</v>
      </c>
      <c r="Y71" s="534">
        <f t="shared" si="61"/>
        <v>65170.000000000007</v>
      </c>
      <c r="Z71" s="533">
        <f t="shared" si="62"/>
        <v>0</v>
      </c>
      <c r="AA71" s="493">
        <f>9.5*5000</f>
        <v>47500</v>
      </c>
      <c r="AB71" s="493">
        <f t="shared" si="63"/>
        <v>47500</v>
      </c>
      <c r="AC71" s="494">
        <v>0.49</v>
      </c>
      <c r="AD71" s="494">
        <v>0.89</v>
      </c>
      <c r="AE71" s="534">
        <f t="shared" si="64"/>
        <v>20714.75</v>
      </c>
      <c r="AF71" s="534">
        <f t="shared" si="71"/>
        <v>65170.000000000015</v>
      </c>
      <c r="AG71" s="534">
        <f t="shared" si="65"/>
        <v>10784.083333333314</v>
      </c>
      <c r="AH71" s="494"/>
      <c r="AI71" s="494"/>
      <c r="AJ71" s="535">
        <f t="shared" si="66"/>
        <v>0</v>
      </c>
      <c r="AK71" s="494"/>
      <c r="AL71" s="530">
        <f t="shared" si="67"/>
        <v>0</v>
      </c>
      <c r="AM71" s="494"/>
      <c r="AN71" s="536"/>
      <c r="AO71" s="537"/>
      <c r="AP71" s="537"/>
      <c r="AQ71" s="538">
        <f t="shared" si="68"/>
        <v>0</v>
      </c>
      <c r="AR71" s="538">
        <f t="shared" si="69"/>
        <v>0</v>
      </c>
      <c r="AS71" s="539">
        <f t="shared" si="70"/>
        <v>10784.083333333314</v>
      </c>
      <c r="AT71" s="484"/>
      <c r="AU71" s="484"/>
      <c r="AV71" s="484"/>
      <c r="AW71" s="484"/>
      <c r="AX71" s="484"/>
      <c r="AY71" s="484"/>
      <c r="AZ71" s="484"/>
      <c r="BA71" s="484"/>
      <c r="BB71" s="484"/>
      <c r="BC71" s="484"/>
      <c r="BD71" s="484"/>
    </row>
    <row r="72" spans="1:56" s="46" customFormat="1">
      <c r="A72" s="484"/>
      <c r="B72" s="484"/>
      <c r="C72" s="484"/>
      <c r="D72" s="485"/>
      <c r="E72" s="485"/>
      <c r="F72" s="20" t="s">
        <v>176</v>
      </c>
      <c r="G72" s="12">
        <v>2</v>
      </c>
      <c r="H72" s="12" t="s">
        <v>212</v>
      </c>
      <c r="I72" s="12" t="s">
        <v>220</v>
      </c>
      <c r="J72" s="485" t="s">
        <v>174</v>
      </c>
      <c r="K72" s="485">
        <v>44</v>
      </c>
      <c r="L72" s="485">
        <v>12</v>
      </c>
      <c r="M72" s="485"/>
      <c r="N72" s="485"/>
      <c r="O72" s="485"/>
      <c r="P72" s="485"/>
      <c r="Q72" s="530">
        <f t="shared" si="59"/>
        <v>0</v>
      </c>
      <c r="R72" s="531">
        <v>4.9000000000000002E-2</v>
      </c>
      <c r="S72" s="493">
        <v>28</v>
      </c>
      <c r="T72" s="532">
        <v>0</v>
      </c>
      <c r="U72" s="485"/>
      <c r="V72" s="485"/>
      <c r="W72" s="107"/>
      <c r="X72" s="533">
        <f t="shared" si="60"/>
        <v>0</v>
      </c>
      <c r="Y72" s="534">
        <f t="shared" si="61"/>
        <v>6860.0000000000009</v>
      </c>
      <c r="Z72" s="533">
        <f t="shared" si="62"/>
        <v>0</v>
      </c>
      <c r="AA72" s="493">
        <f>1*5000</f>
        <v>5000</v>
      </c>
      <c r="AB72" s="493">
        <f t="shared" si="63"/>
        <v>5000</v>
      </c>
      <c r="AC72" s="494">
        <v>0.77</v>
      </c>
      <c r="AD72" s="494">
        <v>0.89</v>
      </c>
      <c r="AE72" s="534">
        <f t="shared" si="64"/>
        <v>3426.5</v>
      </c>
      <c r="AF72" s="534">
        <f t="shared" si="71"/>
        <v>6860.0000000000009</v>
      </c>
      <c r="AG72" s="534">
        <f t="shared" si="65"/>
        <v>5703.833333333333</v>
      </c>
      <c r="AH72" s="485"/>
      <c r="AI72" s="485"/>
      <c r="AJ72" s="535">
        <f t="shared" si="66"/>
        <v>0</v>
      </c>
      <c r="AK72" s="485"/>
      <c r="AL72" s="530">
        <f t="shared" si="67"/>
        <v>0</v>
      </c>
      <c r="AM72" s="485"/>
      <c r="AN72" s="486"/>
      <c r="AO72" s="486"/>
      <c r="AP72" s="486"/>
      <c r="AQ72" s="538">
        <f t="shared" si="68"/>
        <v>0</v>
      </c>
      <c r="AR72" s="538">
        <f t="shared" si="69"/>
        <v>0</v>
      </c>
      <c r="AS72" s="539">
        <f t="shared" si="70"/>
        <v>5703.833333333333</v>
      </c>
      <c r="AT72" s="484"/>
      <c r="AU72" s="484"/>
      <c r="AV72" s="484"/>
      <c r="AW72" s="484"/>
      <c r="AX72" s="484"/>
      <c r="AY72" s="484"/>
      <c r="AZ72" s="484"/>
      <c r="BA72" s="484"/>
      <c r="BB72" s="484"/>
      <c r="BC72" s="484"/>
      <c r="BD72" s="484"/>
    </row>
    <row r="73" spans="1:56" s="46" customFormat="1">
      <c r="A73" s="484"/>
      <c r="B73" s="484"/>
      <c r="C73" s="484"/>
      <c r="D73" s="485"/>
      <c r="E73" s="485"/>
      <c r="F73" s="20"/>
      <c r="G73" s="12"/>
      <c r="H73" s="12"/>
      <c r="I73" s="12"/>
      <c r="J73" s="485"/>
      <c r="K73" s="485"/>
      <c r="L73" s="485"/>
      <c r="M73" s="485"/>
      <c r="N73" s="485"/>
      <c r="O73" s="485"/>
      <c r="P73" s="485"/>
      <c r="Q73" s="530"/>
      <c r="R73" s="531"/>
      <c r="S73" s="493"/>
      <c r="T73" s="532"/>
      <c r="U73" s="485"/>
      <c r="V73" s="485"/>
      <c r="W73" s="111"/>
      <c r="X73" s="112">
        <f>SUM(X67:X72)</f>
        <v>0</v>
      </c>
      <c r="Y73" s="113">
        <f>SUM(Y67:Y72)</f>
        <v>171500.00000000003</v>
      </c>
      <c r="Z73" s="112">
        <f>SUM(Z67:Z72)</f>
        <v>0</v>
      </c>
      <c r="AA73" s="493"/>
      <c r="AB73" s="58">
        <f>SUM(AA67:AA72)</f>
        <v>125000</v>
      </c>
      <c r="AC73" s="494"/>
      <c r="AD73" s="485"/>
      <c r="AE73" s="534"/>
      <c r="AF73" s="534"/>
      <c r="AG73" s="534"/>
      <c r="AH73" s="485"/>
      <c r="AI73" s="485"/>
      <c r="AJ73" s="535"/>
      <c r="AK73" s="485"/>
      <c r="AL73" s="530"/>
      <c r="AM73" s="485"/>
      <c r="AN73" s="486"/>
      <c r="AO73" s="486"/>
      <c r="AP73" s="486"/>
      <c r="AQ73" s="538"/>
      <c r="AR73" s="538"/>
      <c r="AS73" s="539"/>
      <c r="AT73" s="484"/>
      <c r="AU73" s="484"/>
      <c r="AV73" s="484"/>
      <c r="AW73" s="484"/>
      <c r="AX73" s="484"/>
      <c r="AY73" s="484"/>
      <c r="AZ73" s="484"/>
      <c r="BA73" s="484"/>
      <c r="BB73" s="484"/>
      <c r="BC73" s="484"/>
      <c r="BD73" s="484"/>
    </row>
    <row r="74" spans="1:56" s="46" customFormat="1">
      <c r="A74" s="484"/>
      <c r="B74" s="484"/>
      <c r="C74" s="484"/>
      <c r="D74" s="485"/>
      <c r="E74" s="485"/>
      <c r="F74" s="20" t="s">
        <v>172</v>
      </c>
      <c r="G74" s="12">
        <v>2</v>
      </c>
      <c r="H74" s="12" t="s">
        <v>173</v>
      </c>
      <c r="I74" s="12" t="s">
        <v>221</v>
      </c>
      <c r="J74" s="485" t="s">
        <v>174</v>
      </c>
      <c r="K74" s="485">
        <v>44</v>
      </c>
      <c r="L74" s="485">
        <v>12</v>
      </c>
      <c r="M74" s="485"/>
      <c r="N74" s="485"/>
      <c r="O74" s="485"/>
      <c r="P74" s="485"/>
      <c r="Q74" s="530">
        <f t="shared" si="59"/>
        <v>0</v>
      </c>
      <c r="R74" s="531">
        <v>4.9000000000000002E-2</v>
      </c>
      <c r="S74" s="493">
        <v>28</v>
      </c>
      <c r="T74" s="532">
        <v>0</v>
      </c>
      <c r="U74" s="540"/>
      <c r="V74" s="541"/>
      <c r="W74" s="107"/>
      <c r="X74" s="533">
        <f t="shared" si="60"/>
        <v>0</v>
      </c>
      <c r="Y74" s="534">
        <f t="shared" si="61"/>
        <v>13720.000000000002</v>
      </c>
      <c r="Z74" s="533">
        <f t="shared" si="62"/>
        <v>0</v>
      </c>
      <c r="AA74" s="493">
        <f>2*5000</f>
        <v>10000</v>
      </c>
      <c r="AB74" s="493">
        <f t="shared" si="63"/>
        <v>10000</v>
      </c>
      <c r="AC74" s="494">
        <v>0.77</v>
      </c>
      <c r="AD74" s="494">
        <v>0.89</v>
      </c>
      <c r="AE74" s="534">
        <f t="shared" si="64"/>
        <v>6853</v>
      </c>
      <c r="AF74" s="534">
        <f>($X$80+$Y$80+$Z$80)*(AA74/$AB$80)</f>
        <v>13720.000000000002</v>
      </c>
      <c r="AG74" s="534">
        <f t="shared" si="65"/>
        <v>11407.666666666666</v>
      </c>
      <c r="AH74" s="494"/>
      <c r="AI74" s="540"/>
      <c r="AJ74" s="535">
        <f t="shared" si="66"/>
        <v>0</v>
      </c>
      <c r="AK74" s="494"/>
      <c r="AL74" s="530">
        <f t="shared" si="67"/>
        <v>0</v>
      </c>
      <c r="AM74" s="494"/>
      <c r="AN74" s="536"/>
      <c r="AO74" s="542"/>
      <c r="AP74" s="542"/>
      <c r="AQ74" s="538">
        <f t="shared" si="68"/>
        <v>0</v>
      </c>
      <c r="AR74" s="538">
        <f t="shared" si="69"/>
        <v>0</v>
      </c>
      <c r="AS74" s="539">
        <f t="shared" si="70"/>
        <v>11407.666666666666</v>
      </c>
      <c r="AT74" s="484"/>
      <c r="AU74" s="484"/>
      <c r="AV74" s="484"/>
      <c r="AW74" s="484"/>
      <c r="AX74" s="484"/>
      <c r="AY74" s="484"/>
      <c r="AZ74" s="484"/>
      <c r="BA74" s="484"/>
      <c r="BB74" s="484"/>
      <c r="BC74" s="484"/>
      <c r="BD74" s="484"/>
    </row>
    <row r="75" spans="1:56" s="46" customFormat="1">
      <c r="A75" s="484"/>
      <c r="B75" s="484"/>
      <c r="C75" s="484"/>
      <c r="D75" s="485"/>
      <c r="E75" s="485"/>
      <c r="F75" s="56" t="s">
        <v>175</v>
      </c>
      <c r="G75" s="12">
        <v>2</v>
      </c>
      <c r="H75" s="12" t="s">
        <v>173</v>
      </c>
      <c r="I75" s="12" t="s">
        <v>221</v>
      </c>
      <c r="J75" s="485" t="s">
        <v>174</v>
      </c>
      <c r="K75" s="485">
        <v>44</v>
      </c>
      <c r="L75" s="485">
        <v>12</v>
      </c>
      <c r="M75" s="485"/>
      <c r="N75" s="485"/>
      <c r="O75" s="485"/>
      <c r="P75" s="485"/>
      <c r="Q75" s="530">
        <f t="shared" si="59"/>
        <v>0</v>
      </c>
      <c r="R75" s="531">
        <v>4.9000000000000002E-2</v>
      </c>
      <c r="S75" s="493">
        <v>28</v>
      </c>
      <c r="T75" s="532">
        <v>0</v>
      </c>
      <c r="U75" s="494"/>
      <c r="V75" s="494"/>
      <c r="W75" s="107"/>
      <c r="X75" s="533">
        <f t="shared" si="60"/>
        <v>0</v>
      </c>
      <c r="Y75" s="534">
        <f t="shared" si="61"/>
        <v>65170.000000000007</v>
      </c>
      <c r="Z75" s="533">
        <f t="shared" si="62"/>
        <v>0</v>
      </c>
      <c r="AA75" s="493">
        <f>9.5*5000</f>
        <v>47500</v>
      </c>
      <c r="AB75" s="493">
        <f t="shared" si="63"/>
        <v>47500</v>
      </c>
      <c r="AC75" s="494">
        <v>0.49</v>
      </c>
      <c r="AD75" s="494">
        <v>0.89</v>
      </c>
      <c r="AE75" s="534">
        <f t="shared" si="64"/>
        <v>20714.75</v>
      </c>
      <c r="AF75" s="534">
        <f t="shared" ref="AF75:AF79" si="72">($X$80+$Y$80+$Z$80)*(AA75/$AB$80)</f>
        <v>65170.000000000015</v>
      </c>
      <c r="AG75" s="534">
        <f t="shared" si="65"/>
        <v>10784.083333333314</v>
      </c>
      <c r="AH75" s="494"/>
      <c r="AI75" s="494"/>
      <c r="AJ75" s="535">
        <f t="shared" si="66"/>
        <v>0</v>
      </c>
      <c r="AK75" s="494"/>
      <c r="AL75" s="530">
        <f t="shared" si="67"/>
        <v>0</v>
      </c>
      <c r="AM75" s="494"/>
      <c r="AN75" s="536"/>
      <c r="AO75" s="537"/>
      <c r="AP75" s="537"/>
      <c r="AQ75" s="538">
        <f t="shared" si="68"/>
        <v>0</v>
      </c>
      <c r="AR75" s="538">
        <f t="shared" si="69"/>
        <v>0</v>
      </c>
      <c r="AS75" s="539">
        <f t="shared" si="70"/>
        <v>10784.083333333314</v>
      </c>
      <c r="AT75" s="484"/>
      <c r="AU75" s="484"/>
      <c r="AV75" s="484"/>
      <c r="AW75" s="484"/>
      <c r="AX75" s="484"/>
      <c r="AY75" s="484"/>
      <c r="AZ75" s="484"/>
      <c r="BA75" s="484"/>
      <c r="BB75" s="484"/>
      <c r="BC75" s="484"/>
      <c r="BD75" s="484"/>
    </row>
    <row r="76" spans="1:56" s="46" customFormat="1">
      <c r="A76" s="484"/>
      <c r="B76" s="484"/>
      <c r="C76" s="484"/>
      <c r="D76" s="485"/>
      <c r="E76" s="485"/>
      <c r="F76" s="20" t="s">
        <v>176</v>
      </c>
      <c r="G76" s="12">
        <v>2</v>
      </c>
      <c r="H76" s="12" t="s">
        <v>173</v>
      </c>
      <c r="I76" s="12" t="s">
        <v>221</v>
      </c>
      <c r="J76" s="485" t="s">
        <v>174</v>
      </c>
      <c r="K76" s="485">
        <v>44</v>
      </c>
      <c r="L76" s="485">
        <v>12</v>
      </c>
      <c r="M76" s="485"/>
      <c r="N76" s="485"/>
      <c r="O76" s="485"/>
      <c r="P76" s="485"/>
      <c r="Q76" s="530">
        <f t="shared" si="59"/>
        <v>0</v>
      </c>
      <c r="R76" s="531">
        <v>4.9000000000000002E-2</v>
      </c>
      <c r="S76" s="493">
        <v>28</v>
      </c>
      <c r="T76" s="532">
        <v>0</v>
      </c>
      <c r="U76" s="485"/>
      <c r="V76" s="485"/>
      <c r="W76" s="107"/>
      <c r="X76" s="533">
        <f t="shared" si="60"/>
        <v>0</v>
      </c>
      <c r="Y76" s="534">
        <f t="shared" si="61"/>
        <v>6860.0000000000009</v>
      </c>
      <c r="Z76" s="533">
        <f t="shared" si="62"/>
        <v>0</v>
      </c>
      <c r="AA76" s="493">
        <f>1*5000</f>
        <v>5000</v>
      </c>
      <c r="AB76" s="493">
        <f t="shared" si="63"/>
        <v>5000</v>
      </c>
      <c r="AC76" s="494">
        <v>0.77</v>
      </c>
      <c r="AD76" s="494">
        <v>0.89</v>
      </c>
      <c r="AE76" s="534">
        <f t="shared" si="64"/>
        <v>3426.5</v>
      </c>
      <c r="AF76" s="534">
        <f t="shared" si="72"/>
        <v>6860.0000000000009</v>
      </c>
      <c r="AG76" s="534">
        <f t="shared" si="65"/>
        <v>5703.833333333333</v>
      </c>
      <c r="AH76" s="485"/>
      <c r="AI76" s="485"/>
      <c r="AJ76" s="535">
        <f t="shared" si="66"/>
        <v>0</v>
      </c>
      <c r="AK76" s="485"/>
      <c r="AL76" s="530">
        <f t="shared" si="67"/>
        <v>0</v>
      </c>
      <c r="AM76" s="485"/>
      <c r="AN76" s="486"/>
      <c r="AO76" s="486"/>
      <c r="AP76" s="486"/>
      <c r="AQ76" s="538">
        <f t="shared" si="68"/>
        <v>0</v>
      </c>
      <c r="AR76" s="538">
        <f t="shared" si="69"/>
        <v>0</v>
      </c>
      <c r="AS76" s="539">
        <f t="shared" si="70"/>
        <v>5703.833333333333</v>
      </c>
      <c r="AT76" s="484"/>
      <c r="AU76" s="484"/>
      <c r="AV76" s="484"/>
      <c r="AW76" s="484"/>
      <c r="AX76" s="484"/>
      <c r="AY76" s="484"/>
      <c r="AZ76" s="484"/>
      <c r="BA76" s="484"/>
      <c r="BB76" s="484"/>
      <c r="BC76" s="484"/>
      <c r="BD76" s="484"/>
    </row>
    <row r="77" spans="1:56" s="46" customFormat="1">
      <c r="A77" s="484"/>
      <c r="B77" s="484"/>
      <c r="C77" s="484"/>
      <c r="D77" s="485"/>
      <c r="E77" s="485"/>
      <c r="F77" s="20" t="s">
        <v>172</v>
      </c>
      <c r="G77" s="12">
        <v>2</v>
      </c>
      <c r="H77" s="12" t="s">
        <v>212</v>
      </c>
      <c r="I77" s="12" t="s">
        <v>221</v>
      </c>
      <c r="J77" s="485" t="s">
        <v>174</v>
      </c>
      <c r="K77" s="485">
        <v>44</v>
      </c>
      <c r="L77" s="485">
        <v>12</v>
      </c>
      <c r="M77" s="485"/>
      <c r="N77" s="485"/>
      <c r="O77" s="485"/>
      <c r="P77" s="485"/>
      <c r="Q77" s="530">
        <f t="shared" si="59"/>
        <v>0</v>
      </c>
      <c r="R77" s="531">
        <v>4.9000000000000002E-2</v>
      </c>
      <c r="S77" s="493">
        <v>28</v>
      </c>
      <c r="T77" s="532">
        <v>0</v>
      </c>
      <c r="U77" s="540"/>
      <c r="V77" s="541"/>
      <c r="W77" s="107"/>
      <c r="X77" s="533">
        <f t="shared" si="60"/>
        <v>0</v>
      </c>
      <c r="Y77" s="534">
        <f t="shared" si="61"/>
        <v>13720.000000000002</v>
      </c>
      <c r="Z77" s="533">
        <f t="shared" si="62"/>
        <v>0</v>
      </c>
      <c r="AA77" s="493">
        <f>2*5000</f>
        <v>10000</v>
      </c>
      <c r="AB77" s="493">
        <f t="shared" si="63"/>
        <v>10000</v>
      </c>
      <c r="AC77" s="494">
        <v>0.77</v>
      </c>
      <c r="AD77" s="494">
        <v>0.89</v>
      </c>
      <c r="AE77" s="534">
        <f t="shared" si="64"/>
        <v>6853</v>
      </c>
      <c r="AF77" s="534">
        <f t="shared" si="72"/>
        <v>13720.000000000002</v>
      </c>
      <c r="AG77" s="534">
        <f t="shared" si="65"/>
        <v>11407.666666666666</v>
      </c>
      <c r="AH77" s="494"/>
      <c r="AI77" s="540"/>
      <c r="AJ77" s="535">
        <f t="shared" si="66"/>
        <v>0</v>
      </c>
      <c r="AK77" s="494"/>
      <c r="AL77" s="530">
        <f t="shared" si="67"/>
        <v>0</v>
      </c>
      <c r="AM77" s="494"/>
      <c r="AN77" s="536"/>
      <c r="AO77" s="542"/>
      <c r="AP77" s="542"/>
      <c r="AQ77" s="538">
        <f t="shared" si="68"/>
        <v>0</v>
      </c>
      <c r="AR77" s="538">
        <f t="shared" si="69"/>
        <v>0</v>
      </c>
      <c r="AS77" s="539">
        <f t="shared" si="70"/>
        <v>11407.666666666666</v>
      </c>
      <c r="AT77" s="484"/>
      <c r="AU77" s="484"/>
      <c r="AV77" s="484"/>
      <c r="AW77" s="484"/>
      <c r="AX77" s="484"/>
      <c r="AY77" s="484"/>
      <c r="AZ77" s="484"/>
      <c r="BA77" s="484"/>
      <c r="BB77" s="484"/>
      <c r="BC77" s="484"/>
      <c r="BD77" s="484"/>
    </row>
    <row r="78" spans="1:56" s="46" customFormat="1">
      <c r="A78" s="484"/>
      <c r="B78" s="484"/>
      <c r="C78" s="484"/>
      <c r="D78" s="485"/>
      <c r="E78" s="485"/>
      <c r="F78" s="56" t="s">
        <v>175</v>
      </c>
      <c r="G78" s="12">
        <v>2</v>
      </c>
      <c r="H78" s="12" t="s">
        <v>212</v>
      </c>
      <c r="I78" s="12" t="s">
        <v>221</v>
      </c>
      <c r="J78" s="485" t="s">
        <v>174</v>
      </c>
      <c r="K78" s="485">
        <v>44</v>
      </c>
      <c r="L78" s="485">
        <v>12</v>
      </c>
      <c r="M78" s="485"/>
      <c r="N78" s="485"/>
      <c r="O78" s="485"/>
      <c r="P78" s="485"/>
      <c r="Q78" s="530">
        <f t="shared" si="59"/>
        <v>0</v>
      </c>
      <c r="R78" s="531">
        <v>4.9000000000000002E-2</v>
      </c>
      <c r="S78" s="493">
        <v>28</v>
      </c>
      <c r="T78" s="532">
        <v>0</v>
      </c>
      <c r="U78" s="494"/>
      <c r="V78" s="494"/>
      <c r="W78" s="107"/>
      <c r="X78" s="533">
        <f t="shared" si="60"/>
        <v>0</v>
      </c>
      <c r="Y78" s="534">
        <f t="shared" si="61"/>
        <v>65170.000000000007</v>
      </c>
      <c r="Z78" s="533">
        <f t="shared" si="62"/>
        <v>0</v>
      </c>
      <c r="AA78" s="493">
        <f>9.5*5000</f>
        <v>47500</v>
      </c>
      <c r="AB78" s="493">
        <f t="shared" si="63"/>
        <v>47500</v>
      </c>
      <c r="AC78" s="494">
        <v>0.49</v>
      </c>
      <c r="AD78" s="494">
        <v>0.89</v>
      </c>
      <c r="AE78" s="534">
        <f t="shared" si="64"/>
        <v>20714.75</v>
      </c>
      <c r="AF78" s="534">
        <f t="shared" si="72"/>
        <v>65170.000000000015</v>
      </c>
      <c r="AG78" s="534">
        <f t="shared" si="65"/>
        <v>10784.083333333314</v>
      </c>
      <c r="AH78" s="494"/>
      <c r="AI78" s="494"/>
      <c r="AJ78" s="535">
        <f t="shared" si="66"/>
        <v>0</v>
      </c>
      <c r="AK78" s="494"/>
      <c r="AL78" s="530">
        <f t="shared" si="67"/>
        <v>0</v>
      </c>
      <c r="AM78" s="494"/>
      <c r="AN78" s="536"/>
      <c r="AO78" s="537"/>
      <c r="AP78" s="537"/>
      <c r="AQ78" s="538">
        <f t="shared" si="68"/>
        <v>0</v>
      </c>
      <c r="AR78" s="538">
        <f t="shared" si="69"/>
        <v>0</v>
      </c>
      <c r="AS78" s="539">
        <f t="shared" si="70"/>
        <v>10784.083333333314</v>
      </c>
      <c r="AT78" s="484"/>
      <c r="AU78" s="484"/>
      <c r="AV78" s="484"/>
      <c r="AW78" s="484"/>
      <c r="AX78" s="484"/>
      <c r="AY78" s="484"/>
      <c r="AZ78" s="484"/>
      <c r="BA78" s="484"/>
      <c r="BB78" s="484"/>
      <c r="BC78" s="484"/>
      <c r="BD78" s="484"/>
    </row>
    <row r="79" spans="1:56" s="46" customFormat="1">
      <c r="A79" s="484"/>
      <c r="B79" s="484"/>
      <c r="C79" s="484"/>
      <c r="D79" s="485"/>
      <c r="E79" s="485"/>
      <c r="F79" s="20" t="s">
        <v>176</v>
      </c>
      <c r="G79" s="12">
        <v>2</v>
      </c>
      <c r="H79" s="12" t="s">
        <v>212</v>
      </c>
      <c r="I79" s="12" t="s">
        <v>221</v>
      </c>
      <c r="J79" s="485" t="s">
        <v>174</v>
      </c>
      <c r="K79" s="485">
        <v>44</v>
      </c>
      <c r="L79" s="485">
        <v>12</v>
      </c>
      <c r="M79" s="485"/>
      <c r="N79" s="485"/>
      <c r="O79" s="485"/>
      <c r="P79" s="485"/>
      <c r="Q79" s="530">
        <f t="shared" si="59"/>
        <v>0</v>
      </c>
      <c r="R79" s="531">
        <v>4.9000000000000002E-2</v>
      </c>
      <c r="S79" s="493">
        <v>28</v>
      </c>
      <c r="T79" s="532">
        <v>0</v>
      </c>
      <c r="U79" s="485"/>
      <c r="V79" s="485"/>
      <c r="W79" s="107"/>
      <c r="X79" s="533">
        <f t="shared" si="60"/>
        <v>0</v>
      </c>
      <c r="Y79" s="534">
        <f t="shared" si="61"/>
        <v>6860.0000000000009</v>
      </c>
      <c r="Z79" s="533">
        <f t="shared" si="62"/>
        <v>0</v>
      </c>
      <c r="AA79" s="493">
        <f>1*5000</f>
        <v>5000</v>
      </c>
      <c r="AB79" s="493">
        <f t="shared" si="63"/>
        <v>5000</v>
      </c>
      <c r="AC79" s="494">
        <v>0.77</v>
      </c>
      <c r="AD79" s="494">
        <v>0.89</v>
      </c>
      <c r="AE79" s="534">
        <f t="shared" si="64"/>
        <v>3426.5</v>
      </c>
      <c r="AF79" s="534">
        <f t="shared" si="72"/>
        <v>6860.0000000000009</v>
      </c>
      <c r="AG79" s="534">
        <f t="shared" si="65"/>
        <v>5703.833333333333</v>
      </c>
      <c r="AH79" s="485"/>
      <c r="AI79" s="485"/>
      <c r="AJ79" s="535">
        <f t="shared" si="66"/>
        <v>0</v>
      </c>
      <c r="AK79" s="485"/>
      <c r="AL79" s="530">
        <f t="shared" si="67"/>
        <v>0</v>
      </c>
      <c r="AM79" s="485"/>
      <c r="AN79" s="486"/>
      <c r="AO79" s="486"/>
      <c r="AP79" s="486"/>
      <c r="AQ79" s="538">
        <f t="shared" si="68"/>
        <v>0</v>
      </c>
      <c r="AR79" s="538">
        <f t="shared" si="69"/>
        <v>0</v>
      </c>
      <c r="AS79" s="539">
        <f t="shared" si="70"/>
        <v>5703.833333333333</v>
      </c>
      <c r="AT79" s="484"/>
      <c r="AU79" s="484"/>
      <c r="AV79" s="484"/>
      <c r="AW79" s="484"/>
      <c r="AX79" s="484"/>
      <c r="AY79" s="484"/>
      <c r="AZ79" s="484"/>
      <c r="BA79" s="484"/>
      <c r="BB79" s="484"/>
      <c r="BC79" s="484"/>
      <c r="BD79" s="484"/>
    </row>
    <row r="80" spans="1:56" ht="16" thickBot="1">
      <c r="A80" s="484"/>
      <c r="B80" s="484"/>
      <c r="C80" s="484"/>
      <c r="D80" s="485"/>
      <c r="E80" s="485"/>
      <c r="F80" s="89" t="s">
        <v>206</v>
      </c>
      <c r="G80" s="571"/>
      <c r="H80" s="571"/>
      <c r="I80" s="571"/>
      <c r="J80" s="571"/>
      <c r="K80" s="571"/>
      <c r="L80" s="571"/>
      <c r="M80" s="571"/>
      <c r="N80" s="571"/>
      <c r="O80" s="571"/>
      <c r="P80" s="571"/>
      <c r="Q80" s="544"/>
      <c r="R80" s="573"/>
      <c r="S80" s="571"/>
      <c r="T80" s="574"/>
      <c r="U80" s="571"/>
      <c r="V80" s="571"/>
      <c r="W80" s="571"/>
      <c r="X80" s="115">
        <f>SUM(X74:X79)</f>
        <v>0</v>
      </c>
      <c r="Y80" s="116">
        <f>SUM(Y74:Y79)</f>
        <v>171500.00000000003</v>
      </c>
      <c r="Z80" s="115">
        <f>SUM(Z74:Z79)</f>
        <v>0</v>
      </c>
      <c r="AA80" s="544"/>
      <c r="AB80" s="116">
        <f>SUM(AA74:AA79)</f>
        <v>125000</v>
      </c>
      <c r="AC80" s="544"/>
      <c r="AD80" s="571"/>
      <c r="AE80" s="544"/>
      <c r="AF80" s="548"/>
      <c r="AG80" s="548"/>
      <c r="AH80" s="571"/>
      <c r="AI80" s="571"/>
      <c r="AJ80" s="571"/>
      <c r="AK80" s="571"/>
      <c r="AL80" s="544"/>
      <c r="AM80" s="571"/>
      <c r="AN80" s="575"/>
      <c r="AO80" s="575"/>
      <c r="AP80" s="575"/>
      <c r="AQ80" s="551"/>
      <c r="AR80" s="551"/>
      <c r="AS80" s="81"/>
      <c r="AT80" s="484"/>
      <c r="AU80" s="484"/>
      <c r="AV80" s="484"/>
      <c r="AW80" s="484"/>
      <c r="AX80" s="484"/>
      <c r="AY80" s="484"/>
      <c r="AZ80" s="484"/>
      <c r="BA80" s="484"/>
      <c r="BB80" s="484"/>
      <c r="BC80" s="484"/>
      <c r="BD80" s="484"/>
    </row>
    <row r="81" spans="1:56">
      <c r="A81" s="484"/>
      <c r="B81" s="1"/>
      <c r="C81" s="484"/>
      <c r="D81" s="485"/>
      <c r="E81" s="485"/>
      <c r="F81" s="54" t="s">
        <v>214</v>
      </c>
      <c r="G81" s="54"/>
      <c r="H81" s="485"/>
      <c r="I81" s="485"/>
      <c r="J81" s="485"/>
      <c r="K81" s="485"/>
      <c r="L81" s="485"/>
      <c r="M81" s="485"/>
      <c r="N81" s="485"/>
      <c r="O81" s="485"/>
      <c r="P81" s="485"/>
      <c r="Q81" s="485"/>
      <c r="R81" s="485"/>
      <c r="S81" s="485"/>
      <c r="T81" s="485"/>
      <c r="U81" s="485"/>
      <c r="V81" s="485"/>
      <c r="W81" s="485"/>
      <c r="X81" s="485"/>
      <c r="Y81" s="485"/>
      <c r="Z81" s="485"/>
      <c r="AA81" s="485"/>
      <c r="AB81" s="485"/>
      <c r="AC81" s="485"/>
      <c r="AD81" s="485"/>
      <c r="AE81" s="485"/>
      <c r="AF81" s="485"/>
      <c r="AG81" s="485"/>
      <c r="AH81" s="486"/>
      <c r="AI81" s="486"/>
      <c r="AJ81" s="486"/>
      <c r="AK81" s="484"/>
      <c r="AL81" s="484"/>
      <c r="AM81" s="484"/>
      <c r="AN81" s="484"/>
      <c r="AO81" s="484"/>
      <c r="AP81" s="484"/>
      <c r="AQ81" s="484"/>
      <c r="AR81" s="484"/>
      <c r="AS81" s="484"/>
      <c r="AT81" s="484"/>
      <c r="AU81" s="484"/>
      <c r="AV81" s="484"/>
      <c r="AW81" s="484"/>
      <c r="AX81" s="484"/>
      <c r="AY81" s="484"/>
      <c r="AZ81" s="484"/>
      <c r="BA81" s="484"/>
      <c r="BB81" s="484"/>
      <c r="BC81" s="484"/>
      <c r="BD81" s="484"/>
    </row>
    <row r="82" spans="1:56" s="46" customFormat="1">
      <c r="A82" s="484"/>
      <c r="B82" s="1"/>
      <c r="C82" s="484"/>
      <c r="D82" s="485"/>
      <c r="E82" s="485"/>
      <c r="F82" s="51" t="s">
        <v>215</v>
      </c>
      <c r="G82" s="485"/>
      <c r="H82" s="485"/>
      <c r="I82" s="485"/>
      <c r="J82" s="485"/>
      <c r="K82" s="485"/>
      <c r="L82" s="485"/>
      <c r="M82" s="485"/>
      <c r="N82" s="485"/>
      <c r="O82" s="485"/>
      <c r="P82" s="485"/>
      <c r="Q82" s="485"/>
      <c r="R82" s="485"/>
      <c r="S82" s="485"/>
      <c r="T82" s="485"/>
      <c r="U82" s="485"/>
      <c r="V82" s="485"/>
      <c r="W82" s="485"/>
      <c r="X82" s="485"/>
      <c r="Y82" s="485"/>
      <c r="Z82" s="485"/>
      <c r="AA82" s="485"/>
      <c r="AB82" s="485"/>
      <c r="AC82" s="485"/>
      <c r="AD82" s="485"/>
      <c r="AE82" s="485"/>
      <c r="AF82" s="485"/>
      <c r="AG82" s="485"/>
      <c r="AH82" s="486"/>
      <c r="AI82" s="486"/>
      <c r="AJ82" s="486"/>
      <c r="AK82" s="484"/>
      <c r="AL82" s="484"/>
      <c r="AM82" s="484"/>
      <c r="AN82" s="484"/>
      <c r="AO82" s="484"/>
      <c r="AP82" s="484"/>
      <c r="AQ82" s="484"/>
      <c r="AR82" s="484"/>
      <c r="AS82" s="104">
        <f>SUM(AS52:AS79)</f>
        <v>223164.66666666654</v>
      </c>
      <c r="AT82" s="484"/>
      <c r="AU82" s="484"/>
      <c r="AV82" s="484"/>
      <c r="AW82" s="484"/>
      <c r="AX82" s="484"/>
      <c r="AY82" s="484"/>
      <c r="AZ82" s="484"/>
      <c r="BA82" s="484"/>
      <c r="BB82" s="484"/>
      <c r="BC82" s="484"/>
      <c r="BD82" s="484"/>
    </row>
    <row r="83" spans="1:56" s="46" customFormat="1">
      <c r="A83" s="484"/>
      <c r="B83" s="1"/>
      <c r="C83" s="484"/>
      <c r="D83" s="485"/>
      <c r="E83" s="485"/>
      <c r="F83" s="485"/>
      <c r="G83" s="485"/>
      <c r="H83" s="485"/>
      <c r="I83" s="485"/>
      <c r="J83" s="485"/>
      <c r="K83" s="485"/>
      <c r="L83" s="485"/>
      <c r="M83" s="485"/>
      <c r="N83" s="485"/>
      <c r="O83" s="485"/>
      <c r="P83" s="485"/>
      <c r="Q83" s="485"/>
      <c r="R83" s="485"/>
      <c r="S83" s="485"/>
      <c r="T83" s="485"/>
      <c r="U83" s="485"/>
      <c r="V83" s="485"/>
      <c r="W83" s="485"/>
      <c r="X83" s="485"/>
      <c r="Y83" s="485"/>
      <c r="Z83" s="485"/>
      <c r="AA83" s="485"/>
      <c r="AB83" s="485"/>
      <c r="AC83" s="485"/>
      <c r="AD83" s="485"/>
      <c r="AE83" s="485"/>
      <c r="AF83" s="485"/>
      <c r="AG83" s="485"/>
      <c r="AH83" s="486"/>
      <c r="AI83" s="486"/>
      <c r="AJ83" s="486"/>
      <c r="AK83" s="484"/>
      <c r="AL83" s="484"/>
      <c r="AM83" s="484"/>
      <c r="AN83" s="484"/>
      <c r="AO83" s="484"/>
      <c r="AP83" s="484"/>
      <c r="AQ83" s="484"/>
      <c r="AR83" s="484"/>
      <c r="AS83" s="484"/>
      <c r="AT83" s="484"/>
      <c r="AU83" s="484"/>
      <c r="AV83" s="484"/>
      <c r="AW83" s="484"/>
      <c r="AX83" s="484"/>
      <c r="AY83" s="484"/>
      <c r="AZ83" s="484"/>
      <c r="BA83" s="484"/>
      <c r="BB83" s="484"/>
      <c r="BC83" s="484"/>
      <c r="BD83" s="484"/>
    </row>
    <row r="84" spans="1:56">
      <c r="A84" s="484"/>
      <c r="B84" s="484"/>
      <c r="C84" s="484"/>
      <c r="D84" s="485"/>
      <c r="E84" s="485"/>
      <c r="F84" s="485"/>
      <c r="G84" s="485"/>
      <c r="H84" s="485"/>
      <c r="I84" s="485"/>
      <c r="J84" s="485"/>
      <c r="K84" s="485"/>
      <c r="L84" s="485"/>
      <c r="M84" s="485"/>
      <c r="N84" s="485"/>
      <c r="O84" s="485"/>
      <c r="P84" s="485"/>
      <c r="Q84" s="485"/>
      <c r="R84" s="485"/>
      <c r="S84" s="485"/>
      <c r="T84" s="485"/>
      <c r="U84" s="485"/>
      <c r="V84" s="485"/>
      <c r="W84" s="485"/>
      <c r="X84" s="485"/>
      <c r="Y84" s="485"/>
      <c r="Z84" s="485"/>
      <c r="AA84" s="485"/>
      <c r="AB84" s="485"/>
      <c r="AC84" s="485"/>
      <c r="AD84" s="485"/>
      <c r="AE84" s="485"/>
      <c r="AF84" s="485"/>
      <c r="AG84" s="485"/>
      <c r="AH84" s="486"/>
      <c r="AI84" s="486"/>
      <c r="AJ84" s="486"/>
      <c r="AK84" s="484"/>
      <c r="AL84" s="484"/>
      <c r="AM84" s="484"/>
      <c r="AN84" s="484"/>
      <c r="AO84" s="484"/>
      <c r="AP84" s="484"/>
      <c r="AQ84" s="484"/>
      <c r="AR84" s="484"/>
      <c r="AS84" s="484"/>
      <c r="AT84" s="484"/>
      <c r="AU84" s="484"/>
      <c r="AV84" s="484"/>
      <c r="AW84" s="484"/>
      <c r="AX84" s="484"/>
      <c r="AY84" s="484"/>
      <c r="AZ84" s="484"/>
      <c r="BA84" s="484"/>
      <c r="BB84" s="484"/>
      <c r="BC84" s="484"/>
      <c r="BD84" s="484"/>
    </row>
    <row r="85" spans="1:56">
      <c r="A85" s="484"/>
      <c r="B85" s="484"/>
      <c r="C85" s="484"/>
      <c r="D85" s="485"/>
      <c r="E85" s="485"/>
      <c r="F85" s="577"/>
      <c r="G85" s="485"/>
      <c r="H85" s="485"/>
      <c r="I85" s="485"/>
      <c r="J85" s="485"/>
      <c r="K85" s="485"/>
      <c r="L85" s="485"/>
      <c r="M85" s="485"/>
      <c r="N85" s="485"/>
      <c r="O85" s="485"/>
      <c r="P85" s="485"/>
      <c r="Q85" s="485"/>
      <c r="R85" s="485"/>
      <c r="S85" s="485"/>
      <c r="T85" s="485"/>
      <c r="U85" s="485"/>
      <c r="V85" s="485"/>
      <c r="W85" s="485"/>
      <c r="X85" s="485"/>
      <c r="Y85" s="485"/>
      <c r="Z85" s="485"/>
      <c r="AA85" s="485"/>
      <c r="AB85" s="485"/>
      <c r="AC85" s="485"/>
      <c r="AD85" s="485"/>
      <c r="AE85" s="485"/>
      <c r="AF85" s="485"/>
      <c r="AG85" s="485"/>
      <c r="AH85" s="486"/>
      <c r="AI85" s="486"/>
      <c r="AJ85" s="486"/>
      <c r="AK85" s="484"/>
      <c r="AL85" s="484"/>
      <c r="AM85" s="484"/>
      <c r="AN85" s="484"/>
      <c r="AO85" s="484"/>
      <c r="AP85" s="484"/>
      <c r="AQ85" s="484"/>
      <c r="AR85" s="484"/>
      <c r="AS85" s="579"/>
      <c r="AT85" s="484"/>
      <c r="AU85" s="484"/>
      <c r="AV85" s="484"/>
      <c r="AW85" s="484"/>
      <c r="AX85" s="484"/>
      <c r="AY85" s="484"/>
      <c r="AZ85" s="484"/>
      <c r="BA85" s="484"/>
      <c r="BB85" s="484"/>
      <c r="BC85" s="484"/>
      <c r="BD85" s="484"/>
    </row>
    <row r="86" spans="1:56">
      <c r="A86" s="484"/>
      <c r="B86" s="484"/>
      <c r="C86" s="484"/>
      <c r="D86" s="485"/>
      <c r="E86" s="485"/>
      <c r="F86" s="485"/>
      <c r="G86" s="485"/>
      <c r="H86" s="485"/>
      <c r="I86" s="485"/>
      <c r="J86" s="485"/>
      <c r="K86" s="485"/>
      <c r="L86" s="485"/>
      <c r="M86" s="485"/>
      <c r="N86" s="485"/>
      <c r="O86" s="485"/>
      <c r="P86" s="485"/>
      <c r="Q86" s="485"/>
      <c r="R86" s="485"/>
      <c r="S86" s="485"/>
      <c r="T86" s="485"/>
      <c r="U86" s="485"/>
      <c r="V86" s="485"/>
      <c r="W86" s="485"/>
      <c r="X86" s="485"/>
      <c r="Y86" s="485"/>
      <c r="Z86" s="485"/>
      <c r="AA86" s="485"/>
      <c r="AB86" s="485"/>
      <c r="AC86" s="485"/>
      <c r="AD86" s="485"/>
      <c r="AE86" s="485"/>
      <c r="AF86" s="485"/>
      <c r="AG86" s="485"/>
      <c r="AH86" s="486"/>
      <c r="AI86" s="486"/>
      <c r="AJ86" s="486"/>
      <c r="AK86" s="484"/>
      <c r="AL86" s="484"/>
      <c r="AM86" s="484"/>
      <c r="AN86" s="484"/>
      <c r="AO86" s="484"/>
      <c r="AP86" s="484"/>
      <c r="AQ86" s="484"/>
      <c r="AR86" s="484"/>
      <c r="AS86" s="484"/>
      <c r="AT86" s="484"/>
      <c r="AU86" s="484"/>
      <c r="AV86" s="484"/>
      <c r="AW86" s="484"/>
      <c r="AX86" s="484"/>
      <c r="AY86" s="484"/>
      <c r="AZ86" s="484"/>
      <c r="BA86" s="484"/>
      <c r="BB86" s="484"/>
      <c r="BC86" s="484"/>
      <c r="BD86" s="484"/>
    </row>
    <row r="87" spans="1:56">
      <c r="A87" s="484"/>
      <c r="B87" s="484"/>
      <c r="C87" s="484"/>
      <c r="D87" s="485"/>
      <c r="E87" s="485"/>
      <c r="F87" s="485"/>
      <c r="G87" s="485"/>
      <c r="H87" s="485"/>
      <c r="I87" s="485"/>
      <c r="J87" s="485"/>
      <c r="K87" s="485"/>
      <c r="L87" s="485"/>
      <c r="M87" s="485"/>
      <c r="N87" s="485"/>
      <c r="O87" s="485"/>
      <c r="P87" s="485"/>
      <c r="Q87" s="485"/>
      <c r="R87" s="485"/>
      <c r="S87" s="485"/>
      <c r="T87" s="485"/>
      <c r="U87" s="485"/>
      <c r="V87" s="485"/>
      <c r="W87" s="485"/>
      <c r="X87" s="485"/>
      <c r="Y87" s="485"/>
      <c r="Z87" s="485"/>
      <c r="AA87" s="485"/>
      <c r="AB87" s="485"/>
      <c r="AC87" s="485"/>
      <c r="AD87" s="485"/>
      <c r="AE87" s="485"/>
      <c r="AF87" s="485"/>
      <c r="AG87" s="485"/>
      <c r="AH87" s="486"/>
      <c r="AI87" s="486"/>
      <c r="AJ87" s="486"/>
      <c r="AK87" s="484"/>
      <c r="AL87" s="484"/>
      <c r="AM87" s="484"/>
      <c r="AN87" s="484"/>
      <c r="AO87" s="484"/>
      <c r="AP87" s="484"/>
      <c r="AQ87" s="484"/>
      <c r="AR87" s="484"/>
      <c r="AS87" s="484"/>
      <c r="AT87" s="484"/>
      <c r="AU87" s="484"/>
      <c r="AV87" s="484"/>
      <c r="AW87" s="484"/>
      <c r="AX87" s="484"/>
      <c r="AY87" s="484"/>
      <c r="AZ87" s="484"/>
      <c r="BA87" s="484"/>
      <c r="BB87" s="484"/>
      <c r="BC87" s="484"/>
      <c r="BD87" s="484"/>
    </row>
    <row r="88" spans="1:56">
      <c r="A88" s="484"/>
      <c r="B88" s="484"/>
      <c r="C88" s="484"/>
      <c r="D88" s="485"/>
      <c r="E88" s="485"/>
      <c r="F88" s="577"/>
      <c r="G88" s="485"/>
      <c r="H88" s="485"/>
      <c r="I88" s="485"/>
      <c r="J88" s="485"/>
      <c r="K88" s="485"/>
      <c r="L88" s="485"/>
      <c r="M88" s="485"/>
      <c r="N88" s="485"/>
      <c r="O88" s="485"/>
      <c r="P88" s="485"/>
      <c r="Q88" s="485"/>
      <c r="R88" s="485"/>
      <c r="S88" s="485"/>
      <c r="T88" s="485"/>
      <c r="U88" s="485"/>
      <c r="V88" s="485"/>
      <c r="W88" s="485"/>
      <c r="X88" s="485"/>
      <c r="Y88" s="485"/>
      <c r="Z88" s="485"/>
      <c r="AA88" s="485"/>
      <c r="AB88" s="485"/>
      <c r="AC88" s="485"/>
      <c r="AD88" s="485"/>
      <c r="AE88" s="485"/>
      <c r="AF88" s="485"/>
      <c r="AG88" s="485"/>
      <c r="AH88" s="486"/>
      <c r="AI88" s="486"/>
      <c r="AJ88" s="486"/>
      <c r="AK88" s="484"/>
      <c r="AL88" s="484"/>
      <c r="AM88" s="484"/>
      <c r="AN88" s="484"/>
      <c r="AO88" s="484"/>
      <c r="AP88" s="484"/>
      <c r="AQ88" s="484"/>
      <c r="AR88" s="484"/>
      <c r="AS88" s="484"/>
      <c r="AT88" s="484"/>
      <c r="AU88" s="484"/>
      <c r="AV88" s="484"/>
      <c r="AW88" s="484"/>
      <c r="AX88" s="484"/>
      <c r="AY88" s="484"/>
      <c r="AZ88" s="484"/>
      <c r="BA88" s="484"/>
      <c r="BB88" s="484"/>
      <c r="BC88" s="484"/>
      <c r="BD88" s="484"/>
    </row>
    <row r="89" spans="1:56">
      <c r="A89" s="484"/>
      <c r="B89" s="484"/>
      <c r="C89" s="484"/>
      <c r="D89" s="485"/>
      <c r="E89" s="485"/>
      <c r="F89" s="485"/>
      <c r="G89" s="485"/>
      <c r="H89" s="485"/>
      <c r="I89" s="485"/>
      <c r="J89" s="485"/>
      <c r="K89" s="485"/>
      <c r="L89" s="485"/>
      <c r="M89" s="485"/>
      <c r="N89" s="485"/>
      <c r="O89" s="485"/>
      <c r="P89" s="485"/>
      <c r="Q89" s="485"/>
      <c r="R89" s="485"/>
      <c r="S89" s="485"/>
      <c r="T89" s="485"/>
      <c r="U89" s="485"/>
      <c r="V89" s="485"/>
      <c r="W89" s="485"/>
      <c r="X89" s="485"/>
      <c r="Y89" s="485"/>
      <c r="Z89" s="485"/>
      <c r="AA89" s="485"/>
      <c r="AB89" s="485"/>
      <c r="AC89" s="485"/>
      <c r="AD89" s="485"/>
      <c r="AE89" s="485"/>
      <c r="AF89" s="485"/>
      <c r="AG89" s="485"/>
      <c r="AH89" s="486"/>
      <c r="AI89" s="486"/>
      <c r="AJ89" s="486"/>
      <c r="AK89" s="484"/>
      <c r="AL89" s="484"/>
      <c r="AM89" s="484"/>
      <c r="AN89" s="484"/>
      <c r="AO89" s="484"/>
      <c r="AP89" s="484"/>
      <c r="AQ89" s="484"/>
      <c r="AR89" s="484"/>
      <c r="AS89" s="484"/>
      <c r="AT89" s="484"/>
      <c r="AU89" s="484"/>
      <c r="AV89" s="484"/>
      <c r="AW89" s="484"/>
      <c r="AX89" s="484"/>
      <c r="AY89" s="484"/>
      <c r="AZ89" s="484"/>
      <c r="BA89" s="484"/>
      <c r="BB89" s="484"/>
      <c r="BC89" s="484"/>
      <c r="BD89" s="484"/>
    </row>
    <row r="90" spans="1:56">
      <c r="A90" s="484"/>
      <c r="B90" s="484"/>
      <c r="C90" s="484"/>
      <c r="D90" s="485"/>
      <c r="E90" s="485"/>
      <c r="F90" s="485"/>
      <c r="G90" s="485"/>
      <c r="H90" s="485"/>
      <c r="I90" s="485"/>
      <c r="J90" s="485"/>
      <c r="K90" s="485"/>
      <c r="L90" s="485"/>
      <c r="M90" s="485"/>
      <c r="N90" s="485"/>
      <c r="O90" s="485"/>
      <c r="P90" s="485"/>
      <c r="Q90" s="485"/>
      <c r="R90" s="485"/>
      <c r="S90" s="485"/>
      <c r="T90" s="485"/>
      <c r="U90" s="485"/>
      <c r="V90" s="485"/>
      <c r="W90" s="485"/>
      <c r="X90" s="485"/>
      <c r="Y90" s="485"/>
      <c r="Z90" s="485"/>
      <c r="AA90" s="485"/>
      <c r="AB90" s="485"/>
      <c r="AC90" s="485"/>
      <c r="AD90" s="485"/>
      <c r="AE90" s="485"/>
      <c r="AF90" s="485"/>
      <c r="AG90" s="485"/>
      <c r="AH90" s="486"/>
      <c r="AI90" s="486"/>
      <c r="AJ90" s="486"/>
      <c r="AK90" s="484"/>
      <c r="AL90" s="484"/>
      <c r="AM90" s="484"/>
      <c r="AN90" s="484"/>
      <c r="AO90" s="484"/>
      <c r="AP90" s="484"/>
      <c r="AQ90" s="484"/>
      <c r="AR90" s="484"/>
      <c r="AS90" s="484"/>
      <c r="AT90" s="484"/>
      <c r="AU90" s="484"/>
      <c r="AV90" s="484"/>
      <c r="AW90" s="484"/>
      <c r="AX90" s="484"/>
      <c r="AY90" s="484"/>
      <c r="AZ90" s="484"/>
      <c r="BA90" s="484"/>
      <c r="BB90" s="484"/>
      <c r="BC90" s="484"/>
      <c r="BD90" s="484"/>
    </row>
    <row r="91" spans="1:56">
      <c r="A91" s="484"/>
      <c r="B91" s="484"/>
      <c r="C91" s="484"/>
      <c r="D91" s="485"/>
      <c r="E91" s="485"/>
      <c r="F91" s="485"/>
      <c r="G91" s="485"/>
      <c r="H91" s="485"/>
      <c r="I91" s="485"/>
      <c r="J91" s="485"/>
      <c r="K91" s="485"/>
      <c r="L91" s="485"/>
      <c r="M91" s="485"/>
      <c r="N91" s="485"/>
      <c r="O91" s="485"/>
      <c r="P91" s="485"/>
      <c r="Q91" s="485"/>
      <c r="R91" s="485"/>
      <c r="S91" s="485"/>
      <c r="T91" s="485"/>
      <c r="U91" s="485"/>
      <c r="V91" s="485"/>
      <c r="W91" s="485"/>
      <c r="X91" s="485"/>
      <c r="Y91" s="485"/>
      <c r="Z91" s="485"/>
      <c r="AA91" s="485"/>
      <c r="AB91" s="485"/>
      <c r="AC91" s="485"/>
      <c r="AD91" s="485"/>
      <c r="AE91" s="485"/>
      <c r="AF91" s="485"/>
      <c r="AG91" s="485"/>
      <c r="AH91" s="486"/>
      <c r="AI91" s="486"/>
      <c r="AJ91" s="486"/>
      <c r="AK91" s="484"/>
      <c r="AL91" s="484"/>
      <c r="AM91" s="484"/>
      <c r="AN91" s="484"/>
      <c r="AO91" s="484"/>
      <c r="AP91" s="484"/>
      <c r="AQ91" s="484"/>
      <c r="AR91" s="484"/>
      <c r="AS91" s="484"/>
      <c r="AT91" s="484"/>
      <c r="AU91" s="484"/>
      <c r="AV91" s="484"/>
      <c r="AW91" s="484"/>
      <c r="AX91" s="484"/>
      <c r="AY91" s="484"/>
      <c r="AZ91" s="484"/>
      <c r="BA91" s="484"/>
      <c r="BB91" s="484"/>
      <c r="BC91" s="484"/>
      <c r="BD91" s="484"/>
    </row>
  </sheetData>
  <mergeCells count="3">
    <mergeCell ref="M48:Q48"/>
    <mergeCell ref="Z48:AF48"/>
    <mergeCell ref="AG48:AK48"/>
  </mergeCells>
  <hyperlinks>
    <hyperlink ref="B5" r:id="rId1" xr:uid="{BE1CC37F-9225-4BEC-933F-F611E8BD2D87}"/>
    <hyperlink ref="B8" r:id="rId2" xr:uid="{1B957EE0-F1EF-4989-BC61-8475ABF8193C}"/>
    <hyperlink ref="B9" r:id="rId3" xr:uid="{F6ECAC09-5AFA-495D-9E33-7F01FFD7C136}"/>
    <hyperlink ref="F44" r:id="rId4" xr:uid="{C8C3AC1C-6B5D-476C-A896-D44D8E2DDEC7}"/>
    <hyperlink ref="F81" r:id="rId5" xr:uid="{E15E65FD-8938-4802-843A-26A0F0AD7645}"/>
    <hyperlink ref="F45" r:id="rId6" xr:uid="{1406FB6C-3A9E-40EC-894C-54CA514568DE}"/>
    <hyperlink ref="F82" r:id="rId7" xr:uid="{3712D538-CB55-4A2A-9CEB-579C734E963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8A6DD-FDBA-4D6E-AF47-8FE0255EB573}">
  <dimension ref="A1:B4"/>
  <sheetViews>
    <sheetView workbookViewId="0">
      <selection activeCell="B10" sqref="B10"/>
    </sheetView>
  </sheetViews>
  <sheetFormatPr baseColWidth="10" defaultColWidth="8.83203125" defaultRowHeight="15"/>
  <cols>
    <col min="1" max="1" width="40.33203125" customWidth="1"/>
    <col min="2" max="2" width="13.83203125" bestFit="1" customWidth="1"/>
  </cols>
  <sheetData>
    <row r="1" spans="1:2">
      <c r="A1" s="322" t="s">
        <v>222</v>
      </c>
      <c r="B1" t="s">
        <v>223</v>
      </c>
    </row>
    <row r="2" spans="1:2">
      <c r="A2" s="322" t="s">
        <v>224</v>
      </c>
      <c r="B2" t="s">
        <v>225</v>
      </c>
    </row>
    <row r="3" spans="1:2">
      <c r="A3" s="322" t="s">
        <v>226</v>
      </c>
      <c r="B3" t="s">
        <v>227</v>
      </c>
    </row>
    <row r="4" spans="1:2">
      <c r="A4" s="322" t="s">
        <v>228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CB6F8-EA6E-4FE0-BDC2-402DA809FEFB}">
  <dimension ref="A2:S280"/>
  <sheetViews>
    <sheetView topLeftCell="A257" zoomScale="120" zoomScaleNormal="120" workbookViewId="0">
      <selection activeCell="H269" sqref="H269:M280"/>
    </sheetView>
  </sheetViews>
  <sheetFormatPr baseColWidth="10" defaultColWidth="9.1640625" defaultRowHeight="15"/>
  <cols>
    <col min="1" max="1" width="9.1640625" style="159"/>
    <col min="2" max="2" width="13.6640625" style="159" customWidth="1"/>
    <col min="3" max="3" width="9.1640625" style="159"/>
    <col min="4" max="4" width="12.6640625" style="159" customWidth="1"/>
    <col min="5" max="7" width="9.1640625" style="159"/>
    <col min="8" max="8" width="49.83203125" style="159" customWidth="1"/>
    <col min="9" max="9" width="20.33203125" style="159" customWidth="1"/>
    <col min="10" max="10" width="13.6640625" style="159" customWidth="1"/>
    <col min="11" max="11" width="16.33203125" style="159" customWidth="1"/>
    <col min="12" max="12" width="16.5" style="159" customWidth="1"/>
    <col min="13" max="13" width="15.5" style="159" customWidth="1"/>
    <col min="14" max="14" width="18.6640625" style="159" customWidth="1"/>
    <col min="15" max="15" width="11.33203125" style="159" customWidth="1"/>
    <col min="16" max="16384" width="9.1640625" style="159"/>
  </cols>
  <sheetData>
    <row r="2" spans="1:9" s="391" customFormat="1">
      <c r="A2" s="390" t="s">
        <v>229</v>
      </c>
    </row>
    <row r="3" spans="1:9">
      <c r="A3" s="392"/>
    </row>
    <row r="4" spans="1:9">
      <c r="A4" s="392"/>
    </row>
    <row r="5" spans="1:9" ht="16" thickBot="1">
      <c r="A5" s="292"/>
      <c r="H5" s="191" t="s">
        <v>230</v>
      </c>
    </row>
    <row r="6" spans="1:9">
      <c r="H6" s="160"/>
      <c r="I6" s="161" t="s">
        <v>231</v>
      </c>
    </row>
    <row r="7" spans="1:9">
      <c r="H7" s="162"/>
      <c r="I7" s="163" t="s">
        <v>232</v>
      </c>
    </row>
    <row r="8" spans="1:9" ht="16">
      <c r="H8" s="162" t="s">
        <v>233</v>
      </c>
      <c r="I8" s="164" t="s">
        <v>27</v>
      </c>
    </row>
    <row r="9" spans="1:9" ht="16" thickBot="1">
      <c r="H9" s="165"/>
      <c r="I9" s="282" t="s">
        <v>234</v>
      </c>
    </row>
    <row r="10" spans="1:9">
      <c r="H10" s="160">
        <v>2020</v>
      </c>
      <c r="I10" s="243">
        <f>SUMIFS('Data input'!$J$9:$J$15,'Data input'!$I$9:$I$15,H10)</f>
        <v>0</v>
      </c>
    </row>
    <row r="11" spans="1:9">
      <c r="H11" s="162">
        <v>2021</v>
      </c>
      <c r="I11" s="244">
        <f>SUMIFS('Data input'!$J$9:$J$15,'Data input'!$I$9:$I$15,H11)</f>
        <v>0</v>
      </c>
    </row>
    <row r="12" spans="1:9">
      <c r="H12" s="162">
        <v>2022</v>
      </c>
      <c r="I12" s="244">
        <f>SUMIFS('Data input'!$J$9:$J$15,'Data input'!$I$9:$I$15,H12)</f>
        <v>0</v>
      </c>
    </row>
    <row r="13" spans="1:9">
      <c r="H13" s="162">
        <v>2023</v>
      </c>
      <c r="I13" s="244">
        <f>SUMIFS('Data input'!$J$9:$J$15,'Data input'!$I$9:$I$15,H13)</f>
        <v>0</v>
      </c>
    </row>
    <row r="14" spans="1:9">
      <c r="H14" s="162">
        <v>2024</v>
      </c>
      <c r="I14" s="244">
        <f>SUMIFS('Data input'!$J$9:$J$15,'Data input'!$I$9:$I$15,H14)</f>
        <v>0</v>
      </c>
    </row>
    <row r="15" spans="1:9">
      <c r="H15" s="162">
        <v>2025</v>
      </c>
      <c r="I15" s="244">
        <f>SUMIFS('Data input'!$J$9:$J$15,'Data input'!$I$9:$I$15,H15)</f>
        <v>0</v>
      </c>
    </row>
    <row r="16" spans="1:9" ht="16" thickBot="1">
      <c r="H16" s="165">
        <v>2026</v>
      </c>
      <c r="I16" s="245">
        <f>SUMIFS('Data input'!$J$9:$J$15,'Data input'!$I$9:$I$15,H16)</f>
        <v>0</v>
      </c>
    </row>
    <row r="18" spans="1:12" s="391" customFormat="1">
      <c r="A18" s="390" t="s">
        <v>235</v>
      </c>
    </row>
    <row r="20" spans="1:12" ht="16" thickBot="1">
      <c r="A20" s="292"/>
      <c r="D20" s="292"/>
      <c r="H20" s="159" t="s">
        <v>236</v>
      </c>
    </row>
    <row r="21" spans="1:12">
      <c r="H21" s="160"/>
      <c r="I21" s="166"/>
      <c r="J21" s="166"/>
      <c r="K21" s="167" t="s">
        <v>231</v>
      </c>
    </row>
    <row r="22" spans="1:12">
      <c r="H22" s="162"/>
      <c r="I22" s="174"/>
      <c r="J22" s="174"/>
      <c r="K22" s="168" t="s">
        <v>12</v>
      </c>
    </row>
    <row r="23" spans="1:12" ht="17">
      <c r="H23" s="162" t="s">
        <v>233</v>
      </c>
      <c r="I23" s="169" t="s">
        <v>16</v>
      </c>
      <c r="J23" s="588" t="s">
        <v>108</v>
      </c>
      <c r="K23" s="170" t="s">
        <v>237</v>
      </c>
    </row>
    <row r="24" spans="1:12" ht="17">
      <c r="H24" s="165"/>
      <c r="I24" s="169" t="s">
        <v>17</v>
      </c>
      <c r="J24" s="169" t="s">
        <v>11</v>
      </c>
      <c r="K24" s="170" t="s">
        <v>11</v>
      </c>
    </row>
    <row r="25" spans="1:12">
      <c r="H25" s="171">
        <v>2020</v>
      </c>
      <c r="I25" s="286">
        <f>SUMIFS($O$39:$O$94,$H$39:$H$94,H25)</f>
        <v>747.9122000000001</v>
      </c>
      <c r="J25" s="232">
        <f>SUMIFS($N$110:$N$116,$H$110:$H$116,H25)</f>
        <v>296.22991397516671</v>
      </c>
      <c r="K25" s="287">
        <f>(I25)*(44/12)-J25</f>
        <v>2446.1148193581671</v>
      </c>
      <c r="L25" s="181"/>
    </row>
    <row r="26" spans="1:12">
      <c r="H26" s="171">
        <v>2021</v>
      </c>
      <c r="I26" s="288">
        <f t="shared" ref="I26:I31" si="0">SUMIFS($O$39:$O$94,$H$39:$H$94,H26)</f>
        <v>767.54100000000005</v>
      </c>
      <c r="J26" s="174">
        <f t="shared" ref="J26:J31" si="1">SUMIFS($N$110:$N$116,$H$110:$H$116,H26)</f>
        <v>318.10311107206678</v>
      </c>
      <c r="K26" s="289">
        <f t="shared" ref="K26:K31" si="2">(I26)*(44/12)-J26</f>
        <v>2496.2138889279331</v>
      </c>
      <c r="L26" s="181"/>
    </row>
    <row r="27" spans="1:12">
      <c r="H27" s="171">
        <v>2022</v>
      </c>
      <c r="I27" s="288">
        <f t="shared" si="0"/>
        <v>787.31460000000004</v>
      </c>
      <c r="J27" s="174">
        <f t="shared" si="1"/>
        <v>353.94327168460012</v>
      </c>
      <c r="K27" s="289">
        <f t="shared" si="2"/>
        <v>2532.8769283154002</v>
      </c>
      <c r="L27" s="181"/>
    </row>
    <row r="28" spans="1:12">
      <c r="H28" s="171">
        <v>2023</v>
      </c>
      <c r="I28" s="288">
        <f t="shared" si="0"/>
        <v>807.23299999999995</v>
      </c>
      <c r="J28" s="174">
        <f t="shared" si="1"/>
        <v>318.86549755366678</v>
      </c>
      <c r="K28" s="289">
        <f t="shared" si="2"/>
        <v>2640.9888357796663</v>
      </c>
      <c r="L28" s="181"/>
    </row>
    <row r="29" spans="1:12">
      <c r="H29" s="171">
        <v>2024</v>
      </c>
      <c r="I29" s="288">
        <f t="shared" si="0"/>
        <v>827.2962</v>
      </c>
      <c r="J29" s="174">
        <f t="shared" si="1"/>
        <v>257.67674780306692</v>
      </c>
      <c r="K29" s="289">
        <f t="shared" si="2"/>
        <v>2775.7426521969328</v>
      </c>
      <c r="L29" s="181"/>
    </row>
    <row r="30" spans="1:12">
      <c r="H30" s="171">
        <v>2025</v>
      </c>
      <c r="I30" s="288">
        <f t="shared" si="0"/>
        <v>847.50420000000008</v>
      </c>
      <c r="J30" s="174">
        <f t="shared" si="1"/>
        <v>316.41715192490045</v>
      </c>
      <c r="K30" s="289">
        <f t="shared" si="2"/>
        <v>2791.0982480750999</v>
      </c>
      <c r="L30" s="181"/>
    </row>
    <row r="31" spans="1:12">
      <c r="H31" s="175">
        <v>2026</v>
      </c>
      <c r="I31" s="290">
        <f t="shared" si="0"/>
        <v>867.85700000000008</v>
      </c>
      <c r="J31" s="233">
        <f t="shared" si="1"/>
        <v>448.1277759543342</v>
      </c>
      <c r="K31" s="291">
        <f t="shared" si="2"/>
        <v>2734.0145573789996</v>
      </c>
      <c r="L31" s="181"/>
    </row>
    <row r="32" spans="1:12">
      <c r="I32" s="181"/>
      <c r="J32" s="181"/>
      <c r="K32" s="181"/>
    </row>
    <row r="34" spans="2:19" ht="16" thickBot="1">
      <c r="B34" s="292"/>
      <c r="H34" s="181" t="s">
        <v>238</v>
      </c>
      <c r="I34" s="181"/>
      <c r="J34" s="181"/>
      <c r="K34" s="181"/>
    </row>
    <row r="35" spans="2:19">
      <c r="G35" s="181"/>
      <c r="H35" s="221"/>
      <c r="I35" s="195"/>
      <c r="J35" s="195"/>
      <c r="K35" s="227"/>
      <c r="L35" s="180"/>
      <c r="M35" s="180"/>
      <c r="N35" s="180"/>
      <c r="O35" s="167" t="s">
        <v>231</v>
      </c>
    </row>
    <row r="36" spans="2:19">
      <c r="G36" s="181"/>
      <c r="H36" s="219"/>
      <c r="I36" s="181"/>
      <c r="J36" s="181"/>
      <c r="K36" s="228"/>
      <c r="L36" s="181"/>
      <c r="M36" s="181"/>
      <c r="N36" s="181"/>
      <c r="O36" s="168" t="s">
        <v>33</v>
      </c>
      <c r="P36" s="395" t="s">
        <v>239</v>
      </c>
      <c r="Q36" s="386"/>
      <c r="R36" s="386"/>
      <c r="S36" s="386"/>
    </row>
    <row r="37" spans="2:19" ht="32">
      <c r="G37" s="181"/>
      <c r="H37" s="219" t="s">
        <v>233</v>
      </c>
      <c r="I37" s="203" t="s">
        <v>240</v>
      </c>
      <c r="J37" s="95" t="s">
        <v>241</v>
      </c>
      <c r="K37" s="229" t="s">
        <v>242</v>
      </c>
      <c r="L37" s="145" t="s">
        <v>64</v>
      </c>
      <c r="M37" s="183" t="s">
        <v>31</v>
      </c>
      <c r="N37" s="145" t="s">
        <v>112</v>
      </c>
      <c r="O37" s="170" t="s">
        <v>16</v>
      </c>
    </row>
    <row r="38" spans="2:19" ht="16" thickBot="1">
      <c r="G38" s="181"/>
      <c r="H38" s="219"/>
      <c r="I38" s="181"/>
      <c r="J38" s="181"/>
      <c r="K38" s="228"/>
      <c r="L38" s="145" t="s">
        <v>17</v>
      </c>
      <c r="M38" s="145" t="s">
        <v>32</v>
      </c>
      <c r="N38" s="181"/>
      <c r="O38" s="170" t="s">
        <v>17</v>
      </c>
    </row>
    <row r="39" spans="2:19">
      <c r="G39" s="181"/>
      <c r="H39" s="205">
        <v>2020</v>
      </c>
      <c r="I39" s="230" t="s">
        <v>172</v>
      </c>
      <c r="J39" s="120" t="s">
        <v>173</v>
      </c>
      <c r="K39" s="226" t="s">
        <v>243</v>
      </c>
      <c r="L39" s="221">
        <f>SUMIFS('Data input'!$M$23:$M$78,'Data input'!$I$23:$I$78,H39,'Data input'!$J$23:$J$78,I39,'Data input'!$K$23:$K$78,J39,'Data input'!$L$23:$L$78,K39)</f>
        <v>200</v>
      </c>
      <c r="M39" s="195" cm="1">
        <f t="array" ref="M39">_xlfn.XLOOKUP(H39&amp;I39&amp;K39,'Data input'!$I$83:$I$110&amp;'Data input'!$J$83:$J$110&amp;'Data input'!$K$83:$K$110,'Data input'!$L$83:$L$110)</f>
        <v>0.35</v>
      </c>
      <c r="N39" s="195">
        <f>_xlfn.XLOOKUP(J39,'Data input'!$I$115:$I$116,'Data input'!$J$115:$J$116)</f>
        <v>0.89</v>
      </c>
      <c r="O39" s="287">
        <f>L39*M39*N39</f>
        <v>62.300000000000004</v>
      </c>
      <c r="P39" s="181"/>
    </row>
    <row r="40" spans="2:19">
      <c r="G40" s="181"/>
      <c r="H40" s="207">
        <v>2021</v>
      </c>
      <c r="I40" s="33" t="s">
        <v>172</v>
      </c>
      <c r="J40" s="12" t="s">
        <v>173</v>
      </c>
      <c r="K40" s="157" t="s">
        <v>243</v>
      </c>
      <c r="L40" s="219">
        <f>SUMIFS('Data input'!$M$23:$M$78,'Data input'!$I$23:$I$78,H40,'Data input'!$J$23:$J$78,I40,'Data input'!$K$23:$K$78,J40,'Data input'!$L$23:$L$78,K40)</f>
        <v>201</v>
      </c>
      <c r="M40" s="181" cm="1">
        <f t="array" ref="M40">_xlfn.XLOOKUP(H40&amp;I40&amp;K40,'Data input'!$I$83:$I$110&amp;'Data input'!$J$83:$J$110&amp;'Data input'!$K$83:$K$110,'Data input'!$L$83:$L$110)</f>
        <v>0.36</v>
      </c>
      <c r="N40" s="181">
        <f>_xlfn.XLOOKUP(J40,'Data input'!$I$115:$I$116,'Data input'!$J$115:$J$116)</f>
        <v>0.89</v>
      </c>
      <c r="O40" s="289">
        <f t="shared" ref="O40" si="3">L40*M40*N40</f>
        <v>64.400400000000005</v>
      </c>
      <c r="P40" s="181"/>
    </row>
    <row r="41" spans="2:19">
      <c r="G41" s="181"/>
      <c r="H41" s="207">
        <v>2022</v>
      </c>
      <c r="I41" s="33" t="s">
        <v>172</v>
      </c>
      <c r="J41" s="12" t="s">
        <v>173</v>
      </c>
      <c r="K41" s="157" t="s">
        <v>243</v>
      </c>
      <c r="L41" s="219">
        <f>SUMIFS('Data input'!$M$23:$M$78,'Data input'!$I$23:$I$78,H41,'Data input'!$J$23:$J$78,I41,'Data input'!$K$23:$K$78,J41,'Data input'!$L$23:$L$78,K41)</f>
        <v>202</v>
      </c>
      <c r="M41" s="181" cm="1">
        <f t="array" ref="M41">_xlfn.XLOOKUP(H41&amp;I41&amp;K41,'Data input'!$I$83:$I$110&amp;'Data input'!$J$83:$J$110&amp;'Data input'!$K$83:$K$110,'Data input'!$L$83:$L$110)</f>
        <v>0.37</v>
      </c>
      <c r="N41" s="181">
        <f>_xlfn.XLOOKUP(J41,'Data input'!$I$115:$I$116,'Data input'!$J$115:$J$116)</f>
        <v>0.89</v>
      </c>
      <c r="O41" s="289">
        <f t="shared" ref="O41:O72" si="4">L41*M41*N41</f>
        <v>66.518599999999992</v>
      </c>
      <c r="P41" s="181"/>
    </row>
    <row r="42" spans="2:19">
      <c r="G42" s="181"/>
      <c r="H42" s="207">
        <v>2023</v>
      </c>
      <c r="I42" s="33" t="s">
        <v>172</v>
      </c>
      <c r="J42" s="12" t="s">
        <v>173</v>
      </c>
      <c r="K42" s="157" t="s">
        <v>243</v>
      </c>
      <c r="L42" s="219">
        <f>SUMIFS('Data input'!$M$23:$M$78,'Data input'!$I$23:$I$78,H42,'Data input'!$J$23:$J$78,I42,'Data input'!$K$23:$K$78,J42,'Data input'!$L$23:$L$78,K42)</f>
        <v>203</v>
      </c>
      <c r="M42" s="181" cm="1">
        <f t="array" ref="M42">_xlfn.XLOOKUP(H42&amp;I42&amp;K42,'Data input'!$I$83:$I$110&amp;'Data input'!$J$83:$J$110&amp;'Data input'!$K$83:$K$110,'Data input'!$L$83:$L$110)</f>
        <v>0.38</v>
      </c>
      <c r="N42" s="181">
        <f>_xlfn.XLOOKUP(J42,'Data input'!$I$115:$I$116,'Data input'!$J$115:$J$116)</f>
        <v>0.89</v>
      </c>
      <c r="O42" s="289">
        <f t="shared" si="4"/>
        <v>68.654600000000002</v>
      </c>
      <c r="P42" s="181"/>
    </row>
    <row r="43" spans="2:19">
      <c r="G43" s="181"/>
      <c r="H43" s="207">
        <v>2024</v>
      </c>
      <c r="I43" s="33" t="s">
        <v>172</v>
      </c>
      <c r="J43" s="12" t="s">
        <v>173</v>
      </c>
      <c r="K43" s="157" t="s">
        <v>243</v>
      </c>
      <c r="L43" s="219">
        <f>SUMIFS('Data input'!$M$23:$M$78,'Data input'!$I$23:$I$78,H43,'Data input'!$J$23:$J$78,I43,'Data input'!$K$23:$K$78,J43,'Data input'!$L$23:$L$78,K43)</f>
        <v>204</v>
      </c>
      <c r="M43" s="181" cm="1">
        <f t="array" ref="M43">_xlfn.XLOOKUP(H43&amp;I43&amp;K43,'Data input'!$I$83:$I$110&amp;'Data input'!$J$83:$J$110&amp;'Data input'!$K$83:$K$110,'Data input'!$L$83:$L$110)</f>
        <v>0.39</v>
      </c>
      <c r="N43" s="181">
        <f>_xlfn.XLOOKUP(J43,'Data input'!$I$115:$I$116,'Data input'!$J$115:$J$116)</f>
        <v>0.89</v>
      </c>
      <c r="O43" s="289">
        <f t="shared" si="4"/>
        <v>70.808400000000006</v>
      </c>
      <c r="P43" s="181"/>
    </row>
    <row r="44" spans="2:19">
      <c r="G44" s="181"/>
      <c r="H44" s="207">
        <v>2025</v>
      </c>
      <c r="I44" s="33" t="s">
        <v>172</v>
      </c>
      <c r="J44" s="12" t="s">
        <v>173</v>
      </c>
      <c r="K44" s="157" t="s">
        <v>243</v>
      </c>
      <c r="L44" s="219">
        <f>SUMIFS('Data input'!$M$23:$M$78,'Data input'!$I$23:$I$78,H44,'Data input'!$J$23:$J$78,I44,'Data input'!$K$23:$K$78,J44,'Data input'!$L$23:$L$78,K44)</f>
        <v>205</v>
      </c>
      <c r="M44" s="181" cm="1">
        <f t="array" ref="M44">_xlfn.XLOOKUP(H44&amp;I44&amp;K44,'Data input'!$I$83:$I$110&amp;'Data input'!$J$83:$J$110&amp;'Data input'!$K$83:$K$110,'Data input'!$L$83:$L$110)</f>
        <v>0.4</v>
      </c>
      <c r="N44" s="181">
        <f>_xlfn.XLOOKUP(J44,'Data input'!$I$115:$I$116,'Data input'!$J$115:$J$116)</f>
        <v>0.89</v>
      </c>
      <c r="O44" s="289">
        <f t="shared" si="4"/>
        <v>72.98</v>
      </c>
      <c r="P44" s="181"/>
    </row>
    <row r="45" spans="2:19">
      <c r="G45" s="181"/>
      <c r="H45" s="207">
        <v>2026</v>
      </c>
      <c r="I45" s="33" t="s">
        <v>172</v>
      </c>
      <c r="J45" s="12" t="s">
        <v>173</v>
      </c>
      <c r="K45" s="157" t="s">
        <v>243</v>
      </c>
      <c r="L45" s="219">
        <f>SUMIFS('Data input'!$M$23:$M$78,'Data input'!$I$23:$I$78,H45,'Data input'!$J$23:$J$78,I45,'Data input'!$K$23:$K$78,J45,'Data input'!$L$23:$L$78,K45)</f>
        <v>206</v>
      </c>
      <c r="M45" s="181" cm="1">
        <f t="array" ref="M45">_xlfn.XLOOKUP(H45&amp;I45&amp;K45,'Data input'!$I$83:$I$110&amp;'Data input'!$J$83:$J$110&amp;'Data input'!$K$83:$K$110,'Data input'!$L$83:$L$110)</f>
        <v>0.41</v>
      </c>
      <c r="N45" s="181">
        <f>_xlfn.XLOOKUP(J45,'Data input'!$I$115:$I$116,'Data input'!$J$115:$J$116)</f>
        <v>0.89</v>
      </c>
      <c r="O45" s="289">
        <f t="shared" si="4"/>
        <v>75.169399999999996</v>
      </c>
      <c r="P45" s="181"/>
    </row>
    <row r="46" spans="2:19">
      <c r="G46" s="181"/>
      <c r="H46" s="207">
        <v>2020</v>
      </c>
      <c r="I46" s="204" t="s">
        <v>175</v>
      </c>
      <c r="J46" s="12" t="s">
        <v>173</v>
      </c>
      <c r="K46" s="157" t="s">
        <v>243</v>
      </c>
      <c r="L46" s="219">
        <f>SUMIFS('Data input'!$M$23:$M$78,'Data input'!$I$23:$I$78,H46,'Data input'!$J$23:$J$78,I46,'Data input'!$K$23:$K$78,J46,'Data input'!$L$23:$L$78,K46)</f>
        <v>207</v>
      </c>
      <c r="M46" s="181" cm="1">
        <f t="array" ref="M46">_xlfn.XLOOKUP(H46&amp;I46&amp;K46,'Data input'!$I$83:$I$110&amp;'Data input'!$J$83:$J$110&amp;'Data input'!$K$83:$K$110,'Data input'!$L$83:$L$110)</f>
        <v>0.42</v>
      </c>
      <c r="N46" s="181">
        <f>_xlfn.XLOOKUP(J46,'Data input'!$I$115:$I$116,'Data input'!$J$115:$J$116)</f>
        <v>0.89</v>
      </c>
      <c r="O46" s="289">
        <f t="shared" si="4"/>
        <v>77.376599999999996</v>
      </c>
      <c r="P46" s="181"/>
    </row>
    <row r="47" spans="2:19">
      <c r="G47" s="181"/>
      <c r="H47" s="207">
        <v>2021</v>
      </c>
      <c r="I47" s="204" t="s">
        <v>175</v>
      </c>
      <c r="J47" s="12" t="s">
        <v>173</v>
      </c>
      <c r="K47" s="157" t="s">
        <v>243</v>
      </c>
      <c r="L47" s="219">
        <f>SUMIFS('Data input'!$M$23:$M$78,'Data input'!$I$23:$I$78,H47,'Data input'!$J$23:$J$78,I47,'Data input'!$K$23:$K$78,J47,'Data input'!$L$23:$L$78,K47)</f>
        <v>208</v>
      </c>
      <c r="M47" s="181" cm="1">
        <f t="array" ref="M47">_xlfn.XLOOKUP(H47&amp;I47&amp;K47,'Data input'!$I$83:$I$110&amp;'Data input'!$J$83:$J$110&amp;'Data input'!$K$83:$K$110,'Data input'!$L$83:$L$110)</f>
        <v>0.43</v>
      </c>
      <c r="N47" s="181">
        <f>_xlfn.XLOOKUP(J47,'Data input'!$I$115:$I$116,'Data input'!$J$115:$J$116)</f>
        <v>0.89</v>
      </c>
      <c r="O47" s="289">
        <f t="shared" si="4"/>
        <v>79.601600000000005</v>
      </c>
      <c r="P47" s="181"/>
    </row>
    <row r="48" spans="2:19">
      <c r="G48" s="181"/>
      <c r="H48" s="207">
        <v>2022</v>
      </c>
      <c r="I48" s="204" t="s">
        <v>175</v>
      </c>
      <c r="J48" s="12" t="s">
        <v>173</v>
      </c>
      <c r="K48" s="157" t="s">
        <v>243</v>
      </c>
      <c r="L48" s="219">
        <f>SUMIFS('Data input'!$M$23:$M$78,'Data input'!$I$23:$I$78,H48,'Data input'!$J$23:$J$78,I48,'Data input'!$K$23:$K$78,J48,'Data input'!$L$23:$L$78,K48)</f>
        <v>209</v>
      </c>
      <c r="M48" s="181" cm="1">
        <f t="array" ref="M48">_xlfn.XLOOKUP(H48&amp;I48&amp;K48,'Data input'!$I$83:$I$110&amp;'Data input'!$J$83:$J$110&amp;'Data input'!$K$83:$K$110,'Data input'!$L$83:$L$110)</f>
        <v>0.44</v>
      </c>
      <c r="N48" s="181">
        <f>_xlfn.XLOOKUP(J48,'Data input'!$I$115:$I$116,'Data input'!$J$115:$J$116)</f>
        <v>0.89</v>
      </c>
      <c r="O48" s="289">
        <f t="shared" si="4"/>
        <v>81.844399999999993</v>
      </c>
      <c r="P48" s="181"/>
    </row>
    <row r="49" spans="7:16">
      <c r="G49" s="181"/>
      <c r="H49" s="207">
        <v>2023</v>
      </c>
      <c r="I49" s="204" t="s">
        <v>175</v>
      </c>
      <c r="J49" s="12" t="s">
        <v>173</v>
      </c>
      <c r="K49" s="157" t="s">
        <v>243</v>
      </c>
      <c r="L49" s="219">
        <f>SUMIFS('Data input'!$M$23:$M$78,'Data input'!$I$23:$I$78,H49,'Data input'!$J$23:$J$78,I49,'Data input'!$K$23:$K$78,J49,'Data input'!$L$23:$L$78,K49)</f>
        <v>210</v>
      </c>
      <c r="M49" s="181" cm="1">
        <f t="array" ref="M49">_xlfn.XLOOKUP(H49&amp;I49&amp;K49,'Data input'!$I$83:$I$110&amp;'Data input'!$J$83:$J$110&amp;'Data input'!$K$83:$K$110,'Data input'!$L$83:$L$110)</f>
        <v>0.45</v>
      </c>
      <c r="N49" s="181">
        <f>_xlfn.XLOOKUP(J49,'Data input'!$I$115:$I$116,'Data input'!$J$115:$J$116)</f>
        <v>0.89</v>
      </c>
      <c r="O49" s="289">
        <f t="shared" si="4"/>
        <v>84.105000000000004</v>
      </c>
      <c r="P49" s="181"/>
    </row>
    <row r="50" spans="7:16">
      <c r="G50" s="181"/>
      <c r="H50" s="207">
        <v>2024</v>
      </c>
      <c r="I50" s="204" t="s">
        <v>175</v>
      </c>
      <c r="J50" s="12" t="s">
        <v>173</v>
      </c>
      <c r="K50" s="157" t="s">
        <v>243</v>
      </c>
      <c r="L50" s="219">
        <f>SUMIFS('Data input'!$M$23:$M$78,'Data input'!$I$23:$I$78,H50,'Data input'!$J$23:$J$78,I50,'Data input'!$K$23:$K$78,J50,'Data input'!$L$23:$L$78,K50)</f>
        <v>211</v>
      </c>
      <c r="M50" s="181" cm="1">
        <f t="array" ref="M50">_xlfn.XLOOKUP(H50&amp;I50&amp;K50,'Data input'!$I$83:$I$110&amp;'Data input'!$J$83:$J$110&amp;'Data input'!$K$83:$K$110,'Data input'!$L$83:$L$110)</f>
        <v>0.46</v>
      </c>
      <c r="N50" s="181">
        <f>_xlfn.XLOOKUP(J50,'Data input'!$I$115:$I$116,'Data input'!$J$115:$J$116)</f>
        <v>0.89</v>
      </c>
      <c r="O50" s="289">
        <f t="shared" si="4"/>
        <v>86.383400000000009</v>
      </c>
      <c r="P50" s="181"/>
    </row>
    <row r="51" spans="7:16">
      <c r="G51" s="181"/>
      <c r="H51" s="207">
        <v>2025</v>
      </c>
      <c r="I51" s="204" t="s">
        <v>175</v>
      </c>
      <c r="J51" s="12" t="s">
        <v>173</v>
      </c>
      <c r="K51" s="157" t="s">
        <v>243</v>
      </c>
      <c r="L51" s="219">
        <f>SUMIFS('Data input'!$M$23:$M$78,'Data input'!$I$23:$I$78,H51,'Data input'!$J$23:$J$78,I51,'Data input'!$K$23:$K$78,J51,'Data input'!$L$23:$L$78,K51)</f>
        <v>212</v>
      </c>
      <c r="M51" s="181" cm="1">
        <f t="array" ref="M51">_xlfn.XLOOKUP(H51&amp;I51&amp;K51,'Data input'!$I$83:$I$110&amp;'Data input'!$J$83:$J$110&amp;'Data input'!$K$83:$K$110,'Data input'!$L$83:$L$110)</f>
        <v>0.47</v>
      </c>
      <c r="N51" s="181">
        <f>_xlfn.XLOOKUP(J51,'Data input'!$I$115:$I$116,'Data input'!$J$115:$J$116)</f>
        <v>0.89</v>
      </c>
      <c r="O51" s="289">
        <f t="shared" si="4"/>
        <v>88.679600000000008</v>
      </c>
      <c r="P51" s="181"/>
    </row>
    <row r="52" spans="7:16">
      <c r="G52" s="181"/>
      <c r="H52" s="207">
        <v>2026</v>
      </c>
      <c r="I52" s="204" t="s">
        <v>175</v>
      </c>
      <c r="J52" s="12" t="s">
        <v>173</v>
      </c>
      <c r="K52" s="157" t="s">
        <v>243</v>
      </c>
      <c r="L52" s="219">
        <f>SUMIFS('Data input'!$M$23:$M$78,'Data input'!$I$23:$I$78,H52,'Data input'!$J$23:$J$78,I52,'Data input'!$K$23:$K$78,J52,'Data input'!$L$23:$L$78,K52)</f>
        <v>213</v>
      </c>
      <c r="M52" s="181" cm="1">
        <f t="array" ref="M52">_xlfn.XLOOKUP(H52&amp;I52&amp;K52,'Data input'!$I$83:$I$110&amp;'Data input'!$J$83:$J$110&amp;'Data input'!$K$83:$K$110,'Data input'!$L$83:$L$110)</f>
        <v>0.48</v>
      </c>
      <c r="N52" s="181">
        <f>_xlfn.XLOOKUP(J52,'Data input'!$I$115:$I$116,'Data input'!$J$115:$J$116)</f>
        <v>0.89</v>
      </c>
      <c r="O52" s="289">
        <f t="shared" si="4"/>
        <v>90.993600000000001</v>
      </c>
      <c r="P52" s="181"/>
    </row>
    <row r="53" spans="7:16">
      <c r="G53" s="181"/>
      <c r="H53" s="207">
        <v>2020</v>
      </c>
      <c r="I53" s="33" t="s">
        <v>172</v>
      </c>
      <c r="J53" s="12" t="s">
        <v>212</v>
      </c>
      <c r="K53" s="157" t="s">
        <v>243</v>
      </c>
      <c r="L53" s="219">
        <f>SUMIFS('Data input'!$M$23:$M$78,'Data input'!$I$23:$I$78,H53,'Data input'!$J$23:$J$78,I53,'Data input'!$K$23:$K$78,J53,'Data input'!$L$23:$L$78,K53)</f>
        <v>214</v>
      </c>
      <c r="M53" s="181" cm="1">
        <f t="array" ref="M53">_xlfn.XLOOKUP(H53&amp;I53&amp;K53,'Data input'!$I$83:$I$110&amp;'Data input'!$J$83:$J$110&amp;'Data input'!$K$83:$K$110,'Data input'!$L$83:$L$110)</f>
        <v>0.35</v>
      </c>
      <c r="N53" s="181">
        <f>_xlfn.XLOOKUP(J53,'Data input'!$I$115:$I$116,'Data input'!$J$115:$J$116)</f>
        <v>0.92</v>
      </c>
      <c r="O53" s="289">
        <f t="shared" si="4"/>
        <v>68.908000000000001</v>
      </c>
      <c r="P53" s="181"/>
    </row>
    <row r="54" spans="7:16">
      <c r="G54" s="181"/>
      <c r="H54" s="207">
        <v>2021</v>
      </c>
      <c r="I54" s="33" t="s">
        <v>172</v>
      </c>
      <c r="J54" s="12" t="s">
        <v>212</v>
      </c>
      <c r="K54" s="157" t="s">
        <v>243</v>
      </c>
      <c r="L54" s="219">
        <f>SUMIFS('Data input'!$M$23:$M$78,'Data input'!$I$23:$I$78,H54,'Data input'!$J$23:$J$78,I54,'Data input'!$K$23:$K$78,J54,'Data input'!$L$23:$L$78,K54)</f>
        <v>215</v>
      </c>
      <c r="M54" s="181" cm="1">
        <f t="array" ref="M54">_xlfn.XLOOKUP(H54&amp;I54&amp;K54,'Data input'!$I$83:$I$110&amp;'Data input'!$J$83:$J$110&amp;'Data input'!$K$83:$K$110,'Data input'!$L$83:$L$110)</f>
        <v>0.36</v>
      </c>
      <c r="N54" s="181">
        <f>_xlfn.XLOOKUP(J54,'Data input'!$I$115:$I$116,'Data input'!$J$115:$J$116)</f>
        <v>0.92</v>
      </c>
      <c r="O54" s="289">
        <f t="shared" si="4"/>
        <v>71.207999999999998</v>
      </c>
      <c r="P54" s="181"/>
    </row>
    <row r="55" spans="7:16">
      <c r="G55" s="181"/>
      <c r="H55" s="207">
        <v>2022</v>
      </c>
      <c r="I55" s="33" t="s">
        <v>172</v>
      </c>
      <c r="J55" s="12" t="s">
        <v>212</v>
      </c>
      <c r="K55" s="157" t="s">
        <v>243</v>
      </c>
      <c r="L55" s="219">
        <f>SUMIFS('Data input'!$M$23:$M$78,'Data input'!$I$23:$I$78,H55,'Data input'!$J$23:$J$78,I55,'Data input'!$K$23:$K$78,J55,'Data input'!$L$23:$L$78,K55)</f>
        <v>216</v>
      </c>
      <c r="M55" s="181" cm="1">
        <f t="array" ref="M55">_xlfn.XLOOKUP(H55&amp;I55&amp;K55,'Data input'!$I$83:$I$110&amp;'Data input'!$J$83:$J$110&amp;'Data input'!$K$83:$K$110,'Data input'!$L$83:$L$110)</f>
        <v>0.37</v>
      </c>
      <c r="N55" s="181">
        <f>_xlfn.XLOOKUP(J55,'Data input'!$I$115:$I$116,'Data input'!$J$115:$J$116)</f>
        <v>0.92</v>
      </c>
      <c r="O55" s="289">
        <f t="shared" si="4"/>
        <v>73.52640000000001</v>
      </c>
      <c r="P55" s="181"/>
    </row>
    <row r="56" spans="7:16">
      <c r="G56" s="181"/>
      <c r="H56" s="207">
        <v>2023</v>
      </c>
      <c r="I56" s="33" t="s">
        <v>172</v>
      </c>
      <c r="J56" s="12" t="s">
        <v>212</v>
      </c>
      <c r="K56" s="157" t="s">
        <v>243</v>
      </c>
      <c r="L56" s="219">
        <f>SUMIFS('Data input'!$M$23:$M$78,'Data input'!$I$23:$I$78,H56,'Data input'!$J$23:$J$78,I56,'Data input'!$K$23:$K$78,J56,'Data input'!$L$23:$L$78,K56)</f>
        <v>217</v>
      </c>
      <c r="M56" s="181" cm="1">
        <f t="array" ref="M56">_xlfn.XLOOKUP(H56&amp;I56&amp;K56,'Data input'!$I$83:$I$110&amp;'Data input'!$J$83:$J$110&amp;'Data input'!$K$83:$K$110,'Data input'!$L$83:$L$110)</f>
        <v>0.38</v>
      </c>
      <c r="N56" s="181">
        <f>_xlfn.XLOOKUP(J56,'Data input'!$I$115:$I$116,'Data input'!$J$115:$J$116)</f>
        <v>0.92</v>
      </c>
      <c r="O56" s="289">
        <f t="shared" si="4"/>
        <v>75.863200000000006</v>
      </c>
      <c r="P56" s="181"/>
    </row>
    <row r="57" spans="7:16">
      <c r="G57" s="181"/>
      <c r="H57" s="207">
        <v>2024</v>
      </c>
      <c r="I57" s="33" t="s">
        <v>172</v>
      </c>
      <c r="J57" s="12" t="s">
        <v>212</v>
      </c>
      <c r="K57" s="157" t="s">
        <v>243</v>
      </c>
      <c r="L57" s="219">
        <f>SUMIFS('Data input'!$M$23:$M$78,'Data input'!$I$23:$I$78,H57,'Data input'!$J$23:$J$78,I57,'Data input'!$K$23:$K$78,J57,'Data input'!$L$23:$L$78,K57)</f>
        <v>218</v>
      </c>
      <c r="M57" s="181" cm="1">
        <f t="array" ref="M57">_xlfn.XLOOKUP(H57&amp;I57&amp;K57,'Data input'!$I$83:$I$110&amp;'Data input'!$J$83:$J$110&amp;'Data input'!$K$83:$K$110,'Data input'!$L$83:$L$110)</f>
        <v>0.39</v>
      </c>
      <c r="N57" s="181">
        <f>_xlfn.XLOOKUP(J57,'Data input'!$I$115:$I$116,'Data input'!$J$115:$J$116)</f>
        <v>0.92</v>
      </c>
      <c r="O57" s="289">
        <f t="shared" si="4"/>
        <v>78.218400000000003</v>
      </c>
      <c r="P57" s="181"/>
    </row>
    <row r="58" spans="7:16">
      <c r="G58" s="181"/>
      <c r="H58" s="207">
        <v>2025</v>
      </c>
      <c r="I58" s="33" t="s">
        <v>172</v>
      </c>
      <c r="J58" s="12" t="s">
        <v>212</v>
      </c>
      <c r="K58" s="157" t="s">
        <v>243</v>
      </c>
      <c r="L58" s="219">
        <f>SUMIFS('Data input'!$M$23:$M$78,'Data input'!$I$23:$I$78,H58,'Data input'!$J$23:$J$78,I58,'Data input'!$K$23:$K$78,J58,'Data input'!$L$23:$L$78,K58)</f>
        <v>219</v>
      </c>
      <c r="M58" s="181" cm="1">
        <f t="array" ref="M58">_xlfn.XLOOKUP(H58&amp;I58&amp;K58,'Data input'!$I$83:$I$110&amp;'Data input'!$J$83:$J$110&amp;'Data input'!$K$83:$K$110,'Data input'!$L$83:$L$110)</f>
        <v>0.4</v>
      </c>
      <c r="N58" s="181">
        <f>_xlfn.XLOOKUP(J58,'Data input'!$I$115:$I$116,'Data input'!$J$115:$J$116)</f>
        <v>0.92</v>
      </c>
      <c r="O58" s="289">
        <f t="shared" si="4"/>
        <v>80.592000000000013</v>
      </c>
      <c r="P58" s="181"/>
    </row>
    <row r="59" spans="7:16">
      <c r="G59" s="181"/>
      <c r="H59" s="207">
        <v>2026</v>
      </c>
      <c r="I59" s="33" t="s">
        <v>172</v>
      </c>
      <c r="J59" s="12" t="s">
        <v>212</v>
      </c>
      <c r="K59" s="157" t="s">
        <v>243</v>
      </c>
      <c r="L59" s="219">
        <f>SUMIFS('Data input'!$M$23:$M$78,'Data input'!$I$23:$I$78,H59,'Data input'!$J$23:$J$78,I59,'Data input'!$K$23:$K$78,J59,'Data input'!$L$23:$L$78,K59)</f>
        <v>220</v>
      </c>
      <c r="M59" s="181" cm="1">
        <f t="array" ref="M59">_xlfn.XLOOKUP(H59&amp;I59&amp;K59,'Data input'!$I$83:$I$110&amp;'Data input'!$J$83:$J$110&amp;'Data input'!$K$83:$K$110,'Data input'!$L$83:$L$110)</f>
        <v>0.41</v>
      </c>
      <c r="N59" s="181">
        <f>_xlfn.XLOOKUP(J59,'Data input'!$I$115:$I$116,'Data input'!$J$115:$J$116)</f>
        <v>0.92</v>
      </c>
      <c r="O59" s="289">
        <f t="shared" si="4"/>
        <v>82.983999999999995</v>
      </c>
      <c r="P59" s="181"/>
    </row>
    <row r="60" spans="7:16">
      <c r="G60" s="181"/>
      <c r="H60" s="207">
        <v>2020</v>
      </c>
      <c r="I60" s="204" t="s">
        <v>175</v>
      </c>
      <c r="J60" s="12" t="s">
        <v>212</v>
      </c>
      <c r="K60" s="157" t="s">
        <v>243</v>
      </c>
      <c r="L60" s="219">
        <f>SUMIFS('Data input'!$M$23:$M$78,'Data input'!$I$23:$I$78,H60,'Data input'!$J$23:$J$78,I60,'Data input'!$K$23:$K$78,J60,'Data input'!$L$23:$L$78,K60)</f>
        <v>221</v>
      </c>
      <c r="M60" s="181" cm="1">
        <f t="array" ref="M60">_xlfn.XLOOKUP(H60&amp;I60&amp;K60,'Data input'!$I$83:$I$110&amp;'Data input'!$J$83:$J$110&amp;'Data input'!$K$83:$K$110,'Data input'!$L$83:$L$110)</f>
        <v>0.42</v>
      </c>
      <c r="N60" s="181">
        <f>_xlfn.XLOOKUP(J60,'Data input'!$I$115:$I$116,'Data input'!$J$115:$J$116)</f>
        <v>0.92</v>
      </c>
      <c r="O60" s="289">
        <f t="shared" si="4"/>
        <v>85.394400000000005</v>
      </c>
      <c r="P60" s="181"/>
    </row>
    <row r="61" spans="7:16">
      <c r="G61" s="181"/>
      <c r="H61" s="207">
        <v>2021</v>
      </c>
      <c r="I61" s="204" t="s">
        <v>175</v>
      </c>
      <c r="J61" s="12" t="s">
        <v>212</v>
      </c>
      <c r="K61" s="157" t="s">
        <v>243</v>
      </c>
      <c r="L61" s="219">
        <f>SUMIFS('Data input'!$M$23:$M$78,'Data input'!$I$23:$I$78,H61,'Data input'!$J$23:$J$78,I61,'Data input'!$K$23:$K$78,J61,'Data input'!$L$23:$L$78,K61)</f>
        <v>222</v>
      </c>
      <c r="M61" s="181" cm="1">
        <f t="array" ref="M61">_xlfn.XLOOKUP(H61&amp;I61&amp;K61,'Data input'!$I$83:$I$110&amp;'Data input'!$J$83:$J$110&amp;'Data input'!$K$83:$K$110,'Data input'!$L$83:$L$110)</f>
        <v>0.43</v>
      </c>
      <c r="N61" s="181">
        <f>_xlfn.XLOOKUP(J61,'Data input'!$I$115:$I$116,'Data input'!$J$115:$J$116)</f>
        <v>0.92</v>
      </c>
      <c r="O61" s="289">
        <f t="shared" si="4"/>
        <v>87.8232</v>
      </c>
      <c r="P61" s="181"/>
    </row>
    <row r="62" spans="7:16">
      <c r="G62" s="181"/>
      <c r="H62" s="207">
        <v>2022</v>
      </c>
      <c r="I62" s="204" t="s">
        <v>175</v>
      </c>
      <c r="J62" s="12" t="s">
        <v>212</v>
      </c>
      <c r="K62" s="157" t="s">
        <v>243</v>
      </c>
      <c r="L62" s="219">
        <f>SUMIFS('Data input'!$M$23:$M$78,'Data input'!$I$23:$I$78,H62,'Data input'!$J$23:$J$78,I62,'Data input'!$K$23:$K$78,J62,'Data input'!$L$23:$L$78,K62)</f>
        <v>223</v>
      </c>
      <c r="M62" s="181" cm="1">
        <f t="array" ref="M62">_xlfn.XLOOKUP(H62&amp;I62&amp;K62,'Data input'!$I$83:$I$110&amp;'Data input'!$J$83:$J$110&amp;'Data input'!$K$83:$K$110,'Data input'!$L$83:$L$110)</f>
        <v>0.44</v>
      </c>
      <c r="N62" s="181">
        <f>_xlfn.XLOOKUP(J62,'Data input'!$I$115:$I$116,'Data input'!$J$115:$J$116)</f>
        <v>0.92</v>
      </c>
      <c r="O62" s="289">
        <f t="shared" si="4"/>
        <v>90.270400000000009</v>
      </c>
      <c r="P62" s="181"/>
    </row>
    <row r="63" spans="7:16">
      <c r="G63" s="181"/>
      <c r="H63" s="207">
        <v>2023</v>
      </c>
      <c r="I63" s="204" t="s">
        <v>175</v>
      </c>
      <c r="J63" s="12" t="s">
        <v>212</v>
      </c>
      <c r="K63" s="157" t="s">
        <v>243</v>
      </c>
      <c r="L63" s="219">
        <f>SUMIFS('Data input'!$M$23:$M$78,'Data input'!$I$23:$I$78,H63,'Data input'!$J$23:$J$78,I63,'Data input'!$K$23:$K$78,J63,'Data input'!$L$23:$L$78,K63)</f>
        <v>224</v>
      </c>
      <c r="M63" s="181" cm="1">
        <f t="array" ref="M63">_xlfn.XLOOKUP(H63&amp;I63&amp;K63,'Data input'!$I$83:$I$110&amp;'Data input'!$J$83:$J$110&amp;'Data input'!$K$83:$K$110,'Data input'!$L$83:$L$110)</f>
        <v>0.45</v>
      </c>
      <c r="N63" s="181">
        <f>_xlfn.XLOOKUP(J63,'Data input'!$I$115:$I$116,'Data input'!$J$115:$J$116)</f>
        <v>0.92</v>
      </c>
      <c r="O63" s="289">
        <f t="shared" si="4"/>
        <v>92.736000000000004</v>
      </c>
      <c r="P63" s="181"/>
    </row>
    <row r="64" spans="7:16">
      <c r="G64" s="181"/>
      <c r="H64" s="207">
        <v>2024</v>
      </c>
      <c r="I64" s="204" t="s">
        <v>175</v>
      </c>
      <c r="J64" s="12" t="s">
        <v>212</v>
      </c>
      <c r="K64" s="157" t="s">
        <v>243</v>
      </c>
      <c r="L64" s="219">
        <f>SUMIFS('Data input'!$M$23:$M$78,'Data input'!$I$23:$I$78,H64,'Data input'!$J$23:$J$78,I64,'Data input'!$K$23:$K$78,J64,'Data input'!$L$23:$L$78,K64)</f>
        <v>225</v>
      </c>
      <c r="M64" s="181" cm="1">
        <f t="array" ref="M64">_xlfn.XLOOKUP(H64&amp;I64&amp;K64,'Data input'!$I$83:$I$110&amp;'Data input'!$J$83:$J$110&amp;'Data input'!$K$83:$K$110,'Data input'!$L$83:$L$110)</f>
        <v>0.46</v>
      </c>
      <c r="N64" s="181">
        <f>_xlfn.XLOOKUP(J64,'Data input'!$I$115:$I$116,'Data input'!$J$115:$J$116)</f>
        <v>0.92</v>
      </c>
      <c r="O64" s="289">
        <f t="shared" si="4"/>
        <v>95.22</v>
      </c>
      <c r="P64" s="181"/>
    </row>
    <row r="65" spans="7:16">
      <c r="G65" s="181"/>
      <c r="H65" s="207">
        <v>2025</v>
      </c>
      <c r="I65" s="204" t="s">
        <v>175</v>
      </c>
      <c r="J65" s="12" t="s">
        <v>212</v>
      </c>
      <c r="K65" s="157" t="s">
        <v>243</v>
      </c>
      <c r="L65" s="219">
        <f>SUMIFS('Data input'!$M$23:$M$78,'Data input'!$I$23:$I$78,H65,'Data input'!$J$23:$J$78,I65,'Data input'!$K$23:$K$78,J65,'Data input'!$L$23:$L$78,K65)</f>
        <v>226</v>
      </c>
      <c r="M65" s="181" cm="1">
        <f t="array" ref="M65">_xlfn.XLOOKUP(H65&amp;I65&amp;K65,'Data input'!$I$83:$I$110&amp;'Data input'!$J$83:$J$110&amp;'Data input'!$K$83:$K$110,'Data input'!$L$83:$L$110)</f>
        <v>0.47</v>
      </c>
      <c r="N65" s="181">
        <f>_xlfn.XLOOKUP(J65,'Data input'!$I$115:$I$116,'Data input'!$J$115:$J$116)</f>
        <v>0.92</v>
      </c>
      <c r="O65" s="289">
        <f t="shared" si="4"/>
        <v>97.722400000000007</v>
      </c>
      <c r="P65" s="181"/>
    </row>
    <row r="66" spans="7:16">
      <c r="G66" s="181"/>
      <c r="H66" s="207">
        <v>2026</v>
      </c>
      <c r="I66" s="204" t="s">
        <v>175</v>
      </c>
      <c r="J66" s="12" t="s">
        <v>212</v>
      </c>
      <c r="K66" s="157" t="s">
        <v>243</v>
      </c>
      <c r="L66" s="219">
        <f>SUMIFS('Data input'!$M$23:$M$78,'Data input'!$I$23:$I$78,H66,'Data input'!$J$23:$J$78,I66,'Data input'!$K$23:$K$78,J66,'Data input'!$L$23:$L$78,K66)</f>
        <v>227</v>
      </c>
      <c r="M66" s="181" cm="1">
        <f t="array" ref="M66">_xlfn.XLOOKUP(H66&amp;I66&amp;K66,'Data input'!$I$83:$I$110&amp;'Data input'!$J$83:$J$110&amp;'Data input'!$K$83:$K$110,'Data input'!$L$83:$L$110)</f>
        <v>0.48</v>
      </c>
      <c r="N66" s="181">
        <f>_xlfn.XLOOKUP(J66,'Data input'!$I$115:$I$116,'Data input'!$J$115:$J$116)</f>
        <v>0.92</v>
      </c>
      <c r="O66" s="289">
        <f t="shared" si="4"/>
        <v>100.2432</v>
      </c>
      <c r="P66" s="181"/>
    </row>
    <row r="67" spans="7:16">
      <c r="G67" s="181"/>
      <c r="H67" s="207">
        <v>2020</v>
      </c>
      <c r="I67" s="33" t="s">
        <v>172</v>
      </c>
      <c r="J67" s="12" t="s">
        <v>173</v>
      </c>
      <c r="K67" s="157" t="s">
        <v>244</v>
      </c>
      <c r="L67" s="219">
        <f>SUMIFS('Data input'!$M$23:$M$78,'Data input'!$I$23:$I$78,H67,'Data input'!$J$23:$J$78,I67,'Data input'!$K$23:$K$78,J67,'Data input'!$L$23:$L$78,K67)</f>
        <v>228</v>
      </c>
      <c r="M67" s="181" cm="1">
        <f t="array" ref="M67">_xlfn.XLOOKUP(H67&amp;I67&amp;K67,'Data input'!$I$83:$I$110&amp;'Data input'!$J$83:$J$110&amp;'Data input'!$K$83:$K$110,'Data input'!$L$83:$L$110)</f>
        <v>0.49</v>
      </c>
      <c r="N67" s="181">
        <f>_xlfn.XLOOKUP(J67,'Data input'!$I$115:$I$116,'Data input'!$J$115:$J$116)</f>
        <v>0.89</v>
      </c>
      <c r="O67" s="289">
        <f t="shared" si="4"/>
        <v>99.430800000000005</v>
      </c>
      <c r="P67" s="181"/>
    </row>
    <row r="68" spans="7:16">
      <c r="G68" s="181"/>
      <c r="H68" s="207">
        <v>2021</v>
      </c>
      <c r="I68" s="33" t="s">
        <v>172</v>
      </c>
      <c r="J68" s="12" t="s">
        <v>173</v>
      </c>
      <c r="K68" s="157" t="s">
        <v>244</v>
      </c>
      <c r="L68" s="219">
        <f>SUMIFS('Data input'!$M$23:$M$78,'Data input'!$I$23:$I$78,H68,'Data input'!$J$23:$J$78,I68,'Data input'!$K$23:$K$78,J68,'Data input'!$L$23:$L$78,K68)</f>
        <v>229</v>
      </c>
      <c r="M68" s="181" cm="1">
        <f t="array" ref="M68">_xlfn.XLOOKUP(H68&amp;I68&amp;K68,'Data input'!$I$83:$I$110&amp;'Data input'!$J$83:$J$110&amp;'Data input'!$K$83:$K$110,'Data input'!$L$83:$L$110)</f>
        <v>0.5</v>
      </c>
      <c r="N68" s="181">
        <f>_xlfn.XLOOKUP(J68,'Data input'!$I$115:$I$116,'Data input'!$J$115:$J$116)</f>
        <v>0.89</v>
      </c>
      <c r="O68" s="289">
        <f t="shared" si="4"/>
        <v>101.905</v>
      </c>
      <c r="P68" s="181"/>
    </row>
    <row r="69" spans="7:16">
      <c r="G69" s="181"/>
      <c r="H69" s="207">
        <v>2022</v>
      </c>
      <c r="I69" s="33" t="s">
        <v>172</v>
      </c>
      <c r="J69" s="12" t="s">
        <v>173</v>
      </c>
      <c r="K69" s="157" t="s">
        <v>244</v>
      </c>
      <c r="L69" s="219">
        <f>SUMIFS('Data input'!$M$23:$M$78,'Data input'!$I$23:$I$78,H69,'Data input'!$J$23:$J$78,I69,'Data input'!$K$23:$K$78,J69,'Data input'!$L$23:$L$78,K69)</f>
        <v>230</v>
      </c>
      <c r="M69" s="181" cm="1">
        <f t="array" ref="M69">_xlfn.XLOOKUP(H69&amp;I69&amp;K69,'Data input'!$I$83:$I$110&amp;'Data input'!$J$83:$J$110&amp;'Data input'!$K$83:$K$110,'Data input'!$L$83:$L$110)</f>
        <v>0.51</v>
      </c>
      <c r="N69" s="181">
        <f>_xlfn.XLOOKUP(J69,'Data input'!$I$115:$I$116,'Data input'!$J$115:$J$116)</f>
        <v>0.89</v>
      </c>
      <c r="O69" s="289">
        <f t="shared" si="4"/>
        <v>104.39700000000001</v>
      </c>
      <c r="P69" s="181"/>
    </row>
    <row r="70" spans="7:16">
      <c r="G70" s="181"/>
      <c r="H70" s="207">
        <v>2023</v>
      </c>
      <c r="I70" s="33" t="s">
        <v>172</v>
      </c>
      <c r="J70" s="12" t="s">
        <v>173</v>
      </c>
      <c r="K70" s="157" t="s">
        <v>244</v>
      </c>
      <c r="L70" s="219">
        <f>SUMIFS('Data input'!$M$23:$M$78,'Data input'!$I$23:$I$78,H70,'Data input'!$J$23:$J$78,I70,'Data input'!$K$23:$K$78,J70,'Data input'!$L$23:$L$78,K70)</f>
        <v>231</v>
      </c>
      <c r="M70" s="181" cm="1">
        <f t="array" ref="M70">_xlfn.XLOOKUP(H70&amp;I70&amp;K70,'Data input'!$I$83:$I$110&amp;'Data input'!$J$83:$J$110&amp;'Data input'!$K$83:$K$110,'Data input'!$L$83:$L$110)</f>
        <v>0.52</v>
      </c>
      <c r="N70" s="181">
        <f>_xlfn.XLOOKUP(J70,'Data input'!$I$115:$I$116,'Data input'!$J$115:$J$116)</f>
        <v>0.89</v>
      </c>
      <c r="O70" s="289">
        <f t="shared" si="4"/>
        <v>106.9068</v>
      </c>
      <c r="P70" s="181"/>
    </row>
    <row r="71" spans="7:16">
      <c r="G71" s="181"/>
      <c r="H71" s="207">
        <v>2024</v>
      </c>
      <c r="I71" s="33" t="s">
        <v>172</v>
      </c>
      <c r="J71" s="12" t="s">
        <v>173</v>
      </c>
      <c r="K71" s="157" t="s">
        <v>244</v>
      </c>
      <c r="L71" s="219">
        <f>SUMIFS('Data input'!$M$23:$M$78,'Data input'!$I$23:$I$78,H71,'Data input'!$J$23:$J$78,I71,'Data input'!$K$23:$K$78,J71,'Data input'!$L$23:$L$78,K71)</f>
        <v>232</v>
      </c>
      <c r="M71" s="181" cm="1">
        <f t="array" ref="M71">_xlfn.XLOOKUP(H71&amp;I71&amp;K71,'Data input'!$I$83:$I$110&amp;'Data input'!$J$83:$J$110&amp;'Data input'!$K$83:$K$110,'Data input'!$L$83:$L$110)</f>
        <v>0.53</v>
      </c>
      <c r="N71" s="181">
        <f>_xlfn.XLOOKUP(J71,'Data input'!$I$115:$I$116,'Data input'!$J$115:$J$116)</f>
        <v>0.89</v>
      </c>
      <c r="O71" s="289">
        <f t="shared" si="4"/>
        <v>109.43440000000001</v>
      </c>
      <c r="P71" s="181"/>
    </row>
    <row r="72" spans="7:16">
      <c r="G72" s="181"/>
      <c r="H72" s="207">
        <v>2025</v>
      </c>
      <c r="I72" s="33" t="s">
        <v>172</v>
      </c>
      <c r="J72" s="12" t="s">
        <v>173</v>
      </c>
      <c r="K72" s="157" t="s">
        <v>244</v>
      </c>
      <c r="L72" s="219">
        <f>SUMIFS('Data input'!$M$23:$M$78,'Data input'!$I$23:$I$78,H72,'Data input'!$J$23:$J$78,I72,'Data input'!$K$23:$K$78,J72,'Data input'!$L$23:$L$78,K72)</f>
        <v>233</v>
      </c>
      <c r="M72" s="181" cm="1">
        <f t="array" ref="M72">_xlfn.XLOOKUP(H72&amp;I72&amp;K72,'Data input'!$I$83:$I$110&amp;'Data input'!$J$83:$J$110&amp;'Data input'!$K$83:$K$110,'Data input'!$L$83:$L$110)</f>
        <v>0.54</v>
      </c>
      <c r="N72" s="181">
        <f>_xlfn.XLOOKUP(J72,'Data input'!$I$115:$I$116,'Data input'!$J$115:$J$116)</f>
        <v>0.89</v>
      </c>
      <c r="O72" s="289">
        <f t="shared" si="4"/>
        <v>111.97980000000001</v>
      </c>
      <c r="P72" s="181"/>
    </row>
    <row r="73" spans="7:16">
      <c r="G73" s="181"/>
      <c r="H73" s="207">
        <v>2026</v>
      </c>
      <c r="I73" s="33" t="s">
        <v>172</v>
      </c>
      <c r="J73" s="12" t="s">
        <v>173</v>
      </c>
      <c r="K73" s="157" t="s">
        <v>244</v>
      </c>
      <c r="L73" s="219">
        <f>SUMIFS('Data input'!$M$23:$M$78,'Data input'!$I$23:$I$78,H73,'Data input'!$J$23:$J$78,I73,'Data input'!$K$23:$K$78,J73,'Data input'!$L$23:$L$78,K73)</f>
        <v>234</v>
      </c>
      <c r="M73" s="181" cm="1">
        <f t="array" ref="M73">_xlfn.XLOOKUP(H73&amp;I73&amp;K73,'Data input'!$I$83:$I$110&amp;'Data input'!$J$83:$J$110&amp;'Data input'!$K$83:$K$110,'Data input'!$L$83:$L$110)</f>
        <v>0.55000000000000004</v>
      </c>
      <c r="N73" s="181">
        <f>_xlfn.XLOOKUP(J73,'Data input'!$I$115:$I$116,'Data input'!$J$115:$J$116)</f>
        <v>0.89</v>
      </c>
      <c r="O73" s="289">
        <f t="shared" ref="O73:O94" si="5">L73*M73*N73</f>
        <v>114.54300000000002</v>
      </c>
      <c r="P73" s="181"/>
    </row>
    <row r="74" spans="7:16">
      <c r="G74" s="181"/>
      <c r="H74" s="207">
        <v>2020</v>
      </c>
      <c r="I74" s="204" t="s">
        <v>175</v>
      </c>
      <c r="J74" s="12" t="s">
        <v>173</v>
      </c>
      <c r="K74" s="157" t="s">
        <v>244</v>
      </c>
      <c r="L74" s="219">
        <f>SUMIFS('Data input'!$M$23:$M$78,'Data input'!$I$23:$I$78,H74,'Data input'!$J$23:$J$78,I74,'Data input'!$K$23:$K$78,J74,'Data input'!$L$23:$L$78,K74)</f>
        <v>235</v>
      </c>
      <c r="M74" s="181" cm="1">
        <f t="array" ref="M74">_xlfn.XLOOKUP(H74&amp;I74&amp;K74,'Data input'!$I$83:$I$110&amp;'Data input'!$J$83:$J$110&amp;'Data input'!$K$83:$K$110,'Data input'!$L$83:$L$110)</f>
        <v>0.56000000000000005</v>
      </c>
      <c r="N74" s="181">
        <f>_xlfn.XLOOKUP(J74,'Data input'!$I$115:$I$116,'Data input'!$J$115:$J$116)</f>
        <v>0.89</v>
      </c>
      <c r="O74" s="289">
        <f t="shared" si="5"/>
        <v>117.12400000000002</v>
      </c>
      <c r="P74" s="181"/>
    </row>
    <row r="75" spans="7:16">
      <c r="G75" s="181"/>
      <c r="H75" s="207">
        <v>2021</v>
      </c>
      <c r="I75" s="204" t="s">
        <v>175</v>
      </c>
      <c r="J75" s="12" t="s">
        <v>173</v>
      </c>
      <c r="K75" s="157" t="s">
        <v>244</v>
      </c>
      <c r="L75" s="219">
        <f>SUMIFS('Data input'!$M$23:$M$78,'Data input'!$I$23:$I$78,H75,'Data input'!$J$23:$J$78,I75,'Data input'!$K$23:$K$78,J75,'Data input'!$L$23:$L$78,K75)</f>
        <v>236</v>
      </c>
      <c r="M75" s="181" cm="1">
        <f t="array" ref="M75">_xlfn.XLOOKUP(H75&amp;I75&amp;K75,'Data input'!$I$83:$I$110&amp;'Data input'!$J$83:$J$110&amp;'Data input'!$K$83:$K$110,'Data input'!$L$83:$L$110)</f>
        <v>0.56999999999999995</v>
      </c>
      <c r="N75" s="181">
        <f>_xlfn.XLOOKUP(J75,'Data input'!$I$115:$I$116,'Data input'!$J$115:$J$116)</f>
        <v>0.89</v>
      </c>
      <c r="O75" s="289">
        <f t="shared" si="5"/>
        <v>119.72279999999999</v>
      </c>
      <c r="P75" s="181"/>
    </row>
    <row r="76" spans="7:16">
      <c r="G76" s="181"/>
      <c r="H76" s="207">
        <v>2022</v>
      </c>
      <c r="I76" s="204" t="s">
        <v>175</v>
      </c>
      <c r="J76" s="12" t="s">
        <v>173</v>
      </c>
      <c r="K76" s="157" t="s">
        <v>244</v>
      </c>
      <c r="L76" s="219">
        <f>SUMIFS('Data input'!$M$23:$M$78,'Data input'!$I$23:$I$78,H76,'Data input'!$J$23:$J$78,I76,'Data input'!$K$23:$K$78,J76,'Data input'!$L$23:$L$78,K76)</f>
        <v>237</v>
      </c>
      <c r="M76" s="181" cm="1">
        <f t="array" ref="M76">_xlfn.XLOOKUP(H76&amp;I76&amp;K76,'Data input'!$I$83:$I$110&amp;'Data input'!$J$83:$J$110&amp;'Data input'!$K$83:$K$110,'Data input'!$L$83:$L$110)</f>
        <v>0.57999999999999996</v>
      </c>
      <c r="N76" s="181">
        <f>_xlfn.XLOOKUP(J76,'Data input'!$I$115:$I$116,'Data input'!$J$115:$J$116)</f>
        <v>0.89</v>
      </c>
      <c r="O76" s="289">
        <f t="shared" si="5"/>
        <v>122.33939999999998</v>
      </c>
      <c r="P76" s="181"/>
    </row>
    <row r="77" spans="7:16">
      <c r="G77" s="181"/>
      <c r="H77" s="207">
        <v>2023</v>
      </c>
      <c r="I77" s="204" t="s">
        <v>175</v>
      </c>
      <c r="J77" s="12" t="s">
        <v>173</v>
      </c>
      <c r="K77" s="157" t="s">
        <v>244</v>
      </c>
      <c r="L77" s="219">
        <f>SUMIFS('Data input'!$M$23:$M$78,'Data input'!$I$23:$I$78,H77,'Data input'!$J$23:$J$78,I77,'Data input'!$K$23:$K$78,J77,'Data input'!$L$23:$L$78,K77)</f>
        <v>238</v>
      </c>
      <c r="M77" s="181" cm="1">
        <f t="array" ref="M77">_xlfn.XLOOKUP(H77&amp;I77&amp;K77,'Data input'!$I$83:$I$110&amp;'Data input'!$J$83:$J$110&amp;'Data input'!$K$83:$K$110,'Data input'!$L$83:$L$110)</f>
        <v>0.59</v>
      </c>
      <c r="N77" s="181">
        <f>_xlfn.XLOOKUP(J77,'Data input'!$I$115:$I$116,'Data input'!$J$115:$J$116)</f>
        <v>0.89</v>
      </c>
      <c r="O77" s="289">
        <f t="shared" si="5"/>
        <v>124.9738</v>
      </c>
      <c r="P77" s="181"/>
    </row>
    <row r="78" spans="7:16">
      <c r="G78" s="181"/>
      <c r="H78" s="207">
        <v>2024</v>
      </c>
      <c r="I78" s="204" t="s">
        <v>175</v>
      </c>
      <c r="J78" s="12" t="s">
        <v>173</v>
      </c>
      <c r="K78" s="157" t="s">
        <v>244</v>
      </c>
      <c r="L78" s="219">
        <f>SUMIFS('Data input'!$M$23:$M$78,'Data input'!$I$23:$I$78,H78,'Data input'!$J$23:$J$78,I78,'Data input'!$K$23:$K$78,J78,'Data input'!$L$23:$L$78,K78)</f>
        <v>239</v>
      </c>
      <c r="M78" s="181" cm="1">
        <f t="array" ref="M78">_xlfn.XLOOKUP(H78&amp;I78&amp;K78,'Data input'!$I$83:$I$110&amp;'Data input'!$J$83:$J$110&amp;'Data input'!$K$83:$K$110,'Data input'!$L$83:$L$110)</f>
        <v>0.6</v>
      </c>
      <c r="N78" s="181">
        <f>_xlfn.XLOOKUP(J78,'Data input'!$I$115:$I$116,'Data input'!$J$115:$J$116)</f>
        <v>0.89</v>
      </c>
      <c r="O78" s="289">
        <f t="shared" si="5"/>
        <v>127.626</v>
      </c>
      <c r="P78" s="181"/>
    </row>
    <row r="79" spans="7:16">
      <c r="G79" s="181"/>
      <c r="H79" s="207">
        <v>2025</v>
      </c>
      <c r="I79" s="204" t="s">
        <v>175</v>
      </c>
      <c r="J79" s="12" t="s">
        <v>173</v>
      </c>
      <c r="K79" s="157" t="s">
        <v>244</v>
      </c>
      <c r="L79" s="219">
        <f>SUMIFS('Data input'!$M$23:$M$78,'Data input'!$I$23:$I$78,H79,'Data input'!$J$23:$J$78,I79,'Data input'!$K$23:$K$78,J79,'Data input'!$L$23:$L$78,K79)</f>
        <v>240</v>
      </c>
      <c r="M79" s="181" cm="1">
        <f t="array" ref="M79">_xlfn.XLOOKUP(H79&amp;I79&amp;K79,'Data input'!$I$83:$I$110&amp;'Data input'!$J$83:$J$110&amp;'Data input'!$K$83:$K$110,'Data input'!$L$83:$L$110)</f>
        <v>0.61</v>
      </c>
      <c r="N79" s="181">
        <f>_xlfn.XLOOKUP(J79,'Data input'!$I$115:$I$116,'Data input'!$J$115:$J$116)</f>
        <v>0.89</v>
      </c>
      <c r="O79" s="289">
        <f t="shared" si="5"/>
        <v>130.29600000000002</v>
      </c>
      <c r="P79" s="181"/>
    </row>
    <row r="80" spans="7:16">
      <c r="G80" s="181"/>
      <c r="H80" s="207">
        <v>2026</v>
      </c>
      <c r="I80" s="204" t="s">
        <v>175</v>
      </c>
      <c r="J80" s="12" t="s">
        <v>173</v>
      </c>
      <c r="K80" s="157" t="s">
        <v>244</v>
      </c>
      <c r="L80" s="219">
        <f>SUMIFS('Data input'!$M$23:$M$78,'Data input'!$I$23:$I$78,H80,'Data input'!$J$23:$J$78,I80,'Data input'!$K$23:$K$78,J80,'Data input'!$L$23:$L$78,K80)</f>
        <v>241</v>
      </c>
      <c r="M80" s="181" cm="1">
        <f t="array" ref="M80">_xlfn.XLOOKUP(H80&amp;I80&amp;K80,'Data input'!$I$83:$I$110&amp;'Data input'!$J$83:$J$110&amp;'Data input'!$K$83:$K$110,'Data input'!$L$83:$L$110)</f>
        <v>0.62</v>
      </c>
      <c r="N80" s="181">
        <f>_xlfn.XLOOKUP(J80,'Data input'!$I$115:$I$116,'Data input'!$J$115:$J$116)</f>
        <v>0.89</v>
      </c>
      <c r="O80" s="289">
        <f t="shared" si="5"/>
        <v>132.9838</v>
      </c>
      <c r="P80" s="181"/>
    </row>
    <row r="81" spans="7:16">
      <c r="G81" s="181"/>
      <c r="H81" s="207">
        <v>2020</v>
      </c>
      <c r="I81" s="33" t="s">
        <v>172</v>
      </c>
      <c r="J81" s="12" t="s">
        <v>212</v>
      </c>
      <c r="K81" s="157" t="s">
        <v>244</v>
      </c>
      <c r="L81" s="219">
        <f>SUMIFS('Data input'!$M$23:$M$78,'Data input'!$I$23:$I$78,H81,'Data input'!$J$23:$J$78,I81,'Data input'!$K$23:$K$78,J81,'Data input'!$L$23:$L$78,K81)</f>
        <v>242</v>
      </c>
      <c r="M81" s="181" cm="1">
        <f t="array" ref="M81">_xlfn.XLOOKUP(H81&amp;I81&amp;K81,'Data input'!$I$83:$I$110&amp;'Data input'!$J$83:$J$110&amp;'Data input'!$K$83:$K$110,'Data input'!$L$83:$L$110)</f>
        <v>0.49</v>
      </c>
      <c r="N81" s="181">
        <f>_xlfn.XLOOKUP(J81,'Data input'!$I$115:$I$116,'Data input'!$J$115:$J$116)</f>
        <v>0.92</v>
      </c>
      <c r="O81" s="289">
        <f t="shared" si="5"/>
        <v>109.09360000000001</v>
      </c>
      <c r="P81" s="181"/>
    </row>
    <row r="82" spans="7:16">
      <c r="G82" s="181"/>
      <c r="H82" s="207">
        <v>2021</v>
      </c>
      <c r="I82" s="33" t="s">
        <v>172</v>
      </c>
      <c r="J82" s="12" t="s">
        <v>212</v>
      </c>
      <c r="K82" s="157" t="s">
        <v>244</v>
      </c>
      <c r="L82" s="219">
        <f>SUMIFS('Data input'!$M$23:$M$78,'Data input'!$I$23:$I$78,H82,'Data input'!$J$23:$J$78,I82,'Data input'!$K$23:$K$78,J82,'Data input'!$L$23:$L$78,K82)</f>
        <v>243</v>
      </c>
      <c r="M82" s="181" cm="1">
        <f t="array" ref="M82">_xlfn.XLOOKUP(H82&amp;I82&amp;K82,'Data input'!$I$83:$I$110&amp;'Data input'!$J$83:$J$110&amp;'Data input'!$K$83:$K$110,'Data input'!$L$83:$L$110)</f>
        <v>0.5</v>
      </c>
      <c r="N82" s="181">
        <f>_xlfn.XLOOKUP(J82,'Data input'!$I$115:$I$116,'Data input'!$J$115:$J$116)</f>
        <v>0.92</v>
      </c>
      <c r="O82" s="289">
        <f t="shared" si="5"/>
        <v>111.78</v>
      </c>
      <c r="P82" s="181"/>
    </row>
    <row r="83" spans="7:16">
      <c r="G83" s="181"/>
      <c r="H83" s="207">
        <v>2022</v>
      </c>
      <c r="I83" s="33" t="s">
        <v>172</v>
      </c>
      <c r="J83" s="12" t="s">
        <v>212</v>
      </c>
      <c r="K83" s="157" t="s">
        <v>244</v>
      </c>
      <c r="L83" s="219">
        <f>SUMIFS('Data input'!$M$23:$M$78,'Data input'!$I$23:$I$78,H83,'Data input'!$J$23:$J$78,I83,'Data input'!$K$23:$K$78,J83,'Data input'!$L$23:$L$78,K83)</f>
        <v>244</v>
      </c>
      <c r="M83" s="181" cm="1">
        <f t="array" ref="M83">_xlfn.XLOOKUP(H83&amp;I83&amp;K83,'Data input'!$I$83:$I$110&amp;'Data input'!$J$83:$J$110&amp;'Data input'!$K$83:$K$110,'Data input'!$L$83:$L$110)</f>
        <v>0.51</v>
      </c>
      <c r="N83" s="181">
        <f>_xlfn.XLOOKUP(J83,'Data input'!$I$115:$I$116,'Data input'!$J$115:$J$116)</f>
        <v>0.92</v>
      </c>
      <c r="O83" s="289">
        <f t="shared" si="5"/>
        <v>114.48480000000001</v>
      </c>
      <c r="P83" s="181"/>
    </row>
    <row r="84" spans="7:16">
      <c r="G84" s="181"/>
      <c r="H84" s="207">
        <v>2023</v>
      </c>
      <c r="I84" s="33" t="s">
        <v>172</v>
      </c>
      <c r="J84" s="12" t="s">
        <v>212</v>
      </c>
      <c r="K84" s="157" t="s">
        <v>244</v>
      </c>
      <c r="L84" s="219">
        <f>SUMIFS('Data input'!$M$23:$M$78,'Data input'!$I$23:$I$78,H84,'Data input'!$J$23:$J$78,I84,'Data input'!$K$23:$K$78,J84,'Data input'!$L$23:$L$78,K84)</f>
        <v>245</v>
      </c>
      <c r="M84" s="181" cm="1">
        <f t="array" ref="M84">_xlfn.XLOOKUP(H84&amp;I84&amp;K84,'Data input'!$I$83:$I$110&amp;'Data input'!$J$83:$J$110&amp;'Data input'!$K$83:$K$110,'Data input'!$L$83:$L$110)</f>
        <v>0.52</v>
      </c>
      <c r="N84" s="181">
        <f>_xlfn.XLOOKUP(J84,'Data input'!$I$115:$I$116,'Data input'!$J$115:$J$116)</f>
        <v>0.92</v>
      </c>
      <c r="O84" s="289">
        <f t="shared" si="5"/>
        <v>117.20800000000001</v>
      </c>
      <c r="P84" s="181"/>
    </row>
    <row r="85" spans="7:16">
      <c r="G85" s="181"/>
      <c r="H85" s="207">
        <v>2024</v>
      </c>
      <c r="I85" s="33" t="s">
        <v>172</v>
      </c>
      <c r="J85" s="12" t="s">
        <v>212</v>
      </c>
      <c r="K85" s="157" t="s">
        <v>244</v>
      </c>
      <c r="L85" s="219">
        <f>SUMIFS('Data input'!$M$23:$M$78,'Data input'!$I$23:$I$78,H85,'Data input'!$J$23:$J$78,I85,'Data input'!$K$23:$K$78,J85,'Data input'!$L$23:$L$78,K85)</f>
        <v>246</v>
      </c>
      <c r="M85" s="181" cm="1">
        <f t="array" ref="M85">_xlfn.XLOOKUP(H85&amp;I85&amp;K85,'Data input'!$I$83:$I$110&amp;'Data input'!$J$83:$J$110&amp;'Data input'!$K$83:$K$110,'Data input'!$L$83:$L$110)</f>
        <v>0.53</v>
      </c>
      <c r="N85" s="181">
        <f>_xlfn.XLOOKUP(J85,'Data input'!$I$115:$I$116,'Data input'!$J$115:$J$116)</f>
        <v>0.92</v>
      </c>
      <c r="O85" s="289">
        <f t="shared" si="5"/>
        <v>119.9496</v>
      </c>
      <c r="P85" s="181"/>
    </row>
    <row r="86" spans="7:16">
      <c r="G86" s="181"/>
      <c r="H86" s="207">
        <v>2025</v>
      </c>
      <c r="I86" s="33" t="s">
        <v>172</v>
      </c>
      <c r="J86" s="12" t="s">
        <v>212</v>
      </c>
      <c r="K86" s="157" t="s">
        <v>244</v>
      </c>
      <c r="L86" s="219">
        <f>SUMIFS('Data input'!$M$23:$M$78,'Data input'!$I$23:$I$78,H86,'Data input'!$J$23:$J$78,I86,'Data input'!$K$23:$K$78,J86,'Data input'!$L$23:$L$78,K86)</f>
        <v>247</v>
      </c>
      <c r="M86" s="181" cm="1">
        <f t="array" ref="M86">_xlfn.XLOOKUP(H86&amp;I86&amp;K86,'Data input'!$I$83:$I$110&amp;'Data input'!$J$83:$J$110&amp;'Data input'!$K$83:$K$110,'Data input'!$L$83:$L$110)</f>
        <v>0.54</v>
      </c>
      <c r="N86" s="181">
        <f>_xlfn.XLOOKUP(J86,'Data input'!$I$115:$I$116,'Data input'!$J$115:$J$116)</f>
        <v>0.92</v>
      </c>
      <c r="O86" s="289">
        <f t="shared" si="5"/>
        <v>122.70959999999999</v>
      </c>
      <c r="P86" s="181"/>
    </row>
    <row r="87" spans="7:16">
      <c r="G87" s="181"/>
      <c r="H87" s="207">
        <v>2026</v>
      </c>
      <c r="I87" s="33" t="s">
        <v>172</v>
      </c>
      <c r="J87" s="12" t="s">
        <v>212</v>
      </c>
      <c r="K87" s="157" t="s">
        <v>244</v>
      </c>
      <c r="L87" s="219">
        <f>SUMIFS('Data input'!$M$23:$M$78,'Data input'!$I$23:$I$78,H87,'Data input'!$J$23:$J$78,I87,'Data input'!$K$23:$K$78,J87,'Data input'!$L$23:$L$78,K87)</f>
        <v>248</v>
      </c>
      <c r="M87" s="181" cm="1">
        <f t="array" ref="M87">_xlfn.XLOOKUP(H87&amp;I87&amp;K87,'Data input'!$I$83:$I$110&amp;'Data input'!$J$83:$J$110&amp;'Data input'!$K$83:$K$110,'Data input'!$L$83:$L$110)</f>
        <v>0.55000000000000004</v>
      </c>
      <c r="N87" s="181">
        <f>_xlfn.XLOOKUP(J87,'Data input'!$I$115:$I$116,'Data input'!$J$115:$J$116)</f>
        <v>0.92</v>
      </c>
      <c r="O87" s="289">
        <f t="shared" si="5"/>
        <v>125.48800000000001</v>
      </c>
      <c r="P87" s="181"/>
    </row>
    <row r="88" spans="7:16">
      <c r="G88" s="181"/>
      <c r="H88" s="207">
        <v>2020</v>
      </c>
      <c r="I88" s="204" t="s">
        <v>175</v>
      </c>
      <c r="J88" s="12" t="s">
        <v>212</v>
      </c>
      <c r="K88" s="157" t="s">
        <v>244</v>
      </c>
      <c r="L88" s="219">
        <f>SUMIFS('Data input'!$M$23:$M$78,'Data input'!$I$23:$I$78,H88,'Data input'!$J$23:$J$78,I88,'Data input'!$K$23:$K$78,J88,'Data input'!$L$23:$L$78,K88)</f>
        <v>249</v>
      </c>
      <c r="M88" s="181" cm="1">
        <f t="array" ref="M88">_xlfn.XLOOKUP(H88&amp;I88&amp;K88,'Data input'!$I$83:$I$110&amp;'Data input'!$J$83:$J$110&amp;'Data input'!$K$83:$K$110,'Data input'!$L$83:$L$110)</f>
        <v>0.56000000000000005</v>
      </c>
      <c r="N88" s="181">
        <f>_xlfn.XLOOKUP(J88,'Data input'!$I$115:$I$116,'Data input'!$J$115:$J$116)</f>
        <v>0.92</v>
      </c>
      <c r="O88" s="289">
        <f t="shared" si="5"/>
        <v>128.28480000000002</v>
      </c>
      <c r="P88" s="181"/>
    </row>
    <row r="89" spans="7:16">
      <c r="G89" s="181"/>
      <c r="H89" s="207">
        <v>2021</v>
      </c>
      <c r="I89" s="204" t="s">
        <v>175</v>
      </c>
      <c r="J89" s="12" t="s">
        <v>212</v>
      </c>
      <c r="K89" s="157" t="s">
        <v>244</v>
      </c>
      <c r="L89" s="219">
        <f>SUMIFS('Data input'!$M$23:$M$78,'Data input'!$I$23:$I$78,H89,'Data input'!$J$23:$J$78,I89,'Data input'!$K$23:$K$78,J89,'Data input'!$L$23:$L$78,K89)</f>
        <v>250</v>
      </c>
      <c r="M89" s="181" cm="1">
        <f t="array" ref="M89">_xlfn.XLOOKUP(H89&amp;I89&amp;K89,'Data input'!$I$83:$I$110&amp;'Data input'!$J$83:$J$110&amp;'Data input'!$K$83:$K$110,'Data input'!$L$83:$L$110)</f>
        <v>0.56999999999999995</v>
      </c>
      <c r="N89" s="181">
        <f>_xlfn.XLOOKUP(J89,'Data input'!$I$115:$I$116,'Data input'!$J$115:$J$116)</f>
        <v>0.92</v>
      </c>
      <c r="O89" s="289">
        <f t="shared" si="5"/>
        <v>131.1</v>
      </c>
      <c r="P89" s="181"/>
    </row>
    <row r="90" spans="7:16">
      <c r="G90" s="181"/>
      <c r="H90" s="207">
        <v>2022</v>
      </c>
      <c r="I90" s="204" t="s">
        <v>175</v>
      </c>
      <c r="J90" s="12" t="s">
        <v>212</v>
      </c>
      <c r="K90" s="157" t="s">
        <v>244</v>
      </c>
      <c r="L90" s="219">
        <f>SUMIFS('Data input'!$M$23:$M$78,'Data input'!$I$23:$I$78,H90,'Data input'!$J$23:$J$78,I90,'Data input'!$K$23:$K$78,J90,'Data input'!$L$23:$L$78,K90)</f>
        <v>251</v>
      </c>
      <c r="M90" s="181" cm="1">
        <f t="array" ref="M90">_xlfn.XLOOKUP(H90&amp;I90&amp;K90,'Data input'!$I$83:$I$110&amp;'Data input'!$J$83:$J$110&amp;'Data input'!$K$83:$K$110,'Data input'!$L$83:$L$110)</f>
        <v>0.57999999999999996</v>
      </c>
      <c r="N90" s="181">
        <f>_xlfn.XLOOKUP(J90,'Data input'!$I$115:$I$116,'Data input'!$J$115:$J$116)</f>
        <v>0.92</v>
      </c>
      <c r="O90" s="289">
        <f t="shared" si="5"/>
        <v>133.93359999999998</v>
      </c>
      <c r="P90" s="181"/>
    </row>
    <row r="91" spans="7:16">
      <c r="G91" s="181"/>
      <c r="H91" s="207">
        <v>2023</v>
      </c>
      <c r="I91" s="204" t="s">
        <v>175</v>
      </c>
      <c r="J91" s="12" t="s">
        <v>212</v>
      </c>
      <c r="K91" s="157" t="s">
        <v>244</v>
      </c>
      <c r="L91" s="219">
        <f>SUMIFS('Data input'!$M$23:$M$78,'Data input'!$I$23:$I$78,H91,'Data input'!$J$23:$J$78,I91,'Data input'!$K$23:$K$78,J91,'Data input'!$L$23:$L$78,K91)</f>
        <v>252</v>
      </c>
      <c r="M91" s="181" cm="1">
        <f t="array" ref="M91">_xlfn.XLOOKUP(H91&amp;I91&amp;K91,'Data input'!$I$83:$I$110&amp;'Data input'!$J$83:$J$110&amp;'Data input'!$K$83:$K$110,'Data input'!$L$83:$L$110)</f>
        <v>0.59</v>
      </c>
      <c r="N91" s="181">
        <f>_xlfn.XLOOKUP(J91,'Data input'!$I$115:$I$116,'Data input'!$J$115:$J$116)</f>
        <v>0.92</v>
      </c>
      <c r="O91" s="289">
        <f t="shared" si="5"/>
        <v>136.78559999999999</v>
      </c>
      <c r="P91" s="181"/>
    </row>
    <row r="92" spans="7:16">
      <c r="G92" s="181"/>
      <c r="H92" s="207">
        <v>2024</v>
      </c>
      <c r="I92" s="204" t="s">
        <v>175</v>
      </c>
      <c r="J92" s="12" t="s">
        <v>212</v>
      </c>
      <c r="K92" s="157" t="s">
        <v>244</v>
      </c>
      <c r="L92" s="219">
        <f>SUMIFS('Data input'!$M$23:$M$78,'Data input'!$I$23:$I$78,H92,'Data input'!$J$23:$J$78,I92,'Data input'!$K$23:$K$78,J92,'Data input'!$L$23:$L$78,K92)</f>
        <v>253</v>
      </c>
      <c r="M92" s="181" cm="1">
        <f t="array" ref="M92">_xlfn.XLOOKUP(H92&amp;I92&amp;K92,'Data input'!$I$83:$I$110&amp;'Data input'!$J$83:$J$110&amp;'Data input'!$K$83:$K$110,'Data input'!$L$83:$L$110)</f>
        <v>0.6</v>
      </c>
      <c r="N92" s="181">
        <f>_xlfn.XLOOKUP(J92,'Data input'!$I$115:$I$116,'Data input'!$J$115:$J$116)</f>
        <v>0.92</v>
      </c>
      <c r="O92" s="289">
        <f t="shared" si="5"/>
        <v>139.65599999999998</v>
      </c>
      <c r="P92" s="181"/>
    </row>
    <row r="93" spans="7:16">
      <c r="G93" s="181"/>
      <c r="H93" s="207">
        <v>2025</v>
      </c>
      <c r="I93" s="204" t="s">
        <v>175</v>
      </c>
      <c r="J93" s="12" t="s">
        <v>212</v>
      </c>
      <c r="K93" s="157" t="s">
        <v>244</v>
      </c>
      <c r="L93" s="219">
        <f>SUMIFS('Data input'!$M$23:$M$78,'Data input'!$I$23:$I$78,H93,'Data input'!$J$23:$J$78,I93,'Data input'!$K$23:$K$78,J93,'Data input'!$L$23:$L$78,K93)</f>
        <v>254</v>
      </c>
      <c r="M93" s="181" cm="1">
        <f t="array" ref="M93">_xlfn.XLOOKUP(H93&amp;I93&amp;K93,'Data input'!$I$83:$I$110&amp;'Data input'!$J$83:$J$110&amp;'Data input'!$K$83:$K$110,'Data input'!$L$83:$L$110)</f>
        <v>0.61</v>
      </c>
      <c r="N93" s="181">
        <f>_xlfn.XLOOKUP(J93,'Data input'!$I$115:$I$116,'Data input'!$J$115:$J$116)</f>
        <v>0.92</v>
      </c>
      <c r="O93" s="289">
        <f t="shared" si="5"/>
        <v>142.54480000000001</v>
      </c>
      <c r="P93" s="181"/>
    </row>
    <row r="94" spans="7:16" ht="16" thickBot="1">
      <c r="G94" s="181"/>
      <c r="H94" s="208">
        <v>2026</v>
      </c>
      <c r="I94" s="209" t="s">
        <v>175</v>
      </c>
      <c r="J94" s="210" t="s">
        <v>212</v>
      </c>
      <c r="K94" s="211" t="s">
        <v>244</v>
      </c>
      <c r="L94" s="220">
        <f>SUMIFS('Data input'!$M$23:$M$78,'Data input'!$I$23:$I$78,H94,'Data input'!$J$23:$J$78,I94,'Data input'!$K$23:$K$78,J94,'Data input'!$L$23:$L$78,K94)</f>
        <v>255</v>
      </c>
      <c r="M94" s="201" cm="1">
        <f t="array" ref="M94">_xlfn.XLOOKUP(H94&amp;I94&amp;K94,'Data input'!$I$83:$I$110&amp;'Data input'!$J$83:$J$110&amp;'Data input'!$K$83:$K$110,'Data input'!$L$83:$L$110)</f>
        <v>0.62</v>
      </c>
      <c r="N94" s="201">
        <f>_xlfn.XLOOKUP(J94,'Data input'!$I$115:$I$116,'Data input'!$J$115:$J$116)</f>
        <v>0.92</v>
      </c>
      <c r="O94" s="291">
        <f t="shared" si="5"/>
        <v>145.452</v>
      </c>
      <c r="P94" s="181"/>
    </row>
    <row r="95" spans="7:16">
      <c r="H95" s="181"/>
      <c r="I95" s="181"/>
      <c r="J95" s="181"/>
      <c r="K95" s="181"/>
      <c r="L95" s="181">
        <f>SUM(L39:L94)</f>
        <v>12740</v>
      </c>
      <c r="M95" s="181"/>
      <c r="N95" s="181"/>
      <c r="O95" s="181"/>
    </row>
    <row r="96" spans="7:16">
      <c r="H96" s="181"/>
      <c r="I96" s="181"/>
      <c r="J96" s="181"/>
      <c r="K96" s="181"/>
      <c r="L96" s="181"/>
      <c r="M96" s="181"/>
      <c r="N96" s="181"/>
      <c r="O96" s="181"/>
    </row>
    <row r="97" spans="8:18">
      <c r="H97" s="181"/>
      <c r="I97" s="181"/>
      <c r="J97" s="181"/>
      <c r="K97" s="181"/>
      <c r="L97" s="181"/>
      <c r="M97" s="181"/>
      <c r="N97" s="181"/>
      <c r="O97" t="s">
        <v>225</v>
      </c>
    </row>
    <row r="98" spans="8:18">
      <c r="H98" s="400" t="s">
        <v>245</v>
      </c>
      <c r="I98" s="401"/>
      <c r="J98" s="401"/>
      <c r="K98" s="401"/>
      <c r="L98" s="401"/>
      <c r="M98" s="401"/>
      <c r="N98" s="181"/>
      <c r="O98" t="s">
        <v>227</v>
      </c>
    </row>
    <row r="99" spans="8:18">
      <c r="H99" s="398" t="s">
        <v>246</v>
      </c>
      <c r="I99" s="398"/>
      <c r="J99" s="398"/>
      <c r="K99" s="398"/>
      <c r="L99" s="398"/>
      <c r="M99" s="398"/>
      <c r="N99" s="181"/>
      <c r="O99" s="181"/>
    </row>
    <row r="100" spans="8:18" ht="17">
      <c r="H100" s="398" t="s">
        <v>247</v>
      </c>
      <c r="I100" s="399" t="s">
        <v>248</v>
      </c>
      <c r="J100" s="398" t="s">
        <v>225</v>
      </c>
      <c r="K100" s="181"/>
      <c r="L100" s="181"/>
      <c r="M100" s="181"/>
      <c r="N100" s="181"/>
      <c r="O100" s="181"/>
    </row>
    <row r="101" spans="8:18" ht="17">
      <c r="H101" s="398" t="s">
        <v>249</v>
      </c>
      <c r="I101" s="399" t="s">
        <v>90</v>
      </c>
      <c r="J101" s="398" t="s">
        <v>225</v>
      </c>
      <c r="K101" s="181"/>
      <c r="L101" s="181"/>
      <c r="M101" s="181"/>
      <c r="N101" s="181"/>
      <c r="O101" s="181"/>
    </row>
    <row r="102" spans="8:18" ht="17">
      <c r="H102" s="398" t="s">
        <v>250</v>
      </c>
      <c r="I102" s="399" t="s">
        <v>45</v>
      </c>
      <c r="J102" s="398" t="s">
        <v>225</v>
      </c>
      <c r="K102" s="181"/>
      <c r="L102" s="181"/>
      <c r="M102" s="181"/>
      <c r="N102" s="181"/>
      <c r="O102" s="181"/>
    </row>
    <row r="103" spans="8:18">
      <c r="H103" s="181"/>
      <c r="I103" s="181"/>
      <c r="J103" s="181"/>
      <c r="K103" s="181"/>
      <c r="L103" s="181"/>
      <c r="M103" s="181"/>
      <c r="N103" s="181"/>
      <c r="O103" s="181"/>
    </row>
    <row r="105" spans="8:18" ht="16" thickBot="1">
      <c r="H105" s="159" t="s">
        <v>251</v>
      </c>
    </row>
    <row r="106" spans="8:18">
      <c r="H106" s="179"/>
      <c r="I106" s="172"/>
      <c r="J106" s="166"/>
      <c r="K106" s="166"/>
      <c r="L106" s="180"/>
      <c r="M106" s="180"/>
      <c r="N106" s="167" t="s">
        <v>231</v>
      </c>
    </row>
    <row r="107" spans="8:18">
      <c r="H107" s="171"/>
      <c r="I107" s="173"/>
      <c r="J107" s="174"/>
      <c r="K107" s="174"/>
      <c r="L107" s="181"/>
      <c r="M107" s="181"/>
      <c r="N107" s="168" t="s">
        <v>38</v>
      </c>
      <c r="O107" s="395" t="s">
        <v>252</v>
      </c>
      <c r="P107" s="386"/>
      <c r="Q107" s="386"/>
      <c r="R107" s="386"/>
    </row>
    <row r="108" spans="8:18" ht="17">
      <c r="H108" s="171" t="s">
        <v>233</v>
      </c>
      <c r="I108" s="357" t="s">
        <v>216</v>
      </c>
      <c r="J108" s="185" t="s">
        <v>90</v>
      </c>
      <c r="K108" s="185" t="s">
        <v>45</v>
      </c>
      <c r="L108" s="145" t="s">
        <v>64</v>
      </c>
      <c r="M108" s="145" t="s">
        <v>62</v>
      </c>
      <c r="N108" s="589" t="s">
        <v>108</v>
      </c>
    </row>
    <row r="109" spans="8:18" ht="17">
      <c r="H109" s="175"/>
      <c r="I109" s="186" t="s">
        <v>11</v>
      </c>
      <c r="J109" s="169" t="s">
        <v>11</v>
      </c>
      <c r="K109" s="169" t="s">
        <v>11</v>
      </c>
      <c r="L109" s="145" t="s">
        <v>17</v>
      </c>
      <c r="M109" s="145" t="s">
        <v>17</v>
      </c>
      <c r="N109" s="170" t="s">
        <v>11</v>
      </c>
    </row>
    <row r="110" spans="8:18">
      <c r="H110" s="171">
        <v>2020</v>
      </c>
      <c r="I110" s="354">
        <f t="shared" ref="I110:I116" si="6">IF($J$100="applicable", SUMIFS($K$130:$K$136, $H$130:$H$136, H110), 0)</f>
        <v>61.098668866666706</v>
      </c>
      <c r="J110" s="232">
        <f t="shared" ref="J110:J116" si="7">IF($J$101="applicable", SUMIFS($I$146:$I$152, $H$146:$H$152, H110), 0)</f>
        <v>0</v>
      </c>
      <c r="K110" s="232">
        <f t="shared" ref="K110:K116" si="8">IF($J$102="applicable", SUMIFS($K$167:$K$173, $H$167:$H$173, H110), 0)</f>
        <v>235.1312451085</v>
      </c>
      <c r="L110" s="195">
        <f>SUMIFS('Data input'!$M$23:$M$78,'Data input'!$I$23:$I$78,H110)</f>
        <v>1796</v>
      </c>
      <c r="M110" s="195">
        <f>SUMIFS('Data input'!$K$125:$K$138,'Data input'!$I$125:$I$138,H110)</f>
        <v>1796</v>
      </c>
      <c r="N110" s="231">
        <f>(I110+J110+K110)*(L110/M110)</f>
        <v>296.22991397516671</v>
      </c>
      <c r="O110" s="181"/>
    </row>
    <row r="111" spans="8:18">
      <c r="H111" s="171">
        <v>2021</v>
      </c>
      <c r="I111" s="355">
        <f t="shared" si="6"/>
        <v>52.256580066666714</v>
      </c>
      <c r="J111" s="174">
        <f t="shared" si="7"/>
        <v>0</v>
      </c>
      <c r="K111" s="174">
        <f t="shared" si="8"/>
        <v>265.84653100540004</v>
      </c>
      <c r="L111" s="181">
        <f>SUMIFS('Data input'!$M$23:$M$78,'Data input'!$I$23:$I$78,H111)</f>
        <v>1804</v>
      </c>
      <c r="M111" s="181">
        <f>SUMIFS('Data input'!$K$125:$K$138,'Data input'!$I$125:$I$138,H111)</f>
        <v>1804</v>
      </c>
      <c r="N111" s="200">
        <f t="shared" ref="N111:N116" si="9">(I111+J111+K111)*(L111/M111)</f>
        <v>318.10311107206678</v>
      </c>
      <c r="O111" s="181"/>
    </row>
    <row r="112" spans="8:18">
      <c r="H112" s="171">
        <v>2022</v>
      </c>
      <c r="I112" s="355">
        <f t="shared" si="6"/>
        <v>55.45634340000008</v>
      </c>
      <c r="J112" s="174">
        <f t="shared" si="7"/>
        <v>0</v>
      </c>
      <c r="K112" s="174">
        <f t="shared" si="8"/>
        <v>298.48692828460003</v>
      </c>
      <c r="L112" s="181">
        <f>SUMIFS('Data input'!$M$23:$M$78,'Data input'!$I$23:$I$78,H112)</f>
        <v>1812</v>
      </c>
      <c r="M112" s="181">
        <f>SUMIFS('Data input'!$K$125:$K$138,'Data input'!$I$125:$I$138,H112)</f>
        <v>1812</v>
      </c>
      <c r="N112" s="200">
        <f t="shared" si="9"/>
        <v>353.94327168460012</v>
      </c>
      <c r="O112" s="181"/>
    </row>
    <row r="113" spans="2:15">
      <c r="H113" s="171">
        <v>2023</v>
      </c>
      <c r="I113" s="355">
        <f t="shared" si="6"/>
        <v>63.555388266666753</v>
      </c>
      <c r="J113" s="174">
        <f t="shared" si="7"/>
        <v>0</v>
      </c>
      <c r="K113" s="174">
        <f t="shared" si="8"/>
        <v>255.31010928700002</v>
      </c>
      <c r="L113" s="181">
        <f>SUMIFS('Data input'!$M$23:$M$78,'Data input'!$I$23:$I$78,H113)</f>
        <v>1820</v>
      </c>
      <c r="M113" s="181">
        <f>SUMIFS('Data input'!$K$125:$K$138,'Data input'!$I$125:$I$138,H113)</f>
        <v>1820</v>
      </c>
      <c r="N113" s="200">
        <f t="shared" si="9"/>
        <v>318.86549755366678</v>
      </c>
      <c r="O113" s="181"/>
    </row>
    <row r="114" spans="2:15">
      <c r="H114" s="171">
        <v>2024</v>
      </c>
      <c r="I114" s="355">
        <f t="shared" si="6"/>
        <v>61.170472066666754</v>
      </c>
      <c r="J114" s="174">
        <f t="shared" si="7"/>
        <v>0</v>
      </c>
      <c r="K114" s="174">
        <f t="shared" si="8"/>
        <v>196.50627573640017</v>
      </c>
      <c r="L114" s="181">
        <f>SUMIFS('Data input'!$M$23:$M$78,'Data input'!$I$23:$I$78,H114)</f>
        <v>1828</v>
      </c>
      <c r="M114" s="181">
        <f>SUMIFS('Data input'!$K$125:$K$138,'Data input'!$I$125:$I$138,H114)</f>
        <v>1828</v>
      </c>
      <c r="N114" s="200">
        <f t="shared" si="9"/>
        <v>257.67674780306692</v>
      </c>
      <c r="O114" s="181"/>
    </row>
    <row r="115" spans="2:15">
      <c r="H115" s="171">
        <v>2025</v>
      </c>
      <c r="I115" s="355">
        <f t="shared" si="6"/>
        <v>61.108100200000102</v>
      </c>
      <c r="J115" s="174">
        <f t="shared" si="7"/>
        <v>0</v>
      </c>
      <c r="K115" s="174">
        <f t="shared" si="8"/>
        <v>255.30905172490034</v>
      </c>
      <c r="L115" s="181">
        <f>SUMIFS('Data input'!$M$23:$M$78,'Data input'!$I$23:$I$78,H115)</f>
        <v>1836</v>
      </c>
      <c r="M115" s="181">
        <f>SUMIFS('Data input'!$K$125:$K$138,'Data input'!$I$125:$I$138,H115)</f>
        <v>1836</v>
      </c>
      <c r="N115" s="200">
        <f t="shared" si="9"/>
        <v>316.41715192490045</v>
      </c>
      <c r="O115" s="181"/>
    </row>
    <row r="116" spans="2:15">
      <c r="H116" s="175">
        <v>2026</v>
      </c>
      <c r="I116" s="410">
        <f t="shared" si="6"/>
        <v>68.482238333333441</v>
      </c>
      <c r="J116" s="233">
        <f t="shared" si="7"/>
        <v>0</v>
      </c>
      <c r="K116" s="233">
        <f t="shared" si="8"/>
        <v>379.64553762100076</v>
      </c>
      <c r="L116" s="201">
        <f>SUMIFS('Data input'!$M$23:$M$78,'Data input'!$I$23:$I$78,H116)</f>
        <v>1844</v>
      </c>
      <c r="M116" s="201">
        <f>SUMIFS('Data input'!$K$125:$K$138,'Data input'!$I$125:$I$138,H116)</f>
        <v>1844</v>
      </c>
      <c r="N116" s="202">
        <f t="shared" si="9"/>
        <v>448.1277759543342</v>
      </c>
      <c r="O116" s="181"/>
    </row>
    <row r="117" spans="2:15">
      <c r="I117" s="181"/>
      <c r="J117" s="181"/>
      <c r="K117" s="181"/>
      <c r="L117" s="181">
        <f>SUM(L110:L116)</f>
        <v>12740</v>
      </c>
      <c r="M117" s="181">
        <f>SUM(M110:M116)</f>
        <v>12740</v>
      </c>
      <c r="N117" s="181"/>
    </row>
    <row r="120" spans="2:15">
      <c r="H120" s="400" t="s">
        <v>253</v>
      </c>
      <c r="I120" s="402"/>
      <c r="J120" s="402"/>
      <c r="K120" s="402"/>
      <c r="L120" s="402"/>
      <c r="M120" s="402"/>
    </row>
    <row r="121" spans="2:15">
      <c r="H121" s="403" t="s">
        <v>254</v>
      </c>
      <c r="I121" s="399"/>
    </row>
    <row r="122" spans="2:15">
      <c r="H122" s="403" t="s">
        <v>255</v>
      </c>
      <c r="I122" s="398" t="s">
        <v>225</v>
      </c>
    </row>
    <row r="123" spans="2:15">
      <c r="H123" s="403" t="s">
        <v>256</v>
      </c>
      <c r="I123" s="398" t="s">
        <v>225</v>
      </c>
    </row>
    <row r="125" spans="2:15" ht="16" thickBot="1">
      <c r="B125" s="292" t="s">
        <v>257</v>
      </c>
      <c r="H125" s="159" t="s">
        <v>258</v>
      </c>
    </row>
    <row r="126" spans="2:15">
      <c r="H126" s="179"/>
      <c r="I126" s="354" t="s">
        <v>259</v>
      </c>
      <c r="J126" s="343" t="s">
        <v>260</v>
      </c>
      <c r="K126" s="231" t="s">
        <v>231</v>
      </c>
    </row>
    <row r="127" spans="2:15">
      <c r="H127" s="171"/>
      <c r="I127" s="355" t="s">
        <v>12</v>
      </c>
      <c r="J127" s="174" t="s">
        <v>12</v>
      </c>
      <c r="K127" s="200" t="s">
        <v>134</v>
      </c>
      <c r="L127" s="395" t="s">
        <v>261</v>
      </c>
      <c r="M127" s="386"/>
      <c r="N127" s="386"/>
      <c r="O127" s="386"/>
    </row>
    <row r="128" spans="2:15" ht="17">
      <c r="H128" s="171" t="s">
        <v>233</v>
      </c>
      <c r="I128" s="356" t="s">
        <v>262</v>
      </c>
      <c r="J128" s="369" t="s">
        <v>263</v>
      </c>
      <c r="K128" s="200" t="s">
        <v>37</v>
      </c>
    </row>
    <row r="129" spans="2:12" ht="17">
      <c r="H129" s="175"/>
      <c r="I129" s="265" t="s">
        <v>11</v>
      </c>
      <c r="J129" s="169" t="s">
        <v>11</v>
      </c>
      <c r="K129" s="200" t="s">
        <v>11</v>
      </c>
    </row>
    <row r="130" spans="2:12">
      <c r="H130" s="171">
        <v>2020</v>
      </c>
      <c r="I130" s="354">
        <f>IF($I$122="applicable", SUMIFS('Tool 05 Calcs'!$G$11:$G$17, 'Tool 05 Calcs'!$E$11:$E$17, H130), 0)</f>
        <v>22.013102200000041</v>
      </c>
      <c r="J130" s="232">
        <f>IF($I$123="applicable", SUMIFS('Tool 03 Calcs'!$G$21:$G$27, 'Tool 03 Calcs'!$F$21:$F$27, H130), 0)</f>
        <v>39.085566666666665</v>
      </c>
      <c r="K130" s="231">
        <f>I130+J130</f>
        <v>61.098668866666706</v>
      </c>
      <c r="L130" s="181"/>
    </row>
    <row r="131" spans="2:12">
      <c r="H131" s="171">
        <v>2021</v>
      </c>
      <c r="I131" s="355">
        <f>IF($I$122="applicable", SUMIFS('Tool 05 Calcs'!$G$11:$G$17, 'Tool 05 Calcs'!$E$11:$E$17, H131), 0)</f>
        <v>23.531913400000047</v>
      </c>
      <c r="J131" s="174">
        <f>IF($I$123="applicable", SUMIFS('Tool 03 Calcs'!$G$21:$G$27, 'Tool 03 Calcs'!$F$21:$F$27, H131), 0)</f>
        <v>28.724666666666664</v>
      </c>
      <c r="K131" s="200">
        <f t="shared" ref="K131:K136" si="10">I131+J131</f>
        <v>52.256580066666714</v>
      </c>
      <c r="L131" s="181"/>
    </row>
    <row r="132" spans="2:12">
      <c r="H132" s="171">
        <v>2022</v>
      </c>
      <c r="I132" s="355">
        <f>IF($I$122="applicable", SUMIFS('Tool 05 Calcs'!$G$11:$G$17, 'Tool 05 Calcs'!$E$11:$E$17, H132), 0)</f>
        <v>24.870843400000087</v>
      </c>
      <c r="J132" s="174">
        <f>IF($I$123="applicable", SUMIFS('Tool 03 Calcs'!$G$21:$G$27, 'Tool 03 Calcs'!$F$21:$F$27, H132), 0)</f>
        <v>30.585499999999996</v>
      </c>
      <c r="K132" s="200">
        <f t="shared" si="10"/>
        <v>55.45634340000008</v>
      </c>
      <c r="L132" s="181"/>
    </row>
    <row r="133" spans="2:12">
      <c r="H133" s="171">
        <v>2023</v>
      </c>
      <c r="I133" s="355">
        <f>IF($I$122="applicable", SUMIFS('Tool 05 Calcs'!$G$11:$G$17, 'Tool 05 Calcs'!$E$11:$E$17, H133), 0)</f>
        <v>26.230921600000087</v>
      </c>
      <c r="J133" s="174">
        <f>IF($I$123="applicable", SUMIFS('Tool 03 Calcs'!$G$21:$G$27, 'Tool 03 Calcs'!$F$21:$F$27, H133), 0)</f>
        <v>37.324466666666666</v>
      </c>
      <c r="K133" s="200">
        <f t="shared" si="10"/>
        <v>63.555388266666753</v>
      </c>
      <c r="L133" s="181"/>
    </row>
    <row r="134" spans="2:12">
      <c r="H134" s="171">
        <v>2024</v>
      </c>
      <c r="I134" s="355">
        <f>IF($I$122="applicable", SUMIFS('Tool 05 Calcs'!$G$11:$G$17, 'Tool 05 Calcs'!$E$11:$E$17, H134), 0)</f>
        <v>27.716905400000094</v>
      </c>
      <c r="J134" s="174">
        <f>IF($I$123="applicable", SUMIFS('Tool 03 Calcs'!$G$21:$G$27, 'Tool 03 Calcs'!$F$21:$F$27, H134), 0)</f>
        <v>33.45356666666666</v>
      </c>
      <c r="K134" s="200">
        <f t="shared" si="10"/>
        <v>61.170472066666754</v>
      </c>
      <c r="L134" s="181"/>
    </row>
    <row r="135" spans="2:12">
      <c r="H135" s="171">
        <v>2025</v>
      </c>
      <c r="I135" s="355">
        <f>IF($I$122="applicable", SUMIFS('Tool 05 Calcs'!$G$11:$G$17, 'Tool 05 Calcs'!$E$11:$E$17, H135), 0)</f>
        <v>29.183900200000103</v>
      </c>
      <c r="J135" s="174">
        <f>IF($I$123="applicable", SUMIFS('Tool 03 Calcs'!$G$21:$G$27, 'Tool 03 Calcs'!$F$21:$F$27, H135), 0)</f>
        <v>31.924199999999999</v>
      </c>
      <c r="K135" s="200">
        <f t="shared" si="10"/>
        <v>61.108100200000102</v>
      </c>
      <c r="L135" s="181"/>
    </row>
    <row r="136" spans="2:12">
      <c r="H136" s="175">
        <v>2026</v>
      </c>
      <c r="I136" s="410">
        <f>IF($I$122="applicable", SUMIFS('Tool 05 Calcs'!$G$11:$G$17, 'Tool 05 Calcs'!$E$11:$E$17, H136), 0)</f>
        <v>30.673405000000102</v>
      </c>
      <c r="J136" s="233">
        <f>IF($I$123="applicable", SUMIFS('Tool 03 Calcs'!$G$21:$G$27, 'Tool 03 Calcs'!$F$21:$F$27, H136), 0)</f>
        <v>37.808833333333332</v>
      </c>
      <c r="K136" s="202">
        <f t="shared" si="10"/>
        <v>68.482238333333441</v>
      </c>
      <c r="L136" s="181"/>
    </row>
    <row r="137" spans="2:12">
      <c r="I137" s="284">
        <f>SUM(I130:I136)</f>
        <v>184.22099120000053</v>
      </c>
      <c r="J137" s="284">
        <f>SUM(J130:J136)</f>
        <v>238.90679999999998</v>
      </c>
      <c r="K137" s="284">
        <f>SUM(K130:K136)</f>
        <v>423.12779120000056</v>
      </c>
    </row>
    <row r="141" spans="2:12" ht="16" thickBot="1">
      <c r="B141" s="292" t="s">
        <v>264</v>
      </c>
      <c r="H141" s="181" t="s">
        <v>265</v>
      </c>
      <c r="I141" s="181"/>
    </row>
    <row r="142" spans="2:12">
      <c r="G142" s="181"/>
      <c r="H142" s="243"/>
      <c r="I142" s="227" t="s">
        <v>231</v>
      </c>
      <c r="J142" s="181"/>
    </row>
    <row r="143" spans="2:12">
      <c r="G143" s="181"/>
      <c r="H143" s="244"/>
      <c r="I143" s="228" t="s">
        <v>266</v>
      </c>
      <c r="J143" s="395" t="s">
        <v>267</v>
      </c>
      <c r="K143" s="386"/>
      <c r="L143" s="386"/>
    </row>
    <row r="144" spans="2:12" ht="17">
      <c r="G144" s="181"/>
      <c r="H144" s="244" t="s">
        <v>233</v>
      </c>
      <c r="I144" s="590" t="s">
        <v>90</v>
      </c>
      <c r="J144" s="181"/>
    </row>
    <row r="145" spans="3:13" ht="17">
      <c r="G145" s="181"/>
      <c r="H145" s="245"/>
      <c r="I145" s="283" t="s">
        <v>11</v>
      </c>
      <c r="J145" s="181"/>
    </row>
    <row r="146" spans="3:13">
      <c r="G146" s="181"/>
      <c r="H146" s="219">
        <v>2020</v>
      </c>
      <c r="I146" s="243">
        <f>SUMIFS('Data input'!$J$150:$J$156,'Data input'!$I$150:$I$156,H146)</f>
        <v>0</v>
      </c>
      <c r="J146" s="181"/>
    </row>
    <row r="147" spans="3:13">
      <c r="G147" s="181"/>
      <c r="H147" s="219">
        <v>2021</v>
      </c>
      <c r="I147" s="244">
        <f>SUMIFS('Data input'!$J$150:$J$156,'Data input'!$I$150:$I$156,H147)</f>
        <v>0</v>
      </c>
      <c r="J147" s="181"/>
    </row>
    <row r="148" spans="3:13">
      <c r="G148" s="181"/>
      <c r="H148" s="219">
        <v>2022</v>
      </c>
      <c r="I148" s="244">
        <f>SUMIFS('Data input'!$J$150:$J$156,'Data input'!$I$150:$I$156,H148)</f>
        <v>0</v>
      </c>
      <c r="J148" s="181"/>
    </row>
    <row r="149" spans="3:13">
      <c r="G149" s="181"/>
      <c r="H149" s="219">
        <v>2023</v>
      </c>
      <c r="I149" s="244">
        <f>SUMIFS('Data input'!$J$150:$J$156,'Data input'!$I$150:$I$156,H149)</f>
        <v>0</v>
      </c>
      <c r="J149" s="181"/>
    </row>
    <row r="150" spans="3:13">
      <c r="G150" s="181"/>
      <c r="H150" s="219">
        <v>2024</v>
      </c>
      <c r="I150" s="244">
        <f>SUMIFS('Data input'!$J$150:$J$156,'Data input'!$I$150:$I$156,H150)</f>
        <v>0</v>
      </c>
      <c r="J150" s="181"/>
    </row>
    <row r="151" spans="3:13">
      <c r="G151" s="181"/>
      <c r="H151" s="219">
        <v>2025</v>
      </c>
      <c r="I151" s="244">
        <f>SUMIFS('Data input'!$J$150:$J$156,'Data input'!$I$150:$I$156,H151)</f>
        <v>0</v>
      </c>
      <c r="J151" s="181"/>
    </row>
    <row r="152" spans="3:13">
      <c r="G152" s="181"/>
      <c r="H152" s="220">
        <v>2026</v>
      </c>
      <c r="I152" s="245">
        <f>SUMIFS('Data input'!$J$150:$J$156,'Data input'!$I$150:$I$156,H152)</f>
        <v>0</v>
      </c>
      <c r="J152" s="181"/>
    </row>
    <row r="153" spans="3:13">
      <c r="H153" s="181"/>
      <c r="I153" s="181"/>
    </row>
    <row r="155" spans="3:13">
      <c r="C155" s="292" t="s">
        <v>268</v>
      </c>
    </row>
    <row r="156" spans="3:13">
      <c r="H156" s="400" t="s">
        <v>269</v>
      </c>
      <c r="I156" s="402"/>
      <c r="J156" s="402"/>
      <c r="K156" s="402"/>
      <c r="L156" s="402"/>
      <c r="M156" s="402"/>
    </row>
    <row r="157" spans="3:13">
      <c r="H157" s="403" t="s">
        <v>270</v>
      </c>
      <c r="I157" s="399"/>
    </row>
    <row r="158" spans="3:13">
      <c r="H158" s="403" t="s">
        <v>255</v>
      </c>
      <c r="I158" s="398" t="s">
        <v>225</v>
      </c>
    </row>
    <row r="159" spans="3:13">
      <c r="H159" s="403" t="s">
        <v>256</v>
      </c>
      <c r="I159" s="398" t="s">
        <v>225</v>
      </c>
    </row>
    <row r="162" spans="1:13" ht="16" thickBot="1">
      <c r="H162" s="159" t="s">
        <v>271</v>
      </c>
    </row>
    <row r="163" spans="1:13">
      <c r="H163" s="179"/>
      <c r="I163" s="172" t="s">
        <v>259</v>
      </c>
      <c r="J163" s="166" t="s">
        <v>260</v>
      </c>
      <c r="K163" s="167" t="s">
        <v>231</v>
      </c>
    </row>
    <row r="164" spans="1:13">
      <c r="H164" s="171"/>
      <c r="I164" s="173" t="s">
        <v>12</v>
      </c>
      <c r="J164" s="174" t="s">
        <v>12</v>
      </c>
      <c r="K164" s="168" t="s">
        <v>136</v>
      </c>
      <c r="L164" s="395" t="s">
        <v>272</v>
      </c>
      <c r="M164" s="386"/>
    </row>
    <row r="165" spans="1:13" ht="17">
      <c r="H165" s="171" t="s">
        <v>233</v>
      </c>
      <c r="I165" s="371" t="s">
        <v>273</v>
      </c>
      <c r="J165" s="267" t="s">
        <v>274</v>
      </c>
      <c r="K165" s="168" t="s">
        <v>45</v>
      </c>
    </row>
    <row r="166" spans="1:13" ht="17">
      <c r="H166" s="175"/>
      <c r="I166" s="186" t="s">
        <v>11</v>
      </c>
      <c r="J166" s="169" t="s">
        <v>11</v>
      </c>
      <c r="K166" s="168" t="s">
        <v>11</v>
      </c>
    </row>
    <row r="167" spans="1:13">
      <c r="H167" s="171">
        <v>2020</v>
      </c>
      <c r="I167" s="354">
        <f>IF($I$158="applicable", SUMIFS('Tool 05 Calcs'!$G$71:$G$77, 'Tool 05 Calcs'!$E$71:$E$77, H167), 0)</f>
        <v>235.11745249999998</v>
      </c>
      <c r="J167" s="232">
        <f>IF($I$159="applicable", SUMIFS('Tool 03 Calcs'!$G$153:$G$159, 'Tool 03 Calcs'!$F$153:$F$159, H167), 0)</f>
        <v>1.3792608499999999E-2</v>
      </c>
      <c r="K167" s="231">
        <f>I167+J167</f>
        <v>235.1312451085</v>
      </c>
      <c r="L167" s="181"/>
    </row>
    <row r="168" spans="1:13">
      <c r="H168" s="171">
        <v>2021</v>
      </c>
      <c r="I168" s="355">
        <f>IF($I$158="applicable", SUMIFS('Tool 05 Calcs'!$G$71:$G$77, 'Tool 05 Calcs'!$E$71:$E$77, H168), 0)</f>
        <v>265.83561250000002</v>
      </c>
      <c r="J168" s="174">
        <f>IF($I$159="applicable", SUMIFS('Tool 03 Calcs'!$G$153:$G$159, 'Tool 03 Calcs'!$F$153:$F$159, H168), 0)</f>
        <v>1.09185054E-2</v>
      </c>
      <c r="K168" s="200">
        <f t="shared" ref="K168:K173" si="11">I168+J168</f>
        <v>265.84653100540004</v>
      </c>
      <c r="L168" s="181"/>
    </row>
    <row r="169" spans="1:13">
      <c r="H169" s="171">
        <v>2022</v>
      </c>
      <c r="I169" s="355">
        <f>IF($I$158="applicable", SUMIFS('Tool 05 Calcs'!$G$71:$G$77, 'Tool 05 Calcs'!$E$71:$E$77, H169), 0)</f>
        <v>298.4754575</v>
      </c>
      <c r="J169" s="174">
        <f>IF($I$159="applicable", SUMIFS('Tool 03 Calcs'!$G$153:$G$159, 'Tool 03 Calcs'!$F$153:$F$159, H169), 0)</f>
        <v>1.1470784599999999E-2</v>
      </c>
      <c r="K169" s="200">
        <f t="shared" si="11"/>
        <v>298.48692828460003</v>
      </c>
      <c r="L169" s="181"/>
    </row>
    <row r="170" spans="1:13">
      <c r="H170" s="171">
        <v>2023</v>
      </c>
      <c r="I170" s="355">
        <f>IF($I$158="applicable", SUMIFS('Tool 05 Calcs'!$G$71:$G$77, 'Tool 05 Calcs'!$E$71:$E$77, H170), 0)</f>
        <v>255.29808500000001</v>
      </c>
      <c r="J170" s="174">
        <f>IF($I$159="applicable", SUMIFS('Tool 03 Calcs'!$G$153:$G$159, 'Tool 03 Calcs'!$F$153:$F$159, H170), 0)</f>
        <v>1.2024286999999998E-2</v>
      </c>
      <c r="K170" s="200">
        <f t="shared" si="11"/>
        <v>255.31010928700002</v>
      </c>
      <c r="L170" s="181"/>
    </row>
    <row r="171" spans="1:13">
      <c r="H171" s="171">
        <v>2024</v>
      </c>
      <c r="I171" s="355">
        <f>IF($I$158="applicable", SUMIFS('Tool 05 Calcs'!$G$71:$G$77, 'Tool 05 Calcs'!$E$71:$E$77, H171), 0)</f>
        <v>196.49341687500018</v>
      </c>
      <c r="J171" s="174">
        <f>IF($I$159="applicable", SUMIFS('Tool 03 Calcs'!$G$153:$G$159, 'Tool 03 Calcs'!$F$153:$F$159, H171), 0)</f>
        <v>1.2858861399999998E-2</v>
      </c>
      <c r="K171" s="200">
        <f t="shared" si="11"/>
        <v>196.50627573640017</v>
      </c>
      <c r="L171" s="181"/>
    </row>
    <row r="172" spans="1:13">
      <c r="H172" s="171">
        <v>2025</v>
      </c>
      <c r="I172" s="355">
        <f>IF($I$158="applicable", SUMIFS('Tool 05 Calcs'!$G$71:$G$77, 'Tool 05 Calcs'!$E$71:$E$77, H172), 0)</f>
        <v>255.29556500000035</v>
      </c>
      <c r="J172" s="174">
        <f>IF($I$159="applicable", SUMIFS('Tool 03 Calcs'!$G$153:$G$159, 'Tool 03 Calcs'!$F$153:$F$159, H172), 0)</f>
        <v>1.34867249E-2</v>
      </c>
      <c r="K172" s="200">
        <f t="shared" si="11"/>
        <v>255.30905172490034</v>
      </c>
      <c r="L172" s="181"/>
    </row>
    <row r="173" spans="1:13">
      <c r="H173" s="175">
        <v>2026</v>
      </c>
      <c r="I173" s="410">
        <f>IF($I$158="applicable", SUMIFS('Tool 05 Calcs'!$G$71:$G$77, 'Tool 05 Calcs'!$E$71:$E$77, H173), 0)</f>
        <v>379.63149875000073</v>
      </c>
      <c r="J173" s="233">
        <f>IF($I$159="applicable", SUMIFS('Tool 03 Calcs'!$G$153:$G$159, 'Tool 03 Calcs'!$F$153:$F$159, H173), 0)</f>
        <v>1.4038870999999998E-2</v>
      </c>
      <c r="K173" s="202">
        <f t="shared" si="11"/>
        <v>379.64553762100076</v>
      </c>
      <c r="L173" s="181"/>
    </row>
    <row r="174" spans="1:13">
      <c r="I174" s="284">
        <f>SUM(I167:I173)</f>
        <v>1886.1470881250013</v>
      </c>
      <c r="J174" s="284">
        <f>SUM(J167:J173)</f>
        <v>8.8590642799999994E-2</v>
      </c>
      <c r="K174" s="284">
        <f>SUM(K167:K173)</f>
        <v>1886.2356787678013</v>
      </c>
    </row>
    <row r="176" spans="1:13">
      <c r="A176" s="292" t="s">
        <v>275</v>
      </c>
      <c r="H176" s="159" t="s">
        <v>276</v>
      </c>
    </row>
    <row r="177" spans="8:13">
      <c r="H177" s="179"/>
      <c r="I177" s="172"/>
      <c r="J177" s="166"/>
      <c r="K177" s="167" t="s">
        <v>231</v>
      </c>
    </row>
    <row r="178" spans="8:13">
      <c r="H178" s="171"/>
      <c r="I178" s="173"/>
      <c r="J178" s="174"/>
      <c r="K178" s="168" t="s">
        <v>67</v>
      </c>
    </row>
    <row r="179" spans="8:13" ht="17">
      <c r="H179" s="171" t="s">
        <v>233</v>
      </c>
      <c r="I179" s="184" t="s">
        <v>66</v>
      </c>
      <c r="J179" s="185" t="s">
        <v>69</v>
      </c>
      <c r="K179" s="187" t="s">
        <v>277</v>
      </c>
    </row>
    <row r="180" spans="8:13" ht="17">
      <c r="H180" s="175"/>
      <c r="I180" s="188" t="s">
        <v>11</v>
      </c>
      <c r="J180" s="189" t="s">
        <v>11</v>
      </c>
      <c r="K180" s="178" t="s">
        <v>11</v>
      </c>
    </row>
    <row r="181" spans="8:13">
      <c r="H181" s="171">
        <v>2020</v>
      </c>
      <c r="I181" s="172">
        <f t="shared" ref="I181:I187" si="12">SUMIFS($K$201:$K$207,$H$201:$H$207,H181)</f>
        <v>1210.0737854285712</v>
      </c>
      <c r="J181" s="166">
        <f t="shared" ref="J181:J187" si="13">SUMIFS($I$216:$I$222,$H$216:$H$222,H181)</f>
        <v>0</v>
      </c>
      <c r="K181" s="167">
        <f>I181+J181</f>
        <v>1210.0737854285712</v>
      </c>
    </row>
    <row r="182" spans="8:13">
      <c r="H182" s="171">
        <v>2021</v>
      </c>
      <c r="I182" s="173">
        <f t="shared" si="12"/>
        <v>1339.5478839010993</v>
      </c>
      <c r="J182" s="174">
        <f t="shared" si="13"/>
        <v>0</v>
      </c>
      <c r="K182" s="168">
        <f t="shared" ref="K182:K187" si="14">I182+J182</f>
        <v>1339.5478839010993</v>
      </c>
    </row>
    <row r="183" spans="8:13">
      <c r="H183" s="171">
        <v>2022</v>
      </c>
      <c r="I183" s="173">
        <f t="shared" si="12"/>
        <v>1533.6932116666671</v>
      </c>
      <c r="J183" s="174">
        <f t="shared" si="13"/>
        <v>0</v>
      </c>
      <c r="K183" s="168">
        <f t="shared" si="14"/>
        <v>1533.6932116666671</v>
      </c>
    </row>
    <row r="184" spans="8:13">
      <c r="H184" s="171">
        <v>2023</v>
      </c>
      <c r="I184" s="173">
        <f t="shared" si="12"/>
        <v>1590.8837261172173</v>
      </c>
      <c r="J184" s="174">
        <f t="shared" si="13"/>
        <v>0</v>
      </c>
      <c r="K184" s="168">
        <f t="shared" si="14"/>
        <v>1590.8837261172173</v>
      </c>
    </row>
    <row r="185" spans="8:13">
      <c r="H185" s="171">
        <v>2024</v>
      </c>
      <c r="I185" s="173">
        <f t="shared" si="12"/>
        <v>1588.5595153205129</v>
      </c>
      <c r="J185" s="174">
        <f t="shared" si="13"/>
        <v>0</v>
      </c>
      <c r="K185" s="168">
        <f t="shared" si="14"/>
        <v>1588.5595153205129</v>
      </c>
    </row>
    <row r="186" spans="8:13">
      <c r="H186" s="171">
        <v>2025</v>
      </c>
      <c r="I186" s="173">
        <f t="shared" si="12"/>
        <v>1642.5635321703307</v>
      </c>
      <c r="J186" s="174">
        <f t="shared" si="13"/>
        <v>0</v>
      </c>
      <c r="K186" s="168">
        <f t="shared" si="14"/>
        <v>1642.5635321703307</v>
      </c>
    </row>
    <row r="187" spans="8:13">
      <c r="H187" s="175">
        <v>2026</v>
      </c>
      <c r="I187" s="176">
        <f t="shared" si="12"/>
        <v>1711.9199676153858</v>
      </c>
      <c r="J187" s="177">
        <f t="shared" si="13"/>
        <v>0</v>
      </c>
      <c r="K187" s="178">
        <f t="shared" si="14"/>
        <v>1711.9199676153858</v>
      </c>
    </row>
    <row r="188" spans="8:13">
      <c r="K188" s="284">
        <f>SUM(K181:K187)</f>
        <v>10617.241622219784</v>
      </c>
    </row>
    <row r="190" spans="8:13">
      <c r="H190" s="400" t="s">
        <v>278</v>
      </c>
      <c r="I190" s="402"/>
      <c r="J190" s="402"/>
      <c r="K190" s="402"/>
      <c r="L190" s="402"/>
      <c r="M190" s="402"/>
    </row>
    <row r="191" spans="8:13">
      <c r="H191" s="403" t="s">
        <v>279</v>
      </c>
      <c r="I191" s="399"/>
    </row>
    <row r="192" spans="8:13">
      <c r="H192" s="403" t="s">
        <v>255</v>
      </c>
      <c r="I192" s="398" t="s">
        <v>225</v>
      </c>
    </row>
    <row r="193" spans="2:12">
      <c r="H193" s="403" t="s">
        <v>256</v>
      </c>
      <c r="I193" s="398" t="s">
        <v>225</v>
      </c>
    </row>
    <row r="196" spans="2:12" ht="16" thickBot="1">
      <c r="B196" s="292" t="s">
        <v>280</v>
      </c>
      <c r="H196" s="159" t="s">
        <v>281</v>
      </c>
    </row>
    <row r="197" spans="2:12">
      <c r="H197" s="160"/>
      <c r="I197" s="166"/>
      <c r="J197" s="166"/>
      <c r="K197" s="167" t="s">
        <v>231</v>
      </c>
    </row>
    <row r="198" spans="2:12">
      <c r="H198" s="162"/>
      <c r="I198" s="174"/>
      <c r="J198" s="174"/>
      <c r="K198" s="168" t="s">
        <v>72</v>
      </c>
    </row>
    <row r="199" spans="2:12" ht="17">
      <c r="H199" s="162" t="s">
        <v>233</v>
      </c>
      <c r="I199" s="185" t="s">
        <v>99</v>
      </c>
      <c r="J199" s="185" t="s">
        <v>104</v>
      </c>
      <c r="K199" s="253" t="s">
        <v>282</v>
      </c>
    </row>
    <row r="200" spans="2:12" ht="17">
      <c r="H200" s="165"/>
      <c r="I200" s="169" t="s">
        <v>11</v>
      </c>
      <c r="J200" s="169" t="s">
        <v>11</v>
      </c>
      <c r="K200" s="168" t="s">
        <v>11</v>
      </c>
    </row>
    <row r="201" spans="2:12">
      <c r="H201" s="171">
        <v>2020</v>
      </c>
      <c r="I201" s="354">
        <f>IF($I$192="applicable", SUMIFS('Tool 05 Calcs'!$G$130:$G$136, 'Tool 05 Calcs'!$E$130:$E$136, H201), 0)</f>
        <v>72.561399999999992</v>
      </c>
      <c r="J201" s="232">
        <f>IF($I$193="applicable", SUMIFS('Tool 03 Calcs'!$G$279:$G$285, 'Tool 03 Calcs'!$F$279:$F$285, H201), 0)</f>
        <v>1137.5123854285712</v>
      </c>
      <c r="K201" s="231">
        <f>I201+J201</f>
        <v>1210.0737854285712</v>
      </c>
      <c r="L201" s="181"/>
    </row>
    <row r="202" spans="2:12">
      <c r="H202" s="171">
        <v>2021</v>
      </c>
      <c r="I202" s="355">
        <f>IF($I$192="applicable", SUMIFS('Tool 05 Calcs'!$G$130:$G$136, 'Tool 05 Calcs'!$E$130:$E$136, H202), 0)</f>
        <v>80.754803571428738</v>
      </c>
      <c r="J202" s="174">
        <f>IF($I$193="applicable", SUMIFS('Tool 03 Calcs'!$G$279:$G$285, 'Tool 03 Calcs'!$F$279:$F$285, H202), 0)</f>
        <v>1258.7930803296706</v>
      </c>
      <c r="K202" s="200">
        <f t="shared" ref="K202:K207" si="15">I202+J202</f>
        <v>1339.5478839010993</v>
      </c>
      <c r="L202" s="181"/>
    </row>
    <row r="203" spans="2:12">
      <c r="H203" s="171">
        <v>2022</v>
      </c>
      <c r="I203" s="355">
        <f>IF($I$192="applicable", SUMIFS('Tool 05 Calcs'!$G$130:$G$136, 'Tool 05 Calcs'!$E$130:$E$136, H203), 0)</f>
        <v>50.737059523809492</v>
      </c>
      <c r="J203" s="174">
        <f>IF($I$193="applicable", SUMIFS('Tool 03 Calcs'!$G$279:$G$285, 'Tool 03 Calcs'!$F$279:$F$285, H203), 0)</f>
        <v>1482.9561521428577</v>
      </c>
      <c r="K203" s="200">
        <f t="shared" si="15"/>
        <v>1533.6932116666671</v>
      </c>
      <c r="L203" s="181"/>
    </row>
    <row r="204" spans="2:12">
      <c r="H204" s="171">
        <v>2023</v>
      </c>
      <c r="I204" s="355">
        <f>IF($I$192="applicable", SUMIFS('Tool 05 Calcs'!$G$130:$G$136, 'Tool 05 Calcs'!$E$130:$E$136, H204), 0)</f>
        <v>95.724653809523858</v>
      </c>
      <c r="J204" s="174">
        <f>IF($I$193="applicable", SUMIFS('Tool 03 Calcs'!$G$279:$G$285, 'Tool 03 Calcs'!$F$279:$F$285, H204), 0)</f>
        <v>1495.1590723076934</v>
      </c>
      <c r="K204" s="200">
        <f t="shared" si="15"/>
        <v>1590.8837261172173</v>
      </c>
      <c r="L204" s="181"/>
    </row>
    <row r="205" spans="2:12">
      <c r="H205" s="171">
        <v>2024</v>
      </c>
      <c r="I205" s="355">
        <f>IF($I$192="applicable", SUMIFS('Tool 05 Calcs'!$G$130:$G$136, 'Tool 05 Calcs'!$E$130:$E$136, H205), 0)</f>
        <v>85.735599166666816</v>
      </c>
      <c r="J205" s="174">
        <f>IF($I$193="applicable", SUMIFS('Tool 03 Calcs'!$G$279:$G$285, 'Tool 03 Calcs'!$F$279:$F$285, H205), 0)</f>
        <v>1502.8239161538461</v>
      </c>
      <c r="K205" s="200">
        <f t="shared" si="15"/>
        <v>1588.5595153205129</v>
      </c>
      <c r="L205" s="181"/>
    </row>
    <row r="206" spans="2:12">
      <c r="H206" s="171">
        <v>2025</v>
      </c>
      <c r="I206" s="355">
        <f>IF($I$192="applicable", SUMIFS('Tool 05 Calcs'!$G$130:$G$136, 'Tool 05 Calcs'!$E$130:$E$136, H206), 0)</f>
        <v>85.913456785714601</v>
      </c>
      <c r="J206" s="174">
        <f>IF($I$193="applicable", SUMIFS('Tool 03 Calcs'!$G$279:$G$285, 'Tool 03 Calcs'!$F$279:$F$285, H206), 0)</f>
        <v>1556.6500753846162</v>
      </c>
      <c r="K206" s="200">
        <f t="shared" si="15"/>
        <v>1642.5635321703307</v>
      </c>
      <c r="L206" s="181"/>
    </row>
    <row r="207" spans="2:12">
      <c r="H207" s="175">
        <v>2026</v>
      </c>
      <c r="I207" s="410">
        <f>IF($I$192="applicable", SUMIFS('Tool 05 Calcs'!$G$130:$G$136, 'Tool 05 Calcs'!$E$130:$E$136, H207), 0)</f>
        <v>106.51061999999993</v>
      </c>
      <c r="J207" s="233">
        <f>IF($I$193="applicable", SUMIFS('Tool 03 Calcs'!$G$279:$G$285, 'Tool 03 Calcs'!$F$279:$F$285, H207), 0)</f>
        <v>1605.4093476153857</v>
      </c>
      <c r="K207" s="202">
        <f t="shared" si="15"/>
        <v>1711.9199676153858</v>
      </c>
      <c r="L207" s="181"/>
    </row>
    <row r="208" spans="2:12">
      <c r="I208" s="181"/>
      <c r="J208" s="181"/>
      <c r="K208" s="181"/>
    </row>
    <row r="211" spans="2:10">
      <c r="B211" s="292" t="s">
        <v>283</v>
      </c>
      <c r="H211" s="159" t="s">
        <v>284</v>
      </c>
    </row>
    <row r="212" spans="2:10">
      <c r="H212" s="179"/>
      <c r="I212" s="160" t="s">
        <v>231</v>
      </c>
    </row>
    <row r="213" spans="2:10">
      <c r="H213" s="171"/>
      <c r="I213" s="162" t="s">
        <v>285</v>
      </c>
    </row>
    <row r="214" spans="2:10" ht="17">
      <c r="H214" s="171" t="s">
        <v>233</v>
      </c>
      <c r="I214" s="254" t="s">
        <v>286</v>
      </c>
    </row>
    <row r="215" spans="2:10" ht="17">
      <c r="H215" s="171"/>
      <c r="I215" s="246" t="s">
        <v>11</v>
      </c>
    </row>
    <row r="216" spans="2:10">
      <c r="G216" s="181"/>
      <c r="H216" s="243">
        <v>2020</v>
      </c>
      <c r="I216" s="227">
        <f>SUMIFS('Data input'!$L$182:$L$209,'Data input'!$I$182:$I$209,H216)</f>
        <v>0</v>
      </c>
      <c r="J216" s="181"/>
    </row>
    <row r="217" spans="2:10">
      <c r="G217" s="181"/>
      <c r="H217" s="244">
        <v>2021</v>
      </c>
      <c r="I217" s="228">
        <f>SUMIFS('Data input'!$L$182:$L$209,'Data input'!$I$182:$I$209,H217)</f>
        <v>0</v>
      </c>
      <c r="J217" s="181"/>
    </row>
    <row r="218" spans="2:10">
      <c r="G218" s="181"/>
      <c r="H218" s="244">
        <v>2022</v>
      </c>
      <c r="I218" s="228">
        <f>SUMIFS('Data input'!$L$182:$L$209,'Data input'!$I$182:$I$209,H218)</f>
        <v>0</v>
      </c>
      <c r="J218" s="181"/>
    </row>
    <row r="219" spans="2:10">
      <c r="G219" s="181"/>
      <c r="H219" s="244">
        <v>2023</v>
      </c>
      <c r="I219" s="228">
        <f>SUMIFS('Data input'!$L$182:$L$209,'Data input'!$I$182:$I$209,H219)</f>
        <v>0</v>
      </c>
      <c r="J219" s="181"/>
    </row>
    <row r="220" spans="2:10">
      <c r="G220" s="181"/>
      <c r="H220" s="244">
        <v>2024</v>
      </c>
      <c r="I220" s="228">
        <f>SUMIFS('Data input'!$L$182:$L$209,'Data input'!$I$182:$I$209,H220)</f>
        <v>0</v>
      </c>
      <c r="J220" s="181"/>
    </row>
    <row r="221" spans="2:10">
      <c r="G221" s="181"/>
      <c r="H221" s="244">
        <v>2025</v>
      </c>
      <c r="I221" s="228">
        <f>SUMIFS('Data input'!$L$182:$L$209,'Data input'!$I$182:$I$209,H221)</f>
        <v>0</v>
      </c>
      <c r="J221" s="181"/>
    </row>
    <row r="222" spans="2:10">
      <c r="G222" s="181"/>
      <c r="H222" s="245">
        <v>2026</v>
      </c>
      <c r="I222" s="255">
        <f>SUMIFS('Data input'!$L$182:$L$209,'Data input'!$I$182:$I$209,H222)</f>
        <v>0</v>
      </c>
      <c r="J222" s="181"/>
    </row>
    <row r="223" spans="2:10">
      <c r="H223" s="181"/>
      <c r="I223" s="181"/>
    </row>
    <row r="224" spans="2:10">
      <c r="H224" s="181"/>
      <c r="I224" s="181"/>
    </row>
    <row r="225" spans="1:14" s="393" customFormat="1">
      <c r="A225" s="390" t="s">
        <v>287</v>
      </c>
      <c r="B225" s="394"/>
    </row>
    <row r="227" spans="1:14">
      <c r="H227" s="400" t="s">
        <v>288</v>
      </c>
      <c r="I227" s="402"/>
      <c r="J227" s="402"/>
    </row>
    <row r="228" spans="1:14">
      <c r="H228" s="403" t="s">
        <v>289</v>
      </c>
      <c r="I228" s="399"/>
      <c r="J228" s="399"/>
    </row>
    <row r="229" spans="1:14" ht="17">
      <c r="H229" s="403" t="s">
        <v>290</v>
      </c>
      <c r="I229" s="591" t="s">
        <v>52</v>
      </c>
      <c r="J229" s="398" t="s">
        <v>225</v>
      </c>
    </row>
    <row r="230" spans="1:14" ht="17">
      <c r="H230" s="403" t="s">
        <v>291</v>
      </c>
      <c r="I230" s="404" t="s">
        <v>55</v>
      </c>
      <c r="J230" s="398" t="s">
        <v>225</v>
      </c>
    </row>
    <row r="231" spans="1:14" ht="17">
      <c r="H231" s="403" t="s">
        <v>292</v>
      </c>
      <c r="I231" s="404" t="s">
        <v>60</v>
      </c>
      <c r="J231" s="398" t="s">
        <v>225</v>
      </c>
    </row>
    <row r="232" spans="1:14" ht="17">
      <c r="H232" s="403" t="s">
        <v>293</v>
      </c>
      <c r="I232" s="404" t="s">
        <v>57</v>
      </c>
      <c r="J232" s="398" t="s">
        <v>225</v>
      </c>
    </row>
    <row r="234" spans="1:14">
      <c r="H234" s="191" t="s">
        <v>294</v>
      </c>
    </row>
    <row r="235" spans="1:14">
      <c r="H235" s="179"/>
      <c r="I235" s="179"/>
      <c r="J235" s="180"/>
      <c r="K235" s="180"/>
      <c r="L235" s="180"/>
      <c r="M235" s="192" t="s">
        <v>231</v>
      </c>
    </row>
    <row r="236" spans="1:14">
      <c r="H236" s="171"/>
      <c r="I236" s="171"/>
      <c r="J236" s="181"/>
      <c r="K236" s="181"/>
      <c r="L236" s="181"/>
      <c r="M236" s="187" t="s">
        <v>53</v>
      </c>
    </row>
    <row r="237" spans="1:14" ht="17">
      <c r="H237" s="171" t="s">
        <v>233</v>
      </c>
      <c r="I237" s="182" t="s">
        <v>52</v>
      </c>
      <c r="J237" s="145" t="s">
        <v>55</v>
      </c>
      <c r="K237" s="145" t="s">
        <v>60</v>
      </c>
      <c r="L237" s="145" t="s">
        <v>57</v>
      </c>
      <c r="M237" s="168" t="s">
        <v>81</v>
      </c>
    </row>
    <row r="238" spans="1:14" ht="18" thickBot="1">
      <c r="H238" s="175"/>
      <c r="I238" s="234" t="s">
        <v>11</v>
      </c>
      <c r="J238" s="190" t="s">
        <v>11</v>
      </c>
      <c r="K238" s="190" t="s">
        <v>11</v>
      </c>
      <c r="L238" s="190" t="s">
        <v>11</v>
      </c>
      <c r="M238" s="168" t="s">
        <v>11</v>
      </c>
    </row>
    <row r="239" spans="1:14">
      <c r="H239" s="179">
        <v>2020</v>
      </c>
      <c r="I239" s="179">
        <f>IF($J$229="applicable", SUMIFS('Data input'!$J$224:$J$230, 'Data input'!$I$224:$I$230, H239), 0)</f>
        <v>5</v>
      </c>
      <c r="J239" s="180">
        <f>IF($J$230="applicable", SUMIFS('Data input'!$K$224:$K$230, 'Data input'!$I$224:$I$230, H239), 0)</f>
        <v>3</v>
      </c>
      <c r="K239" s="180">
        <f>IF($J$231="applicable", SUMIFS('Data input'!$L$224:$L$230, 'Data input'!$I$224:$I$230, H239), 0)</f>
        <v>0</v>
      </c>
      <c r="L239" s="180">
        <f>IF($J$232="applicable", SUMIFS('Data input'!$M$224:$M$230, 'Data input'!$I$224:$I$230, H239), 0)</f>
        <v>1.321012458</v>
      </c>
      <c r="M239" s="167">
        <f>I239+J239+K239+L239</f>
        <v>9.3210124580000002</v>
      </c>
      <c r="N239" s="181"/>
    </row>
    <row r="240" spans="1:14">
      <c r="H240" s="171">
        <v>2021</v>
      </c>
      <c r="I240" s="171">
        <f>IF($J$229="applicable", SUMIFS('Data input'!$J$224:$J$230, 'Data input'!$I$224:$I$230, H240), 0)</f>
        <v>2.0314000000000001</v>
      </c>
      <c r="J240" s="181">
        <f>IF($J$230="applicable", SUMIFS('Data input'!$K$224:$K$230, 'Data input'!$I$224:$I$230, H240), 0)</f>
        <v>4</v>
      </c>
      <c r="K240" s="181">
        <f>IF($J$231="applicable", SUMIFS('Data input'!$L$224:$L$230, 'Data input'!$I$224:$I$230, H240), 0)</f>
        <v>100.2325</v>
      </c>
      <c r="L240" s="181">
        <f>IF($J$232="applicable", SUMIFS('Data input'!$M$224:$M$230, 'Data input'!$I$224:$I$230, H240), 0)</f>
        <v>4</v>
      </c>
      <c r="M240" s="168">
        <f t="shared" ref="M240:M245" si="16">I240+J240+K240+L240</f>
        <v>110.26390000000001</v>
      </c>
      <c r="N240" s="181"/>
    </row>
    <row r="241" spans="1:16">
      <c r="H241" s="171">
        <v>2022</v>
      </c>
      <c r="I241" s="171">
        <f>IF($J$229="applicable", SUMIFS('Data input'!$J$224:$J$230, 'Data input'!$I$224:$I$230, H241), 0)</f>
        <v>6</v>
      </c>
      <c r="J241" s="181">
        <f>IF($J$230="applicable", SUMIFS('Data input'!$K$224:$K$230, 'Data input'!$I$224:$I$230, H241), 0)</f>
        <v>5.0324</v>
      </c>
      <c r="K241" s="181">
        <f>IF($J$231="applicable", SUMIFS('Data input'!$L$224:$L$230, 'Data input'!$I$224:$I$230, H241), 0)</f>
        <v>2</v>
      </c>
      <c r="L241" s="181">
        <f>IF($J$232="applicable", SUMIFS('Data input'!$M$224:$M$230, 'Data input'!$I$224:$I$230, H241), 0)</f>
        <v>5</v>
      </c>
      <c r="M241" s="168">
        <f t="shared" si="16"/>
        <v>18.032399999999999</v>
      </c>
      <c r="N241" s="181"/>
    </row>
    <row r="242" spans="1:16">
      <c r="H242" s="171">
        <v>2023</v>
      </c>
      <c r="I242" s="171">
        <f>IF($J$229="applicable", SUMIFS('Data input'!$J$224:$J$230, 'Data input'!$I$224:$I$230, H242), 0)</f>
        <v>6.3213999999999997</v>
      </c>
      <c r="J242" s="181">
        <f>IF($J$230="applicable", SUMIFS('Data input'!$K$224:$K$230, 'Data input'!$I$224:$I$230, H242), 0)</f>
        <v>6</v>
      </c>
      <c r="K242" s="181">
        <f>IF($J$231="applicable", SUMIFS('Data input'!$L$224:$L$230, 'Data input'!$I$224:$I$230, H242), 0)</f>
        <v>3</v>
      </c>
      <c r="L242" s="181">
        <f>IF($J$232="applicable", SUMIFS('Data input'!$M$224:$M$230, 'Data input'!$I$224:$I$230, H242), 0)</f>
        <v>3</v>
      </c>
      <c r="M242" s="168">
        <f t="shared" si="16"/>
        <v>18.321400000000001</v>
      </c>
      <c r="N242" s="181"/>
    </row>
    <row r="243" spans="1:16">
      <c r="H243" s="171">
        <v>2024</v>
      </c>
      <c r="I243" s="171">
        <f>IF($J$229="applicable", SUMIFS('Data input'!$J$224:$J$230, 'Data input'!$I$224:$I$230, H243), 0)</f>
        <v>2</v>
      </c>
      <c r="J243" s="181">
        <f>IF($J$230="applicable", SUMIFS('Data input'!$K$224:$K$230, 'Data input'!$I$224:$I$230, H243), 0)</f>
        <v>1</v>
      </c>
      <c r="K243" s="181">
        <f>IF($J$231="applicable", SUMIFS('Data input'!$L$224:$L$230, 'Data input'!$I$224:$I$230, H243), 0)</f>
        <v>1</v>
      </c>
      <c r="L243" s="181">
        <f>IF($J$232="applicable", SUMIFS('Data input'!$M$224:$M$230, 'Data input'!$I$224:$I$230, H243), 0)</f>
        <v>5</v>
      </c>
      <c r="M243" s="168">
        <f t="shared" si="16"/>
        <v>9</v>
      </c>
      <c r="N243" s="181"/>
    </row>
    <row r="244" spans="1:16">
      <c r="H244" s="171">
        <v>2025</v>
      </c>
      <c r="I244" s="171">
        <f>IF($J$229="applicable", SUMIFS('Data input'!$J$224:$J$230, 'Data input'!$I$224:$I$230, H244), 0)</f>
        <v>0.21354000000000001</v>
      </c>
      <c r="J244" s="181">
        <f>IF($J$230="applicable", SUMIFS('Data input'!$K$224:$K$230, 'Data input'!$I$224:$I$230, H244), 0)</f>
        <v>3</v>
      </c>
      <c r="K244" s="181">
        <f>IF($J$231="applicable", SUMIFS('Data input'!$L$224:$L$230, 'Data input'!$I$224:$I$230, H244), 0)</f>
        <v>0</v>
      </c>
      <c r="L244" s="181">
        <f>IF($J$232="applicable", SUMIFS('Data input'!$M$224:$M$230, 'Data input'!$I$224:$I$230, H244), 0)</f>
        <v>2.32145</v>
      </c>
      <c r="M244" s="168">
        <f t="shared" si="16"/>
        <v>5.5349900000000005</v>
      </c>
      <c r="N244" s="181"/>
    </row>
    <row r="245" spans="1:16" ht="16" thickBot="1">
      <c r="H245" s="175">
        <v>2026</v>
      </c>
      <c r="I245" s="175">
        <f>IF($J$229="applicable", SUMIFS('Data input'!$J$224:$J$230, 'Data input'!$I$224:$I$230, H245), 0)</f>
        <v>4</v>
      </c>
      <c r="J245" s="295">
        <f>IF($J$230="applicable", SUMIFS('Data input'!$K$224:$K$230, 'Data input'!$I$224:$I$230, H245), 0)</f>
        <v>1.0254000000000001</v>
      </c>
      <c r="K245" s="295">
        <f>IF($J$231="applicable", SUMIFS('Data input'!$L$224:$L$230, 'Data input'!$I$224:$I$230, H245), 0)</f>
        <v>1</v>
      </c>
      <c r="L245" s="295">
        <f>IF($J$232="applicable", SUMIFS('Data input'!$M$224:$M$230, 'Data input'!$I$224:$I$230, H245), 0)</f>
        <v>4</v>
      </c>
      <c r="M245" s="178">
        <f t="shared" si="16"/>
        <v>10.025400000000001</v>
      </c>
      <c r="N245" s="181"/>
    </row>
    <row r="246" spans="1:16">
      <c r="I246" s="181"/>
      <c r="J246" s="181"/>
      <c r="K246" s="181"/>
      <c r="L246" s="181"/>
      <c r="M246" s="285">
        <f>SUM(M239:M245)</f>
        <v>180.49910245800001</v>
      </c>
    </row>
    <row r="249" spans="1:16" s="391" customFormat="1">
      <c r="A249" s="390" t="s">
        <v>295</v>
      </c>
      <c r="B249" s="394"/>
      <c r="C249" s="393"/>
      <c r="D249" s="393"/>
      <c r="E249" s="393"/>
      <c r="F249" s="393"/>
      <c r="G249" s="393"/>
      <c r="H249" s="393"/>
      <c r="I249" s="393"/>
      <c r="J249" s="393"/>
      <c r="K249" s="393"/>
      <c r="L249" s="393"/>
      <c r="M249" s="393"/>
      <c r="N249" s="393"/>
      <c r="O249" s="393"/>
      <c r="P249" s="393"/>
    </row>
    <row r="253" spans="1:16" ht="16" thickBot="1">
      <c r="H253" s="191" t="s">
        <v>296</v>
      </c>
    </row>
    <row r="254" spans="1:16">
      <c r="H254" s="179"/>
      <c r="I254" s="296" t="s">
        <v>231</v>
      </c>
      <c r="J254" s="195" t="s">
        <v>231</v>
      </c>
      <c r="K254" s="196" t="s">
        <v>231</v>
      </c>
    </row>
    <row r="255" spans="1:16">
      <c r="H255" s="171"/>
      <c r="I255" s="297" t="s">
        <v>232</v>
      </c>
      <c r="J255" s="181" t="s">
        <v>297</v>
      </c>
      <c r="K255" s="198" t="s">
        <v>95</v>
      </c>
    </row>
    <row r="256" spans="1:16" ht="17">
      <c r="H256" s="171" t="s">
        <v>233</v>
      </c>
      <c r="I256" s="298" t="s">
        <v>97</v>
      </c>
      <c r="J256" s="145" t="s">
        <v>110</v>
      </c>
      <c r="K256" s="198" t="s">
        <v>94</v>
      </c>
    </row>
    <row r="257" spans="8:13" ht="17">
      <c r="H257" s="175"/>
      <c r="I257" s="299" t="s">
        <v>11</v>
      </c>
      <c r="J257" s="190" t="s">
        <v>11</v>
      </c>
      <c r="K257" s="200" t="s">
        <v>11</v>
      </c>
    </row>
    <row r="258" spans="8:13">
      <c r="H258" s="179">
        <v>2020</v>
      </c>
      <c r="I258" s="179">
        <f>SUMIFS($I$10:$I$16,$H$10:$H$16,H258)</f>
        <v>0</v>
      </c>
      <c r="J258" s="180">
        <f>SUMIFS('Data input'!$J$239:$J$245,'Data input'!$I$239:$I$245,H258)</f>
        <v>0</v>
      </c>
      <c r="K258" s="167">
        <f>I258-J258</f>
        <v>0</v>
      </c>
      <c r="L258" s="181"/>
    </row>
    <row r="259" spans="8:13">
      <c r="H259" s="171">
        <v>2021</v>
      </c>
      <c r="I259" s="171">
        <f t="shared" ref="I259:I264" si="17">SUMIFS($I$10:$I$16,$H$10:$H$16,H259)</f>
        <v>0</v>
      </c>
      <c r="J259" s="181">
        <f>SUMIFS('Data input'!$J$239:$J$245,'Data input'!$I$239:$I$245,H259)</f>
        <v>0</v>
      </c>
      <c r="K259" s="168">
        <f t="shared" ref="K259:K264" si="18">I259-J259</f>
        <v>0</v>
      </c>
      <c r="L259" s="181"/>
    </row>
    <row r="260" spans="8:13">
      <c r="H260" s="171">
        <v>2022</v>
      </c>
      <c r="I260" s="171">
        <f t="shared" si="17"/>
        <v>0</v>
      </c>
      <c r="J260" s="181">
        <f>SUMIFS('Data input'!$J$239:$J$245,'Data input'!$I$239:$I$245,H260)</f>
        <v>0</v>
      </c>
      <c r="K260" s="168">
        <f t="shared" si="18"/>
        <v>0</v>
      </c>
      <c r="L260" s="181"/>
    </row>
    <row r="261" spans="8:13">
      <c r="H261" s="171">
        <v>2023</v>
      </c>
      <c r="I261" s="171">
        <f t="shared" si="17"/>
        <v>0</v>
      </c>
      <c r="J261" s="181">
        <f>SUMIFS('Data input'!$J$239:$J$245,'Data input'!$I$239:$I$245,H261)</f>
        <v>0</v>
      </c>
      <c r="K261" s="168">
        <f t="shared" si="18"/>
        <v>0</v>
      </c>
      <c r="L261" s="181"/>
    </row>
    <row r="262" spans="8:13">
      <c r="H262" s="171">
        <v>2024</v>
      </c>
      <c r="I262" s="171">
        <f t="shared" si="17"/>
        <v>0</v>
      </c>
      <c r="J262" s="181">
        <f>SUMIFS('Data input'!$J$239:$J$245,'Data input'!$I$239:$I$245,H262)</f>
        <v>0</v>
      </c>
      <c r="K262" s="168">
        <f t="shared" si="18"/>
        <v>0</v>
      </c>
      <c r="L262" s="181"/>
    </row>
    <row r="263" spans="8:13">
      <c r="H263" s="171">
        <v>2025</v>
      </c>
      <c r="I263" s="171">
        <f t="shared" si="17"/>
        <v>0</v>
      </c>
      <c r="J263" s="181">
        <f>SUMIFS('Data input'!$J$239:$J$245,'Data input'!$I$239:$I$245,H263)</f>
        <v>0</v>
      </c>
      <c r="K263" s="168">
        <f t="shared" si="18"/>
        <v>0</v>
      </c>
      <c r="L263" s="181"/>
    </row>
    <row r="264" spans="8:13">
      <c r="H264" s="175">
        <v>2026</v>
      </c>
      <c r="I264" s="175">
        <f t="shared" si="17"/>
        <v>0</v>
      </c>
      <c r="J264" s="295">
        <f>SUMIFS('Data input'!$J$239:$J$245,'Data input'!$I$239:$I$245,H264)</f>
        <v>0</v>
      </c>
      <c r="K264" s="178">
        <f t="shared" si="18"/>
        <v>0</v>
      </c>
      <c r="L264" s="181"/>
    </row>
    <row r="265" spans="8:13">
      <c r="I265" s="181"/>
      <c r="J265" s="181"/>
      <c r="K265" s="181"/>
    </row>
    <row r="268" spans="8:13">
      <c r="H268" s="191" t="s">
        <v>298</v>
      </c>
    </row>
    <row r="269" spans="8:13">
      <c r="H269" s="179"/>
      <c r="I269" s="172"/>
      <c r="J269" s="166"/>
      <c r="K269" s="166"/>
      <c r="L269" s="166"/>
      <c r="M269" s="192" t="s">
        <v>231</v>
      </c>
    </row>
    <row r="270" spans="8:13">
      <c r="H270" s="171"/>
      <c r="I270" s="173"/>
      <c r="J270" s="174"/>
      <c r="K270" s="174"/>
      <c r="L270" s="174"/>
      <c r="M270" s="187" t="s">
        <v>102</v>
      </c>
    </row>
    <row r="271" spans="8:13" ht="17">
      <c r="H271" s="171" t="s">
        <v>233</v>
      </c>
      <c r="I271" s="193" t="s">
        <v>94</v>
      </c>
      <c r="J271" s="158" t="s">
        <v>237</v>
      </c>
      <c r="K271" s="592" t="s">
        <v>277</v>
      </c>
      <c r="L271" s="174" t="s">
        <v>81</v>
      </c>
      <c r="M271" s="187" t="s">
        <v>299</v>
      </c>
    </row>
    <row r="272" spans="8:13" ht="17">
      <c r="H272" s="175"/>
      <c r="I272" s="176" t="s">
        <v>11</v>
      </c>
      <c r="J272" s="189" t="s">
        <v>11</v>
      </c>
      <c r="K272" s="177"/>
      <c r="L272" s="177" t="s">
        <v>11</v>
      </c>
      <c r="M272" s="178" t="s">
        <v>11</v>
      </c>
    </row>
    <row r="273" spans="8:13">
      <c r="H273" s="179">
        <v>2020</v>
      </c>
      <c r="I273" s="236">
        <f>SUMIFS($K$258:$K$264,$H$258:$H$264,H273)</f>
        <v>0</v>
      </c>
      <c r="J273" s="634">
        <f>SUMIFS($K$25:$K$31,$H$25:$H$31,H273)</f>
        <v>2446.1148193581671</v>
      </c>
      <c r="K273" s="634">
        <f>SUMIFS($K$181:$K$187,$H$181:$H$187,H273)</f>
        <v>1210.0737854285712</v>
      </c>
      <c r="L273" s="634">
        <f>SUMIFS($M$239:$M$245,$H$239:$H$245,H273)</f>
        <v>9.3210124580000002</v>
      </c>
      <c r="M273" s="635">
        <f>I273+J273-K273-L273</f>
        <v>1226.7200214715958</v>
      </c>
    </row>
    <row r="274" spans="8:13">
      <c r="H274" s="171">
        <v>2021</v>
      </c>
      <c r="I274" s="236">
        <f t="shared" ref="I274:I279" si="19">SUMIFS($K$258:$K$264,$H$258:$H$264,H274)</f>
        <v>0</v>
      </c>
      <c r="J274" s="634">
        <f t="shared" ref="J274:J279" si="20">SUMIFS($K$25:$K$31,$H$25:$H$31,H274)</f>
        <v>2496.2138889279331</v>
      </c>
      <c r="K274" s="634">
        <f t="shared" ref="K274:K279" si="21">SUMIFS($K$181:$K$187,$H$181:$H$187,H274)</f>
        <v>1339.5478839010993</v>
      </c>
      <c r="L274" s="634">
        <f t="shared" ref="L274:L279" si="22">SUMIFS($M$239:$M$245,$H$239:$H$245,H274)</f>
        <v>110.26390000000001</v>
      </c>
      <c r="M274" s="635">
        <f t="shared" ref="M274:M279" si="23">I274+J274-K274-L274</f>
        <v>1046.4021050268339</v>
      </c>
    </row>
    <row r="275" spans="8:13">
      <c r="H275" s="171">
        <v>2022</v>
      </c>
      <c r="I275" s="236">
        <f t="shared" si="19"/>
        <v>0</v>
      </c>
      <c r="J275" s="634">
        <f t="shared" si="20"/>
        <v>2532.8769283154002</v>
      </c>
      <c r="K275" s="634">
        <f t="shared" si="21"/>
        <v>1533.6932116666671</v>
      </c>
      <c r="L275" s="634">
        <f t="shared" si="22"/>
        <v>18.032399999999999</v>
      </c>
      <c r="M275" s="635">
        <f t="shared" si="23"/>
        <v>981.15131664873297</v>
      </c>
    </row>
    <row r="276" spans="8:13">
      <c r="H276" s="171">
        <v>2023</v>
      </c>
      <c r="I276" s="236">
        <f t="shared" si="19"/>
        <v>0</v>
      </c>
      <c r="J276" s="634">
        <f t="shared" si="20"/>
        <v>2640.9888357796663</v>
      </c>
      <c r="K276" s="634">
        <f t="shared" si="21"/>
        <v>1590.8837261172173</v>
      </c>
      <c r="L276" s="634">
        <f t="shared" si="22"/>
        <v>18.321400000000001</v>
      </c>
      <c r="M276" s="635">
        <f t="shared" si="23"/>
        <v>1031.7837096624489</v>
      </c>
    </row>
    <row r="277" spans="8:13">
      <c r="H277" s="171">
        <v>2024</v>
      </c>
      <c r="I277" s="236">
        <f t="shared" si="19"/>
        <v>0</v>
      </c>
      <c r="J277" s="634">
        <f t="shared" si="20"/>
        <v>2775.7426521969328</v>
      </c>
      <c r="K277" s="634">
        <f t="shared" si="21"/>
        <v>1588.5595153205129</v>
      </c>
      <c r="L277" s="634">
        <f t="shared" si="22"/>
        <v>9</v>
      </c>
      <c r="M277" s="635">
        <f t="shared" si="23"/>
        <v>1178.1831368764199</v>
      </c>
    </row>
    <row r="278" spans="8:13">
      <c r="H278" s="171">
        <v>2025</v>
      </c>
      <c r="I278" s="236">
        <f t="shared" si="19"/>
        <v>0</v>
      </c>
      <c r="J278" s="634">
        <f t="shared" si="20"/>
        <v>2791.0982480750999</v>
      </c>
      <c r="K278" s="634">
        <f t="shared" si="21"/>
        <v>1642.5635321703307</v>
      </c>
      <c r="L278" s="634">
        <f t="shared" si="22"/>
        <v>5.5349900000000005</v>
      </c>
      <c r="M278" s="635">
        <f t="shared" si="23"/>
        <v>1142.9997259047691</v>
      </c>
    </row>
    <row r="279" spans="8:13">
      <c r="H279" s="175">
        <v>2026</v>
      </c>
      <c r="I279" s="239">
        <f t="shared" si="19"/>
        <v>0</v>
      </c>
      <c r="J279" s="636">
        <f t="shared" si="20"/>
        <v>2734.0145573789996</v>
      </c>
      <c r="K279" s="636">
        <f t="shared" si="21"/>
        <v>1711.9199676153858</v>
      </c>
      <c r="L279" s="636">
        <f t="shared" si="22"/>
        <v>10.025400000000001</v>
      </c>
      <c r="M279" s="637">
        <f t="shared" si="23"/>
        <v>1012.0691897636138</v>
      </c>
    </row>
    <row r="280" spans="8:13">
      <c r="I280" s="247">
        <f>SUM(I273:I279)</f>
        <v>0</v>
      </c>
      <c r="J280" s="638">
        <f>SUM(J273:J279)</f>
        <v>18417.049930032201</v>
      </c>
      <c r="K280" s="638">
        <f>SUM(K273:K279)</f>
        <v>10617.241622219784</v>
      </c>
      <c r="L280" s="638">
        <f>SUM(L273:L279)</f>
        <v>180.49910245800001</v>
      </c>
      <c r="M280" s="638">
        <f>SUM(M273:M279)</f>
        <v>7619.3092053544133</v>
      </c>
    </row>
  </sheetData>
  <dataValidations count="2">
    <dataValidation type="list" allowBlank="1" showInputMessage="1" showErrorMessage="1" sqref="I22:J22" xr:uid="{88C173C2-70CB-4660-A363-CEF8E9AC20F2}">
      <formula1>$M$21:$M$22</formula1>
    </dataValidation>
    <dataValidation type="list" allowBlank="1" showInputMessage="1" showErrorMessage="1" sqref="J100:J102 I122:I123 I158:I159 I192:I193 J229:J232" xr:uid="{772B2B43-C67D-4021-BE9D-B174C6856F7F}">
      <formula1>$O$97:$O$98</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51538-279F-44BF-BE47-E94FF1447671}">
  <dimension ref="B2:U332"/>
  <sheetViews>
    <sheetView topLeftCell="C295" zoomScale="130" zoomScaleNormal="130" workbookViewId="0">
      <selection activeCell="M310" sqref="M310"/>
    </sheetView>
  </sheetViews>
  <sheetFormatPr baseColWidth="10" defaultColWidth="9.1640625" defaultRowHeight="15"/>
  <cols>
    <col min="1" max="7" width="9.1640625" style="159"/>
    <col min="8" max="8" width="17.5" style="159" customWidth="1"/>
    <col min="9" max="9" width="20.33203125" style="159" customWidth="1"/>
    <col min="10" max="10" width="17.6640625" style="159" customWidth="1"/>
    <col min="11" max="11" width="16.33203125" style="159" customWidth="1"/>
    <col min="12" max="12" width="16.5" style="159" customWidth="1"/>
    <col min="13" max="13" width="15.5" style="159" customWidth="1"/>
    <col min="14" max="14" width="14.1640625" style="159" customWidth="1"/>
    <col min="15" max="15" width="14.83203125" style="159" customWidth="1"/>
    <col min="16" max="16384" width="9.1640625" style="159"/>
  </cols>
  <sheetData>
    <row r="2" spans="2:10" s="391" customFormat="1">
      <c r="B2" s="390" t="s">
        <v>229</v>
      </c>
    </row>
    <row r="4" spans="2:10">
      <c r="B4" s="292"/>
      <c r="H4" s="159" t="s">
        <v>300</v>
      </c>
    </row>
    <row r="5" spans="2:10">
      <c r="H5" s="160"/>
      <c r="I5" s="161" t="s">
        <v>231</v>
      </c>
    </row>
    <row r="6" spans="2:10">
      <c r="H6" s="162"/>
      <c r="I6" s="163" t="s">
        <v>232</v>
      </c>
    </row>
    <row r="7" spans="2:10" ht="16">
      <c r="H7" s="162" t="s">
        <v>129</v>
      </c>
      <c r="I7" s="164" t="s">
        <v>27</v>
      </c>
    </row>
    <row r="8" spans="2:10">
      <c r="H8" s="165"/>
      <c r="I8" s="282" t="s">
        <v>234</v>
      </c>
    </row>
    <row r="9" spans="2:10">
      <c r="H9" s="179">
        <v>2020</v>
      </c>
      <c r="I9" s="243">
        <f>SUMIFS('Data input'!$J$255:$J$261,'Data input'!$I$255:$I$261,H9)</f>
        <v>0</v>
      </c>
      <c r="J9" s="181"/>
    </row>
    <row r="10" spans="2:10">
      <c r="H10" s="171">
        <v>2021</v>
      </c>
      <c r="I10" s="244">
        <f>SUMIFS('Data input'!$J$255:$J$261,'Data input'!$I$255:$I$261,H10)</f>
        <v>0</v>
      </c>
      <c r="J10" s="181"/>
    </row>
    <row r="11" spans="2:10">
      <c r="H11" s="171">
        <v>2022</v>
      </c>
      <c r="I11" s="244">
        <f>SUMIFS('Data input'!$J$255:$J$261,'Data input'!$I$255:$I$261,H11)</f>
        <v>0</v>
      </c>
      <c r="J11" s="181"/>
    </row>
    <row r="12" spans="2:10">
      <c r="H12" s="171">
        <v>2023</v>
      </c>
      <c r="I12" s="244">
        <f>SUMIFS('Data input'!$J$255:$J$261,'Data input'!$I$255:$I$261,H12)</f>
        <v>0</v>
      </c>
      <c r="J12" s="181"/>
    </row>
    <row r="13" spans="2:10">
      <c r="H13" s="171">
        <v>2024</v>
      </c>
      <c r="I13" s="244">
        <f>SUMIFS('Data input'!$J$255:$J$261,'Data input'!$I$255:$I$261,H13)</f>
        <v>0</v>
      </c>
      <c r="J13" s="181"/>
    </row>
    <row r="14" spans="2:10">
      <c r="H14" s="171">
        <v>2025</v>
      </c>
      <c r="I14" s="244">
        <f>SUMIFS('Data input'!$J$255:$J$261,'Data input'!$I$255:$I$261,H14)</f>
        <v>0</v>
      </c>
      <c r="J14" s="181"/>
    </row>
    <row r="15" spans="2:10">
      <c r="H15" s="175">
        <v>2026</v>
      </c>
      <c r="I15" s="245">
        <f>SUMIFS('Data input'!$J$255:$J$261,'Data input'!$I$255:$I$261,H15)</f>
        <v>0</v>
      </c>
      <c r="J15" s="181"/>
    </row>
    <row r="16" spans="2:10">
      <c r="I16" s="181">
        <f>SUM(I9:I15)</f>
        <v>0</v>
      </c>
    </row>
    <row r="18" spans="2:12" s="391" customFormat="1">
      <c r="B18" s="390" t="s">
        <v>235</v>
      </c>
    </row>
    <row r="20" spans="2:12">
      <c r="B20" s="292"/>
      <c r="H20" s="159" t="s">
        <v>301</v>
      </c>
    </row>
    <row r="21" spans="2:12">
      <c r="H21" s="160"/>
      <c r="I21" s="166"/>
      <c r="J21" s="166"/>
      <c r="K21" s="167" t="s">
        <v>231</v>
      </c>
    </row>
    <row r="22" spans="2:12">
      <c r="H22" s="162"/>
      <c r="I22" s="174"/>
      <c r="J22" s="174"/>
      <c r="K22" s="168" t="s">
        <v>12</v>
      </c>
    </row>
    <row r="23" spans="2:12" ht="17">
      <c r="H23" s="162" t="s">
        <v>129</v>
      </c>
      <c r="I23" s="169" t="s">
        <v>16</v>
      </c>
      <c r="J23" s="267" t="s">
        <v>302</v>
      </c>
      <c r="K23" s="170" t="s">
        <v>237</v>
      </c>
    </row>
    <row r="24" spans="2:12" ht="17">
      <c r="H24" s="165"/>
      <c r="I24" s="169" t="s">
        <v>17</v>
      </c>
      <c r="J24" s="169" t="s">
        <v>11</v>
      </c>
      <c r="K24" s="170" t="s">
        <v>11</v>
      </c>
    </row>
    <row r="25" spans="2:12">
      <c r="H25" s="171">
        <v>2020</v>
      </c>
      <c r="I25" s="286">
        <f>SUMIFS($O$39:$O$94,$H$39:$H$94,H25)</f>
        <v>747.9122000000001</v>
      </c>
      <c r="J25" s="280">
        <f t="shared" ref="J25:J31" si="0">SUMIFS($N$110:$N$116,$H$110:$H$116,H25)</f>
        <v>2982.4799139751667</v>
      </c>
      <c r="K25" s="287">
        <f>(I25)*(44/12)-J25</f>
        <v>-240.1351806418329</v>
      </c>
      <c r="L25" s="181"/>
    </row>
    <row r="26" spans="2:12">
      <c r="H26" s="171">
        <v>2021</v>
      </c>
      <c r="I26" s="288">
        <f t="shared" ref="I26:I31" si="1">SUMIFS($O$39:$O$94,$H$39:$H$94,H26)</f>
        <v>767.54100000000005</v>
      </c>
      <c r="J26" s="237">
        <f t="shared" si="0"/>
        <v>3061.3531110720669</v>
      </c>
      <c r="K26" s="289">
        <f t="shared" ref="K26:K31" si="2">(I26)*(44/12)-J26</f>
        <v>-247.03611107206689</v>
      </c>
      <c r="L26" s="181"/>
    </row>
    <row r="27" spans="2:12">
      <c r="H27" s="171">
        <v>2022</v>
      </c>
      <c r="I27" s="288">
        <f t="shared" si="1"/>
        <v>787.31460000000004</v>
      </c>
      <c r="J27" s="237">
        <f t="shared" si="0"/>
        <v>3154.5932716846</v>
      </c>
      <c r="K27" s="289">
        <f t="shared" si="2"/>
        <v>-267.77307168459993</v>
      </c>
      <c r="L27" s="181"/>
    </row>
    <row r="28" spans="2:12">
      <c r="H28" s="171">
        <v>2023</v>
      </c>
      <c r="I28" s="288">
        <f t="shared" si="1"/>
        <v>807.23299999999995</v>
      </c>
      <c r="J28" s="237">
        <f t="shared" si="0"/>
        <v>3177.3154975536668</v>
      </c>
      <c r="K28" s="289">
        <f t="shared" si="2"/>
        <v>-217.46116422033356</v>
      </c>
      <c r="L28" s="181"/>
    </row>
    <row r="29" spans="2:12">
      <c r="H29" s="171">
        <v>2024</v>
      </c>
      <c r="I29" s="288">
        <f t="shared" si="1"/>
        <v>827.2962</v>
      </c>
      <c r="J29" s="237">
        <f t="shared" si="0"/>
        <v>3174.3267478030666</v>
      </c>
      <c r="K29" s="289">
        <f t="shared" si="2"/>
        <v>-140.90734780306684</v>
      </c>
      <c r="L29" s="181"/>
    </row>
    <row r="30" spans="2:12">
      <c r="H30" s="171">
        <v>2025</v>
      </c>
      <c r="I30" s="288">
        <f t="shared" si="1"/>
        <v>847.50420000000008</v>
      </c>
      <c r="J30" s="237">
        <f t="shared" si="0"/>
        <v>3291.6671519249003</v>
      </c>
      <c r="K30" s="289">
        <f t="shared" si="2"/>
        <v>-184.15175192490005</v>
      </c>
      <c r="L30" s="181"/>
    </row>
    <row r="31" spans="2:12">
      <c r="H31" s="175">
        <v>2026</v>
      </c>
      <c r="I31" s="290">
        <f t="shared" si="1"/>
        <v>867.85700000000008</v>
      </c>
      <c r="J31" s="281">
        <f t="shared" si="0"/>
        <v>3482.3777759543341</v>
      </c>
      <c r="K31" s="291">
        <f t="shared" si="2"/>
        <v>-300.2354426210004</v>
      </c>
      <c r="L31" s="181"/>
    </row>
    <row r="32" spans="2:12">
      <c r="I32" s="181"/>
      <c r="J32" s="181"/>
      <c r="K32" s="181"/>
    </row>
    <row r="34" spans="7:19">
      <c r="H34" s="181" t="s">
        <v>303</v>
      </c>
      <c r="I34" s="181"/>
      <c r="J34" s="181"/>
      <c r="K34" s="181"/>
    </row>
    <row r="35" spans="7:19">
      <c r="G35" s="181"/>
      <c r="H35" s="221"/>
      <c r="I35" s="195"/>
      <c r="J35" s="195"/>
      <c r="K35" s="227"/>
      <c r="L35" s="180"/>
      <c r="M35" s="180"/>
      <c r="N35" s="180"/>
      <c r="O35" s="167" t="s">
        <v>231</v>
      </c>
    </row>
    <row r="36" spans="7:19">
      <c r="G36" s="181"/>
      <c r="H36" s="219"/>
      <c r="I36" s="181"/>
      <c r="J36" s="181"/>
      <c r="K36" s="228"/>
      <c r="L36" s="181"/>
      <c r="M36" s="181"/>
      <c r="N36" s="181"/>
      <c r="O36" s="168" t="s">
        <v>193</v>
      </c>
      <c r="P36" s="395" t="s">
        <v>304</v>
      </c>
      <c r="Q36" s="386"/>
      <c r="R36" s="386"/>
      <c r="S36" s="386"/>
    </row>
    <row r="37" spans="7:19" ht="32">
      <c r="G37" s="181"/>
      <c r="H37" s="219" t="s">
        <v>129</v>
      </c>
      <c r="I37" s="203" t="s">
        <v>240</v>
      </c>
      <c r="J37" s="95" t="s">
        <v>241</v>
      </c>
      <c r="K37" s="229" t="s">
        <v>242</v>
      </c>
      <c r="L37" s="145" t="s">
        <v>64</v>
      </c>
      <c r="M37" s="293" t="s">
        <v>305</v>
      </c>
      <c r="N37" s="293" t="s">
        <v>306</v>
      </c>
      <c r="O37" s="170" t="s">
        <v>16</v>
      </c>
    </row>
    <row r="38" spans="7:19">
      <c r="G38" s="181"/>
      <c r="H38" s="219"/>
      <c r="I38" s="181"/>
      <c r="J38" s="181"/>
      <c r="K38" s="228"/>
      <c r="L38" s="145" t="s">
        <v>17</v>
      </c>
      <c r="M38" s="145" t="s">
        <v>32</v>
      </c>
      <c r="N38" s="181"/>
      <c r="O38" s="170" t="s">
        <v>17</v>
      </c>
    </row>
    <row r="39" spans="7:19">
      <c r="G39" s="181"/>
      <c r="H39" s="205">
        <v>2020</v>
      </c>
      <c r="I39" s="230" t="s">
        <v>172</v>
      </c>
      <c r="J39" s="120" t="s">
        <v>173</v>
      </c>
      <c r="K39" s="226" t="s">
        <v>243</v>
      </c>
      <c r="L39" s="221">
        <f>SUMIFS('Data input'!$M$269:$M$324,'Data input'!$I$269:$I$324,H39,'Data input'!$J$269:$J$324,I39,'Data input'!$K$269:$K$324,J39,'Data input'!$L$269:$L$324,K39)</f>
        <v>200</v>
      </c>
      <c r="M39" s="195" cm="1">
        <f t="array" ref="M39">_xlfn.XLOOKUP(H39&amp;I39&amp;K39,'Data input'!$I$329:$I$356&amp;'Data input'!$J$329:$J$356&amp;'Data input'!$K$329:$K$356,'Data input'!$L$329:$L$356)</f>
        <v>0.35</v>
      </c>
      <c r="N39" s="195">
        <f>_xlfn.XLOOKUP(J39,'Data input'!$I$361:$I$362,'Data input'!$J$361:$J$362)</f>
        <v>0.89</v>
      </c>
      <c r="O39" s="231">
        <f>L39*M39*N39</f>
        <v>62.300000000000004</v>
      </c>
      <c r="P39" s="181"/>
    </row>
    <row r="40" spans="7:19">
      <c r="G40" s="181"/>
      <c r="H40" s="207">
        <v>2021</v>
      </c>
      <c r="I40" s="33" t="s">
        <v>172</v>
      </c>
      <c r="J40" s="12" t="s">
        <v>173</v>
      </c>
      <c r="K40" s="157" t="s">
        <v>243</v>
      </c>
      <c r="L40" s="219">
        <f>SUMIFS('Data input'!$M$269:$M$324,'Data input'!$I$269:$I$324,H40,'Data input'!$J$269:$J$324,I40,'Data input'!$K$269:$K$324,J40,'Data input'!$L$269:$L$324,K40)</f>
        <v>201</v>
      </c>
      <c r="M40" s="181" cm="1">
        <f t="array" ref="M40">_xlfn.XLOOKUP(H40&amp;I40&amp;K40,'Data input'!$I$329:$I$356&amp;'Data input'!$J$329:$J$356&amp;'Data input'!$K$329:$K$356,'Data input'!$L$329:$L$356)</f>
        <v>0.36</v>
      </c>
      <c r="N40" s="181">
        <f>_xlfn.XLOOKUP(J40,'Data input'!$I$361:$I$362,'Data input'!$J$361:$J$362)</f>
        <v>0.89</v>
      </c>
      <c r="O40" s="200">
        <f t="shared" ref="O40" si="3">L40*M40*N40</f>
        <v>64.400400000000005</v>
      </c>
      <c r="P40" s="181"/>
    </row>
    <row r="41" spans="7:19">
      <c r="G41" s="181"/>
      <c r="H41" s="207">
        <v>2022</v>
      </c>
      <c r="I41" s="33" t="s">
        <v>172</v>
      </c>
      <c r="J41" s="12" t="s">
        <v>173</v>
      </c>
      <c r="K41" s="157" t="s">
        <v>243</v>
      </c>
      <c r="L41" s="219">
        <f>SUMIFS('Data input'!$M$269:$M$324,'Data input'!$I$269:$I$324,H41,'Data input'!$J$269:$J$324,I41,'Data input'!$K$269:$K$324,J41,'Data input'!$L$269:$L$324,K41)</f>
        <v>202</v>
      </c>
      <c r="M41" s="181" cm="1">
        <f t="array" ref="M41">_xlfn.XLOOKUP(H41&amp;I41&amp;K41,'Data input'!$I$329:$I$356&amp;'Data input'!$J$329:$J$356&amp;'Data input'!$K$329:$K$356,'Data input'!$L$329:$L$356)</f>
        <v>0.37</v>
      </c>
      <c r="N41" s="181">
        <f>_xlfn.XLOOKUP(J41,'Data input'!$I$361:$I$362,'Data input'!$J$361:$J$362)</f>
        <v>0.89</v>
      </c>
      <c r="O41" s="200">
        <f t="shared" ref="O41:O72" si="4">L41*M41*N41</f>
        <v>66.518599999999992</v>
      </c>
      <c r="P41" s="181"/>
    </row>
    <row r="42" spans="7:19">
      <c r="G42" s="181"/>
      <c r="H42" s="207">
        <v>2023</v>
      </c>
      <c r="I42" s="33" t="s">
        <v>172</v>
      </c>
      <c r="J42" s="12" t="s">
        <v>173</v>
      </c>
      <c r="K42" s="157" t="s">
        <v>243</v>
      </c>
      <c r="L42" s="219">
        <f>SUMIFS('Data input'!$M$269:$M$324,'Data input'!$I$269:$I$324,H42,'Data input'!$J$269:$J$324,I42,'Data input'!$K$269:$K$324,J42,'Data input'!$L$269:$L$324,K42)</f>
        <v>203</v>
      </c>
      <c r="M42" s="181" cm="1">
        <f t="array" ref="M42">_xlfn.XLOOKUP(H42&amp;I42&amp;K42,'Data input'!$I$329:$I$356&amp;'Data input'!$J$329:$J$356&amp;'Data input'!$K$329:$K$356,'Data input'!$L$329:$L$356)</f>
        <v>0.38</v>
      </c>
      <c r="N42" s="181">
        <f>_xlfn.XLOOKUP(J42,'Data input'!$I$361:$I$362,'Data input'!$J$361:$J$362)</f>
        <v>0.89</v>
      </c>
      <c r="O42" s="200">
        <f t="shared" si="4"/>
        <v>68.654600000000002</v>
      </c>
      <c r="P42" s="181"/>
    </row>
    <row r="43" spans="7:19">
      <c r="G43" s="181"/>
      <c r="H43" s="207">
        <v>2024</v>
      </c>
      <c r="I43" s="33" t="s">
        <v>172</v>
      </c>
      <c r="J43" s="12" t="s">
        <v>173</v>
      </c>
      <c r="K43" s="157" t="s">
        <v>243</v>
      </c>
      <c r="L43" s="219">
        <f>SUMIFS('Data input'!$M$269:$M$324,'Data input'!$I$269:$I$324,H43,'Data input'!$J$269:$J$324,I43,'Data input'!$K$269:$K$324,J43,'Data input'!$L$269:$L$324,K43)</f>
        <v>204</v>
      </c>
      <c r="M43" s="181" cm="1">
        <f t="array" ref="M43">_xlfn.XLOOKUP(H43&amp;I43&amp;K43,'Data input'!$I$329:$I$356&amp;'Data input'!$J$329:$J$356&amp;'Data input'!$K$329:$K$356,'Data input'!$L$329:$L$356)</f>
        <v>0.39</v>
      </c>
      <c r="N43" s="181">
        <f>_xlfn.XLOOKUP(J43,'Data input'!$I$361:$I$362,'Data input'!$J$361:$J$362)</f>
        <v>0.89</v>
      </c>
      <c r="O43" s="200">
        <f t="shared" si="4"/>
        <v>70.808400000000006</v>
      </c>
      <c r="P43" s="181"/>
    </row>
    <row r="44" spans="7:19">
      <c r="G44" s="181"/>
      <c r="H44" s="207">
        <v>2025</v>
      </c>
      <c r="I44" s="33" t="s">
        <v>172</v>
      </c>
      <c r="J44" s="12" t="s">
        <v>173</v>
      </c>
      <c r="K44" s="157" t="s">
        <v>243</v>
      </c>
      <c r="L44" s="219">
        <f>SUMIFS('Data input'!$M$269:$M$324,'Data input'!$I$269:$I$324,H44,'Data input'!$J$269:$J$324,I44,'Data input'!$K$269:$K$324,J44,'Data input'!$L$269:$L$324,K44)</f>
        <v>205</v>
      </c>
      <c r="M44" s="181" cm="1">
        <f t="array" ref="M44">_xlfn.XLOOKUP(H44&amp;I44&amp;K44,'Data input'!$I$329:$I$356&amp;'Data input'!$J$329:$J$356&amp;'Data input'!$K$329:$K$356,'Data input'!$L$329:$L$356)</f>
        <v>0.4</v>
      </c>
      <c r="N44" s="181">
        <f>_xlfn.XLOOKUP(J44,'Data input'!$I$361:$I$362,'Data input'!$J$361:$J$362)</f>
        <v>0.89</v>
      </c>
      <c r="O44" s="200">
        <f t="shared" si="4"/>
        <v>72.98</v>
      </c>
      <c r="P44" s="181"/>
    </row>
    <row r="45" spans="7:19">
      <c r="G45" s="181"/>
      <c r="H45" s="207">
        <v>2026</v>
      </c>
      <c r="I45" s="33" t="s">
        <v>172</v>
      </c>
      <c r="J45" s="12" t="s">
        <v>173</v>
      </c>
      <c r="K45" s="157" t="s">
        <v>243</v>
      </c>
      <c r="L45" s="219">
        <f>SUMIFS('Data input'!$M$269:$M$324,'Data input'!$I$269:$I$324,H45,'Data input'!$J$269:$J$324,I45,'Data input'!$K$269:$K$324,J45,'Data input'!$L$269:$L$324,K45)</f>
        <v>206</v>
      </c>
      <c r="M45" s="181" cm="1">
        <f t="array" ref="M45">_xlfn.XLOOKUP(H45&amp;I45&amp;K45,'Data input'!$I$329:$I$356&amp;'Data input'!$J$329:$J$356&amp;'Data input'!$K$329:$K$356,'Data input'!$L$329:$L$356)</f>
        <v>0.41</v>
      </c>
      <c r="N45" s="181">
        <f>_xlfn.XLOOKUP(J45,'Data input'!$I$361:$I$362,'Data input'!$J$361:$J$362)</f>
        <v>0.89</v>
      </c>
      <c r="O45" s="200">
        <f t="shared" si="4"/>
        <v>75.169399999999996</v>
      </c>
      <c r="P45" s="181"/>
    </row>
    <row r="46" spans="7:19">
      <c r="G46" s="181"/>
      <c r="H46" s="207">
        <v>2020</v>
      </c>
      <c r="I46" s="204" t="s">
        <v>175</v>
      </c>
      <c r="J46" s="12" t="s">
        <v>173</v>
      </c>
      <c r="K46" s="157" t="s">
        <v>243</v>
      </c>
      <c r="L46" s="219">
        <f>SUMIFS('Data input'!$M$269:$M$324,'Data input'!$I$269:$I$324,H46,'Data input'!$J$269:$J$324,I46,'Data input'!$K$269:$K$324,J46,'Data input'!$L$269:$L$324,K46)</f>
        <v>207</v>
      </c>
      <c r="M46" s="181" cm="1">
        <f t="array" ref="M46">_xlfn.XLOOKUP(H46&amp;I46&amp;K46,'Data input'!$I$329:$I$356&amp;'Data input'!$J$329:$J$356&amp;'Data input'!$K$329:$K$356,'Data input'!$L$329:$L$356)</f>
        <v>0.42</v>
      </c>
      <c r="N46" s="181">
        <f>_xlfn.XLOOKUP(J46,'Data input'!$I$361:$I$362,'Data input'!$J$361:$J$362)</f>
        <v>0.89</v>
      </c>
      <c r="O46" s="200">
        <f t="shared" si="4"/>
        <v>77.376599999999996</v>
      </c>
      <c r="P46" s="181"/>
    </row>
    <row r="47" spans="7:19">
      <c r="G47" s="181"/>
      <c r="H47" s="207">
        <v>2021</v>
      </c>
      <c r="I47" s="204" t="s">
        <v>175</v>
      </c>
      <c r="J47" s="12" t="s">
        <v>173</v>
      </c>
      <c r="K47" s="157" t="s">
        <v>243</v>
      </c>
      <c r="L47" s="219">
        <f>SUMIFS('Data input'!$M$269:$M$324,'Data input'!$I$269:$I$324,H47,'Data input'!$J$269:$J$324,I47,'Data input'!$K$269:$K$324,J47,'Data input'!$L$269:$L$324,K47)</f>
        <v>208</v>
      </c>
      <c r="M47" s="181" cm="1">
        <f t="array" ref="M47">_xlfn.XLOOKUP(H47&amp;I47&amp;K47,'Data input'!$I$329:$I$356&amp;'Data input'!$J$329:$J$356&amp;'Data input'!$K$329:$K$356,'Data input'!$L$329:$L$356)</f>
        <v>0.43</v>
      </c>
      <c r="N47" s="181">
        <f>_xlfn.XLOOKUP(J47,'Data input'!$I$361:$I$362,'Data input'!$J$361:$J$362)</f>
        <v>0.89</v>
      </c>
      <c r="O47" s="200">
        <f t="shared" si="4"/>
        <v>79.601600000000005</v>
      </c>
      <c r="P47" s="181"/>
    </row>
    <row r="48" spans="7:19">
      <c r="G48" s="181"/>
      <c r="H48" s="207">
        <v>2022</v>
      </c>
      <c r="I48" s="204" t="s">
        <v>175</v>
      </c>
      <c r="J48" s="12" t="s">
        <v>173</v>
      </c>
      <c r="K48" s="157" t="s">
        <v>243</v>
      </c>
      <c r="L48" s="219">
        <f>SUMIFS('Data input'!$M$269:$M$324,'Data input'!$I$269:$I$324,H48,'Data input'!$J$269:$J$324,I48,'Data input'!$K$269:$K$324,J48,'Data input'!$L$269:$L$324,K48)</f>
        <v>209</v>
      </c>
      <c r="M48" s="181" cm="1">
        <f t="array" ref="M48">_xlfn.XLOOKUP(H48&amp;I48&amp;K48,'Data input'!$I$329:$I$356&amp;'Data input'!$J$329:$J$356&amp;'Data input'!$K$329:$K$356,'Data input'!$L$329:$L$356)</f>
        <v>0.44</v>
      </c>
      <c r="N48" s="181">
        <f>_xlfn.XLOOKUP(J48,'Data input'!$I$361:$I$362,'Data input'!$J$361:$J$362)</f>
        <v>0.89</v>
      </c>
      <c r="O48" s="200">
        <f t="shared" si="4"/>
        <v>81.844399999999993</v>
      </c>
      <c r="P48" s="181"/>
    </row>
    <row r="49" spans="7:16">
      <c r="G49" s="181"/>
      <c r="H49" s="207">
        <v>2023</v>
      </c>
      <c r="I49" s="204" t="s">
        <v>175</v>
      </c>
      <c r="J49" s="12" t="s">
        <v>173</v>
      </c>
      <c r="K49" s="157" t="s">
        <v>243</v>
      </c>
      <c r="L49" s="219">
        <f>SUMIFS('Data input'!$M$269:$M$324,'Data input'!$I$269:$I$324,H49,'Data input'!$J$269:$J$324,I49,'Data input'!$K$269:$K$324,J49,'Data input'!$L$269:$L$324,K49)</f>
        <v>210</v>
      </c>
      <c r="M49" s="181" cm="1">
        <f t="array" ref="M49">_xlfn.XLOOKUP(H49&amp;I49&amp;K49,'Data input'!$I$329:$I$356&amp;'Data input'!$J$329:$J$356&amp;'Data input'!$K$329:$K$356,'Data input'!$L$329:$L$356)</f>
        <v>0.45</v>
      </c>
      <c r="N49" s="181">
        <f>_xlfn.XLOOKUP(J49,'Data input'!$I$361:$I$362,'Data input'!$J$361:$J$362)</f>
        <v>0.89</v>
      </c>
      <c r="O49" s="200">
        <f t="shared" si="4"/>
        <v>84.105000000000004</v>
      </c>
      <c r="P49" s="181"/>
    </row>
    <row r="50" spans="7:16">
      <c r="G50" s="181"/>
      <c r="H50" s="207">
        <v>2024</v>
      </c>
      <c r="I50" s="204" t="s">
        <v>175</v>
      </c>
      <c r="J50" s="12" t="s">
        <v>173</v>
      </c>
      <c r="K50" s="157" t="s">
        <v>243</v>
      </c>
      <c r="L50" s="219">
        <f>SUMIFS('Data input'!$M$269:$M$324,'Data input'!$I$269:$I$324,H50,'Data input'!$J$269:$J$324,I50,'Data input'!$K$269:$K$324,J50,'Data input'!$L$269:$L$324,K50)</f>
        <v>211</v>
      </c>
      <c r="M50" s="181" cm="1">
        <f t="array" ref="M50">_xlfn.XLOOKUP(H50&amp;I50&amp;K50,'Data input'!$I$329:$I$356&amp;'Data input'!$J$329:$J$356&amp;'Data input'!$K$329:$K$356,'Data input'!$L$329:$L$356)</f>
        <v>0.46</v>
      </c>
      <c r="N50" s="181">
        <f>_xlfn.XLOOKUP(J50,'Data input'!$I$361:$I$362,'Data input'!$J$361:$J$362)</f>
        <v>0.89</v>
      </c>
      <c r="O50" s="200">
        <f t="shared" si="4"/>
        <v>86.383400000000009</v>
      </c>
      <c r="P50" s="181"/>
    </row>
    <row r="51" spans="7:16">
      <c r="G51" s="181"/>
      <c r="H51" s="207">
        <v>2025</v>
      </c>
      <c r="I51" s="204" t="s">
        <v>175</v>
      </c>
      <c r="J51" s="12" t="s">
        <v>173</v>
      </c>
      <c r="K51" s="157" t="s">
        <v>243</v>
      </c>
      <c r="L51" s="219">
        <f>SUMIFS('Data input'!$M$269:$M$324,'Data input'!$I$269:$I$324,H51,'Data input'!$J$269:$J$324,I51,'Data input'!$K$269:$K$324,J51,'Data input'!$L$269:$L$324,K51)</f>
        <v>212</v>
      </c>
      <c r="M51" s="181" cm="1">
        <f t="array" ref="M51">_xlfn.XLOOKUP(H51&amp;I51&amp;K51,'Data input'!$I$329:$I$356&amp;'Data input'!$J$329:$J$356&amp;'Data input'!$K$329:$K$356,'Data input'!$L$329:$L$356)</f>
        <v>0.47</v>
      </c>
      <c r="N51" s="181">
        <f>_xlfn.XLOOKUP(J51,'Data input'!$I$361:$I$362,'Data input'!$J$361:$J$362)</f>
        <v>0.89</v>
      </c>
      <c r="O51" s="200">
        <f t="shared" si="4"/>
        <v>88.679600000000008</v>
      </c>
      <c r="P51" s="181"/>
    </row>
    <row r="52" spans="7:16">
      <c r="G52" s="181"/>
      <c r="H52" s="207">
        <v>2026</v>
      </c>
      <c r="I52" s="204" t="s">
        <v>175</v>
      </c>
      <c r="J52" s="12" t="s">
        <v>173</v>
      </c>
      <c r="K52" s="157" t="s">
        <v>243</v>
      </c>
      <c r="L52" s="219">
        <f>SUMIFS('Data input'!$M$269:$M$324,'Data input'!$I$269:$I$324,H52,'Data input'!$J$269:$J$324,I52,'Data input'!$K$269:$K$324,J52,'Data input'!$L$269:$L$324,K52)</f>
        <v>213</v>
      </c>
      <c r="M52" s="181" cm="1">
        <f t="array" ref="M52">_xlfn.XLOOKUP(H52&amp;I52&amp;K52,'Data input'!$I$329:$I$356&amp;'Data input'!$J$329:$J$356&amp;'Data input'!$K$329:$K$356,'Data input'!$L$329:$L$356)</f>
        <v>0.48</v>
      </c>
      <c r="N52" s="181">
        <f>_xlfn.XLOOKUP(J52,'Data input'!$I$361:$I$362,'Data input'!$J$361:$J$362)</f>
        <v>0.89</v>
      </c>
      <c r="O52" s="200">
        <f t="shared" si="4"/>
        <v>90.993600000000001</v>
      </c>
      <c r="P52" s="181"/>
    </row>
    <row r="53" spans="7:16">
      <c r="G53" s="181"/>
      <c r="H53" s="207">
        <v>2020</v>
      </c>
      <c r="I53" s="33" t="s">
        <v>172</v>
      </c>
      <c r="J53" s="12" t="s">
        <v>212</v>
      </c>
      <c r="K53" s="157" t="s">
        <v>243</v>
      </c>
      <c r="L53" s="219">
        <f>SUMIFS('Data input'!$M$269:$M$324,'Data input'!$I$269:$I$324,H53,'Data input'!$J$269:$J$324,I53,'Data input'!$K$269:$K$324,J53,'Data input'!$L$269:$L$324,K53)</f>
        <v>214</v>
      </c>
      <c r="M53" s="181" cm="1">
        <f t="array" ref="M53">_xlfn.XLOOKUP(H53&amp;I53&amp;K53,'Data input'!$I$329:$I$356&amp;'Data input'!$J$329:$J$356&amp;'Data input'!$K$329:$K$356,'Data input'!$L$329:$L$356)</f>
        <v>0.35</v>
      </c>
      <c r="N53" s="181">
        <f>_xlfn.XLOOKUP(J53,'Data input'!$I$361:$I$362,'Data input'!$J$361:$J$362)</f>
        <v>0.92</v>
      </c>
      <c r="O53" s="200">
        <f t="shared" si="4"/>
        <v>68.908000000000001</v>
      </c>
      <c r="P53" s="181"/>
    </row>
    <row r="54" spans="7:16">
      <c r="G54" s="181"/>
      <c r="H54" s="207">
        <v>2021</v>
      </c>
      <c r="I54" s="33" t="s">
        <v>172</v>
      </c>
      <c r="J54" s="12" t="s">
        <v>212</v>
      </c>
      <c r="K54" s="157" t="s">
        <v>243</v>
      </c>
      <c r="L54" s="219">
        <f>SUMIFS('Data input'!$M$269:$M$324,'Data input'!$I$269:$I$324,H54,'Data input'!$J$269:$J$324,I54,'Data input'!$K$269:$K$324,J54,'Data input'!$L$269:$L$324,K54)</f>
        <v>215</v>
      </c>
      <c r="M54" s="181" cm="1">
        <f t="array" ref="M54">_xlfn.XLOOKUP(H54&amp;I54&amp;K54,'Data input'!$I$329:$I$356&amp;'Data input'!$J$329:$J$356&amp;'Data input'!$K$329:$K$356,'Data input'!$L$329:$L$356)</f>
        <v>0.36</v>
      </c>
      <c r="N54" s="181">
        <f>_xlfn.XLOOKUP(J54,'Data input'!$I$361:$I$362,'Data input'!$J$361:$J$362)</f>
        <v>0.92</v>
      </c>
      <c r="O54" s="200">
        <f t="shared" si="4"/>
        <v>71.207999999999998</v>
      </c>
      <c r="P54" s="181"/>
    </row>
    <row r="55" spans="7:16">
      <c r="G55" s="181"/>
      <c r="H55" s="207">
        <v>2022</v>
      </c>
      <c r="I55" s="33" t="s">
        <v>172</v>
      </c>
      <c r="J55" s="12" t="s">
        <v>212</v>
      </c>
      <c r="K55" s="157" t="s">
        <v>243</v>
      </c>
      <c r="L55" s="219">
        <f>SUMIFS('Data input'!$M$269:$M$324,'Data input'!$I$269:$I$324,H55,'Data input'!$J$269:$J$324,I55,'Data input'!$K$269:$K$324,J55,'Data input'!$L$269:$L$324,K55)</f>
        <v>216</v>
      </c>
      <c r="M55" s="181" cm="1">
        <f t="array" ref="M55">_xlfn.XLOOKUP(H55&amp;I55&amp;K55,'Data input'!$I$329:$I$356&amp;'Data input'!$J$329:$J$356&amp;'Data input'!$K$329:$K$356,'Data input'!$L$329:$L$356)</f>
        <v>0.37</v>
      </c>
      <c r="N55" s="181">
        <f>_xlfn.XLOOKUP(J55,'Data input'!$I$361:$I$362,'Data input'!$J$361:$J$362)</f>
        <v>0.92</v>
      </c>
      <c r="O55" s="200">
        <f t="shared" si="4"/>
        <v>73.52640000000001</v>
      </c>
      <c r="P55" s="181"/>
    </row>
    <row r="56" spans="7:16">
      <c r="G56" s="181"/>
      <c r="H56" s="207">
        <v>2023</v>
      </c>
      <c r="I56" s="33" t="s">
        <v>172</v>
      </c>
      <c r="J56" s="12" t="s">
        <v>212</v>
      </c>
      <c r="K56" s="157" t="s">
        <v>243</v>
      </c>
      <c r="L56" s="219">
        <f>SUMIFS('Data input'!$M$269:$M$324,'Data input'!$I$269:$I$324,H56,'Data input'!$J$269:$J$324,I56,'Data input'!$K$269:$K$324,J56,'Data input'!$L$269:$L$324,K56)</f>
        <v>217</v>
      </c>
      <c r="M56" s="181" cm="1">
        <f t="array" ref="M56">_xlfn.XLOOKUP(H56&amp;I56&amp;K56,'Data input'!$I$329:$I$356&amp;'Data input'!$J$329:$J$356&amp;'Data input'!$K$329:$K$356,'Data input'!$L$329:$L$356)</f>
        <v>0.38</v>
      </c>
      <c r="N56" s="181">
        <f>_xlfn.XLOOKUP(J56,'Data input'!$I$361:$I$362,'Data input'!$J$361:$J$362)</f>
        <v>0.92</v>
      </c>
      <c r="O56" s="200">
        <f t="shared" si="4"/>
        <v>75.863200000000006</v>
      </c>
      <c r="P56" s="181"/>
    </row>
    <row r="57" spans="7:16">
      <c r="G57" s="181"/>
      <c r="H57" s="207">
        <v>2024</v>
      </c>
      <c r="I57" s="33" t="s">
        <v>172</v>
      </c>
      <c r="J57" s="12" t="s">
        <v>212</v>
      </c>
      <c r="K57" s="157" t="s">
        <v>243</v>
      </c>
      <c r="L57" s="219">
        <f>SUMIFS('Data input'!$M$269:$M$324,'Data input'!$I$269:$I$324,H57,'Data input'!$J$269:$J$324,I57,'Data input'!$K$269:$K$324,J57,'Data input'!$L$269:$L$324,K57)</f>
        <v>218</v>
      </c>
      <c r="M57" s="181" cm="1">
        <f t="array" ref="M57">_xlfn.XLOOKUP(H57&amp;I57&amp;K57,'Data input'!$I$329:$I$356&amp;'Data input'!$J$329:$J$356&amp;'Data input'!$K$329:$K$356,'Data input'!$L$329:$L$356)</f>
        <v>0.39</v>
      </c>
      <c r="N57" s="181">
        <f>_xlfn.XLOOKUP(J57,'Data input'!$I$361:$I$362,'Data input'!$J$361:$J$362)</f>
        <v>0.92</v>
      </c>
      <c r="O57" s="200">
        <f t="shared" si="4"/>
        <v>78.218400000000003</v>
      </c>
      <c r="P57" s="181"/>
    </row>
    <row r="58" spans="7:16">
      <c r="G58" s="181"/>
      <c r="H58" s="207">
        <v>2025</v>
      </c>
      <c r="I58" s="33" t="s">
        <v>172</v>
      </c>
      <c r="J58" s="12" t="s">
        <v>212</v>
      </c>
      <c r="K58" s="157" t="s">
        <v>243</v>
      </c>
      <c r="L58" s="219">
        <f>SUMIFS('Data input'!$M$269:$M$324,'Data input'!$I$269:$I$324,H58,'Data input'!$J$269:$J$324,I58,'Data input'!$K$269:$K$324,J58,'Data input'!$L$269:$L$324,K58)</f>
        <v>219</v>
      </c>
      <c r="M58" s="181" cm="1">
        <f t="array" ref="M58">_xlfn.XLOOKUP(H58&amp;I58&amp;K58,'Data input'!$I$329:$I$356&amp;'Data input'!$J$329:$J$356&amp;'Data input'!$K$329:$K$356,'Data input'!$L$329:$L$356)</f>
        <v>0.4</v>
      </c>
      <c r="N58" s="181">
        <f>_xlfn.XLOOKUP(J58,'Data input'!$I$361:$I$362,'Data input'!$J$361:$J$362)</f>
        <v>0.92</v>
      </c>
      <c r="O58" s="200">
        <f t="shared" si="4"/>
        <v>80.592000000000013</v>
      </c>
      <c r="P58" s="181"/>
    </row>
    <row r="59" spans="7:16">
      <c r="G59" s="181"/>
      <c r="H59" s="207">
        <v>2026</v>
      </c>
      <c r="I59" s="33" t="s">
        <v>172</v>
      </c>
      <c r="J59" s="12" t="s">
        <v>212</v>
      </c>
      <c r="K59" s="157" t="s">
        <v>243</v>
      </c>
      <c r="L59" s="219">
        <f>SUMIFS('Data input'!$M$269:$M$324,'Data input'!$I$269:$I$324,H59,'Data input'!$J$269:$J$324,I59,'Data input'!$K$269:$K$324,J59,'Data input'!$L$269:$L$324,K59)</f>
        <v>220</v>
      </c>
      <c r="M59" s="181" cm="1">
        <f t="array" ref="M59">_xlfn.XLOOKUP(H59&amp;I59&amp;K59,'Data input'!$I$329:$I$356&amp;'Data input'!$J$329:$J$356&amp;'Data input'!$K$329:$K$356,'Data input'!$L$329:$L$356)</f>
        <v>0.41</v>
      </c>
      <c r="N59" s="181">
        <f>_xlfn.XLOOKUP(J59,'Data input'!$I$361:$I$362,'Data input'!$J$361:$J$362)</f>
        <v>0.92</v>
      </c>
      <c r="O59" s="200">
        <f t="shared" si="4"/>
        <v>82.983999999999995</v>
      </c>
      <c r="P59" s="181"/>
    </row>
    <row r="60" spans="7:16">
      <c r="G60" s="181"/>
      <c r="H60" s="207">
        <v>2020</v>
      </c>
      <c r="I60" s="204" t="s">
        <v>175</v>
      </c>
      <c r="J60" s="12" t="s">
        <v>212</v>
      </c>
      <c r="K60" s="157" t="s">
        <v>243</v>
      </c>
      <c r="L60" s="219">
        <f>SUMIFS('Data input'!$M$269:$M$324,'Data input'!$I$269:$I$324,H60,'Data input'!$J$269:$J$324,I60,'Data input'!$K$269:$K$324,J60,'Data input'!$L$269:$L$324,K60)</f>
        <v>221</v>
      </c>
      <c r="M60" s="181" cm="1">
        <f t="array" ref="M60">_xlfn.XLOOKUP(H60&amp;I60&amp;K60,'Data input'!$I$329:$I$356&amp;'Data input'!$J$329:$J$356&amp;'Data input'!$K$329:$K$356,'Data input'!$L$329:$L$356)</f>
        <v>0.42</v>
      </c>
      <c r="N60" s="181">
        <f>_xlfn.XLOOKUP(J60,'Data input'!$I$361:$I$362,'Data input'!$J$361:$J$362)</f>
        <v>0.92</v>
      </c>
      <c r="O60" s="200">
        <f t="shared" si="4"/>
        <v>85.394400000000005</v>
      </c>
      <c r="P60" s="181"/>
    </row>
    <row r="61" spans="7:16">
      <c r="G61" s="181"/>
      <c r="H61" s="207">
        <v>2021</v>
      </c>
      <c r="I61" s="204" t="s">
        <v>175</v>
      </c>
      <c r="J61" s="12" t="s">
        <v>212</v>
      </c>
      <c r="K61" s="157" t="s">
        <v>243</v>
      </c>
      <c r="L61" s="219">
        <f>SUMIFS('Data input'!$M$269:$M$324,'Data input'!$I$269:$I$324,H61,'Data input'!$J$269:$J$324,I61,'Data input'!$K$269:$K$324,J61,'Data input'!$L$269:$L$324,K61)</f>
        <v>222</v>
      </c>
      <c r="M61" s="181" cm="1">
        <f t="array" ref="M61">_xlfn.XLOOKUP(H61&amp;I61&amp;K61,'Data input'!$I$329:$I$356&amp;'Data input'!$J$329:$J$356&amp;'Data input'!$K$329:$K$356,'Data input'!$L$329:$L$356)</f>
        <v>0.43</v>
      </c>
      <c r="N61" s="181">
        <f>_xlfn.XLOOKUP(J61,'Data input'!$I$361:$I$362,'Data input'!$J$361:$J$362)</f>
        <v>0.92</v>
      </c>
      <c r="O61" s="200">
        <f t="shared" si="4"/>
        <v>87.8232</v>
      </c>
      <c r="P61" s="181"/>
    </row>
    <row r="62" spans="7:16">
      <c r="G62" s="181"/>
      <c r="H62" s="207">
        <v>2022</v>
      </c>
      <c r="I62" s="204" t="s">
        <v>175</v>
      </c>
      <c r="J62" s="12" t="s">
        <v>212</v>
      </c>
      <c r="K62" s="157" t="s">
        <v>243</v>
      </c>
      <c r="L62" s="219">
        <f>SUMIFS('Data input'!$M$269:$M$324,'Data input'!$I$269:$I$324,H62,'Data input'!$J$269:$J$324,I62,'Data input'!$K$269:$K$324,J62,'Data input'!$L$269:$L$324,K62)</f>
        <v>223</v>
      </c>
      <c r="M62" s="181" cm="1">
        <f t="array" ref="M62">_xlfn.XLOOKUP(H62&amp;I62&amp;K62,'Data input'!$I$329:$I$356&amp;'Data input'!$J$329:$J$356&amp;'Data input'!$K$329:$K$356,'Data input'!$L$329:$L$356)</f>
        <v>0.44</v>
      </c>
      <c r="N62" s="181">
        <f>_xlfn.XLOOKUP(J62,'Data input'!$I$361:$I$362,'Data input'!$J$361:$J$362)</f>
        <v>0.92</v>
      </c>
      <c r="O62" s="200">
        <f t="shared" si="4"/>
        <v>90.270400000000009</v>
      </c>
      <c r="P62" s="181"/>
    </row>
    <row r="63" spans="7:16">
      <c r="G63" s="181"/>
      <c r="H63" s="207">
        <v>2023</v>
      </c>
      <c r="I63" s="204" t="s">
        <v>175</v>
      </c>
      <c r="J63" s="12" t="s">
        <v>212</v>
      </c>
      <c r="K63" s="157" t="s">
        <v>243</v>
      </c>
      <c r="L63" s="219">
        <f>SUMIFS('Data input'!$M$269:$M$324,'Data input'!$I$269:$I$324,H63,'Data input'!$J$269:$J$324,I63,'Data input'!$K$269:$K$324,J63,'Data input'!$L$269:$L$324,K63)</f>
        <v>224</v>
      </c>
      <c r="M63" s="181" cm="1">
        <f t="array" ref="M63">_xlfn.XLOOKUP(H63&amp;I63&amp;K63,'Data input'!$I$329:$I$356&amp;'Data input'!$J$329:$J$356&amp;'Data input'!$K$329:$K$356,'Data input'!$L$329:$L$356)</f>
        <v>0.45</v>
      </c>
      <c r="N63" s="181">
        <f>_xlfn.XLOOKUP(J63,'Data input'!$I$361:$I$362,'Data input'!$J$361:$J$362)</f>
        <v>0.92</v>
      </c>
      <c r="O63" s="200">
        <f t="shared" si="4"/>
        <v>92.736000000000004</v>
      </c>
      <c r="P63" s="181"/>
    </row>
    <row r="64" spans="7:16">
      <c r="G64" s="181"/>
      <c r="H64" s="207">
        <v>2024</v>
      </c>
      <c r="I64" s="204" t="s">
        <v>175</v>
      </c>
      <c r="J64" s="12" t="s">
        <v>212</v>
      </c>
      <c r="K64" s="157" t="s">
        <v>243</v>
      </c>
      <c r="L64" s="219">
        <f>SUMIFS('Data input'!$M$269:$M$324,'Data input'!$I$269:$I$324,H64,'Data input'!$J$269:$J$324,I64,'Data input'!$K$269:$K$324,J64,'Data input'!$L$269:$L$324,K64)</f>
        <v>225</v>
      </c>
      <c r="M64" s="181" cm="1">
        <f t="array" ref="M64">_xlfn.XLOOKUP(H64&amp;I64&amp;K64,'Data input'!$I$329:$I$356&amp;'Data input'!$J$329:$J$356&amp;'Data input'!$K$329:$K$356,'Data input'!$L$329:$L$356)</f>
        <v>0.46</v>
      </c>
      <c r="N64" s="181">
        <f>_xlfn.XLOOKUP(J64,'Data input'!$I$361:$I$362,'Data input'!$J$361:$J$362)</f>
        <v>0.92</v>
      </c>
      <c r="O64" s="200">
        <f t="shared" si="4"/>
        <v>95.22</v>
      </c>
      <c r="P64" s="181"/>
    </row>
    <row r="65" spans="7:16">
      <c r="G65" s="181"/>
      <c r="H65" s="207">
        <v>2025</v>
      </c>
      <c r="I65" s="204" t="s">
        <v>175</v>
      </c>
      <c r="J65" s="12" t="s">
        <v>212</v>
      </c>
      <c r="K65" s="157" t="s">
        <v>243</v>
      </c>
      <c r="L65" s="219">
        <f>SUMIFS('Data input'!$M$269:$M$324,'Data input'!$I$269:$I$324,H65,'Data input'!$J$269:$J$324,I65,'Data input'!$K$269:$K$324,J65,'Data input'!$L$269:$L$324,K65)</f>
        <v>226</v>
      </c>
      <c r="M65" s="181" cm="1">
        <f t="array" ref="M65">_xlfn.XLOOKUP(H65&amp;I65&amp;K65,'Data input'!$I$329:$I$356&amp;'Data input'!$J$329:$J$356&amp;'Data input'!$K$329:$K$356,'Data input'!$L$329:$L$356)</f>
        <v>0.47</v>
      </c>
      <c r="N65" s="181">
        <f>_xlfn.XLOOKUP(J65,'Data input'!$I$361:$I$362,'Data input'!$J$361:$J$362)</f>
        <v>0.92</v>
      </c>
      <c r="O65" s="200">
        <f t="shared" si="4"/>
        <v>97.722400000000007</v>
      </c>
      <c r="P65" s="181"/>
    </row>
    <row r="66" spans="7:16">
      <c r="G66" s="181"/>
      <c r="H66" s="207">
        <v>2026</v>
      </c>
      <c r="I66" s="204" t="s">
        <v>175</v>
      </c>
      <c r="J66" s="12" t="s">
        <v>212</v>
      </c>
      <c r="K66" s="157" t="s">
        <v>243</v>
      </c>
      <c r="L66" s="219">
        <f>SUMIFS('Data input'!$M$269:$M$324,'Data input'!$I$269:$I$324,H66,'Data input'!$J$269:$J$324,I66,'Data input'!$K$269:$K$324,J66,'Data input'!$L$269:$L$324,K66)</f>
        <v>227</v>
      </c>
      <c r="M66" s="181" cm="1">
        <f t="array" ref="M66">_xlfn.XLOOKUP(H66&amp;I66&amp;K66,'Data input'!$I$329:$I$356&amp;'Data input'!$J$329:$J$356&amp;'Data input'!$K$329:$K$356,'Data input'!$L$329:$L$356)</f>
        <v>0.48</v>
      </c>
      <c r="N66" s="181">
        <f>_xlfn.XLOOKUP(J66,'Data input'!$I$361:$I$362,'Data input'!$J$361:$J$362)</f>
        <v>0.92</v>
      </c>
      <c r="O66" s="200">
        <f t="shared" si="4"/>
        <v>100.2432</v>
      </c>
      <c r="P66" s="181"/>
    </row>
    <row r="67" spans="7:16">
      <c r="G67" s="181"/>
      <c r="H67" s="207">
        <v>2020</v>
      </c>
      <c r="I67" s="33" t="s">
        <v>172</v>
      </c>
      <c r="J67" s="12" t="s">
        <v>173</v>
      </c>
      <c r="K67" s="157" t="s">
        <v>244</v>
      </c>
      <c r="L67" s="219">
        <f>SUMIFS('Data input'!$M$269:$M$324,'Data input'!$I$269:$I$324,H67,'Data input'!$J$269:$J$324,I67,'Data input'!$K$269:$K$324,J67,'Data input'!$L$269:$L$324,K67)</f>
        <v>228</v>
      </c>
      <c r="M67" s="181" cm="1">
        <f t="array" ref="M67">_xlfn.XLOOKUP(H67&amp;I67&amp;K67,'Data input'!$I$329:$I$356&amp;'Data input'!$J$329:$J$356&amp;'Data input'!$K$329:$K$356,'Data input'!$L$329:$L$356)</f>
        <v>0.49</v>
      </c>
      <c r="N67" s="181">
        <f>_xlfn.XLOOKUP(J67,'Data input'!$I$361:$I$362,'Data input'!$J$361:$J$362)</f>
        <v>0.89</v>
      </c>
      <c r="O67" s="200">
        <f t="shared" si="4"/>
        <v>99.430800000000005</v>
      </c>
      <c r="P67" s="181"/>
    </row>
    <row r="68" spans="7:16">
      <c r="G68" s="181"/>
      <c r="H68" s="207">
        <v>2021</v>
      </c>
      <c r="I68" s="33" t="s">
        <v>172</v>
      </c>
      <c r="J68" s="12" t="s">
        <v>173</v>
      </c>
      <c r="K68" s="157" t="s">
        <v>244</v>
      </c>
      <c r="L68" s="219">
        <f>SUMIFS('Data input'!$M$269:$M$324,'Data input'!$I$269:$I$324,H68,'Data input'!$J$269:$J$324,I68,'Data input'!$K$269:$K$324,J68,'Data input'!$L$269:$L$324,K68)</f>
        <v>229</v>
      </c>
      <c r="M68" s="181" cm="1">
        <f t="array" ref="M68">_xlfn.XLOOKUP(H68&amp;I68&amp;K68,'Data input'!$I$329:$I$356&amp;'Data input'!$J$329:$J$356&amp;'Data input'!$K$329:$K$356,'Data input'!$L$329:$L$356)</f>
        <v>0.5</v>
      </c>
      <c r="N68" s="181">
        <f>_xlfn.XLOOKUP(J68,'Data input'!$I$361:$I$362,'Data input'!$J$361:$J$362)</f>
        <v>0.89</v>
      </c>
      <c r="O68" s="200">
        <f t="shared" si="4"/>
        <v>101.905</v>
      </c>
      <c r="P68" s="181"/>
    </row>
    <row r="69" spans="7:16">
      <c r="G69" s="181"/>
      <c r="H69" s="207">
        <v>2022</v>
      </c>
      <c r="I69" s="33" t="s">
        <v>172</v>
      </c>
      <c r="J69" s="12" t="s">
        <v>173</v>
      </c>
      <c r="K69" s="157" t="s">
        <v>244</v>
      </c>
      <c r="L69" s="219">
        <f>SUMIFS('Data input'!$M$269:$M$324,'Data input'!$I$269:$I$324,H69,'Data input'!$J$269:$J$324,I69,'Data input'!$K$269:$K$324,J69,'Data input'!$L$269:$L$324,K69)</f>
        <v>230</v>
      </c>
      <c r="M69" s="181" cm="1">
        <f t="array" ref="M69">_xlfn.XLOOKUP(H69&amp;I69&amp;K69,'Data input'!$I$329:$I$356&amp;'Data input'!$J$329:$J$356&amp;'Data input'!$K$329:$K$356,'Data input'!$L$329:$L$356)</f>
        <v>0.51</v>
      </c>
      <c r="N69" s="181">
        <f>_xlfn.XLOOKUP(J69,'Data input'!$I$361:$I$362,'Data input'!$J$361:$J$362)</f>
        <v>0.89</v>
      </c>
      <c r="O69" s="200">
        <f t="shared" si="4"/>
        <v>104.39700000000001</v>
      </c>
      <c r="P69" s="181"/>
    </row>
    <row r="70" spans="7:16">
      <c r="G70" s="181"/>
      <c r="H70" s="207">
        <v>2023</v>
      </c>
      <c r="I70" s="33" t="s">
        <v>172</v>
      </c>
      <c r="J70" s="12" t="s">
        <v>173</v>
      </c>
      <c r="K70" s="157" t="s">
        <v>244</v>
      </c>
      <c r="L70" s="219">
        <f>SUMIFS('Data input'!$M$269:$M$324,'Data input'!$I$269:$I$324,H70,'Data input'!$J$269:$J$324,I70,'Data input'!$K$269:$K$324,J70,'Data input'!$L$269:$L$324,K70)</f>
        <v>231</v>
      </c>
      <c r="M70" s="181" cm="1">
        <f t="array" ref="M70">_xlfn.XLOOKUP(H70&amp;I70&amp;K70,'Data input'!$I$329:$I$356&amp;'Data input'!$J$329:$J$356&amp;'Data input'!$K$329:$K$356,'Data input'!$L$329:$L$356)</f>
        <v>0.52</v>
      </c>
      <c r="N70" s="181">
        <f>_xlfn.XLOOKUP(J70,'Data input'!$I$361:$I$362,'Data input'!$J$361:$J$362)</f>
        <v>0.89</v>
      </c>
      <c r="O70" s="200">
        <f t="shared" si="4"/>
        <v>106.9068</v>
      </c>
      <c r="P70" s="181"/>
    </row>
    <row r="71" spans="7:16">
      <c r="G71" s="181"/>
      <c r="H71" s="207">
        <v>2024</v>
      </c>
      <c r="I71" s="33" t="s">
        <v>172</v>
      </c>
      <c r="J71" s="12" t="s">
        <v>173</v>
      </c>
      <c r="K71" s="157" t="s">
        <v>244</v>
      </c>
      <c r="L71" s="219">
        <f>SUMIFS('Data input'!$M$269:$M$324,'Data input'!$I$269:$I$324,H71,'Data input'!$J$269:$J$324,I71,'Data input'!$K$269:$K$324,J71,'Data input'!$L$269:$L$324,K71)</f>
        <v>232</v>
      </c>
      <c r="M71" s="181" cm="1">
        <f t="array" ref="M71">_xlfn.XLOOKUP(H71&amp;I71&amp;K71,'Data input'!$I$329:$I$356&amp;'Data input'!$J$329:$J$356&amp;'Data input'!$K$329:$K$356,'Data input'!$L$329:$L$356)</f>
        <v>0.53</v>
      </c>
      <c r="N71" s="181">
        <f>_xlfn.XLOOKUP(J71,'Data input'!$I$361:$I$362,'Data input'!$J$361:$J$362)</f>
        <v>0.89</v>
      </c>
      <c r="O71" s="200">
        <f t="shared" si="4"/>
        <v>109.43440000000001</v>
      </c>
      <c r="P71" s="181"/>
    </row>
    <row r="72" spans="7:16">
      <c r="G72" s="181"/>
      <c r="H72" s="207">
        <v>2025</v>
      </c>
      <c r="I72" s="33" t="s">
        <v>172</v>
      </c>
      <c r="J72" s="12" t="s">
        <v>173</v>
      </c>
      <c r="K72" s="157" t="s">
        <v>244</v>
      </c>
      <c r="L72" s="219">
        <f>SUMIFS('Data input'!$M$269:$M$324,'Data input'!$I$269:$I$324,H72,'Data input'!$J$269:$J$324,I72,'Data input'!$K$269:$K$324,J72,'Data input'!$L$269:$L$324,K72)</f>
        <v>233</v>
      </c>
      <c r="M72" s="181" cm="1">
        <f t="array" ref="M72">_xlfn.XLOOKUP(H72&amp;I72&amp;K72,'Data input'!$I$329:$I$356&amp;'Data input'!$J$329:$J$356&amp;'Data input'!$K$329:$K$356,'Data input'!$L$329:$L$356)</f>
        <v>0.54</v>
      </c>
      <c r="N72" s="181">
        <f>_xlfn.XLOOKUP(J72,'Data input'!$I$361:$I$362,'Data input'!$J$361:$J$362)</f>
        <v>0.89</v>
      </c>
      <c r="O72" s="200">
        <f t="shared" si="4"/>
        <v>111.97980000000001</v>
      </c>
      <c r="P72" s="181"/>
    </row>
    <row r="73" spans="7:16">
      <c r="G73" s="181"/>
      <c r="H73" s="207">
        <v>2026</v>
      </c>
      <c r="I73" s="33" t="s">
        <v>172</v>
      </c>
      <c r="J73" s="12" t="s">
        <v>173</v>
      </c>
      <c r="K73" s="157" t="s">
        <v>244</v>
      </c>
      <c r="L73" s="219">
        <f>SUMIFS('Data input'!$M$269:$M$324,'Data input'!$I$269:$I$324,H73,'Data input'!$J$269:$J$324,I73,'Data input'!$K$269:$K$324,J73,'Data input'!$L$269:$L$324,K73)</f>
        <v>234</v>
      </c>
      <c r="M73" s="181" cm="1">
        <f t="array" ref="M73">_xlfn.XLOOKUP(H73&amp;I73&amp;K73,'Data input'!$I$329:$I$356&amp;'Data input'!$J$329:$J$356&amp;'Data input'!$K$329:$K$356,'Data input'!$L$329:$L$356)</f>
        <v>0.55000000000000004</v>
      </c>
      <c r="N73" s="181">
        <f>_xlfn.XLOOKUP(J73,'Data input'!$I$361:$I$362,'Data input'!$J$361:$J$362)</f>
        <v>0.89</v>
      </c>
      <c r="O73" s="200">
        <f t="shared" ref="O73:O94" si="5">L73*M73*N73</f>
        <v>114.54300000000002</v>
      </c>
      <c r="P73" s="181"/>
    </row>
    <row r="74" spans="7:16">
      <c r="G74" s="181"/>
      <c r="H74" s="207">
        <v>2020</v>
      </c>
      <c r="I74" s="204" t="s">
        <v>175</v>
      </c>
      <c r="J74" s="12" t="s">
        <v>173</v>
      </c>
      <c r="K74" s="157" t="s">
        <v>244</v>
      </c>
      <c r="L74" s="219">
        <f>SUMIFS('Data input'!$M$269:$M$324,'Data input'!$I$269:$I$324,H74,'Data input'!$J$269:$J$324,I74,'Data input'!$K$269:$K$324,J74,'Data input'!$L$269:$L$324,K74)</f>
        <v>235</v>
      </c>
      <c r="M74" s="181" cm="1">
        <f t="array" ref="M74">_xlfn.XLOOKUP(H74&amp;I74&amp;K74,'Data input'!$I$329:$I$356&amp;'Data input'!$J$329:$J$356&amp;'Data input'!$K$329:$K$356,'Data input'!$L$329:$L$356)</f>
        <v>0.56000000000000005</v>
      </c>
      <c r="N74" s="181">
        <f>_xlfn.XLOOKUP(J74,'Data input'!$I$361:$I$362,'Data input'!$J$361:$J$362)</f>
        <v>0.89</v>
      </c>
      <c r="O74" s="200">
        <f t="shared" si="5"/>
        <v>117.12400000000002</v>
      </c>
      <c r="P74" s="181"/>
    </row>
    <row r="75" spans="7:16">
      <c r="G75" s="181"/>
      <c r="H75" s="207">
        <v>2021</v>
      </c>
      <c r="I75" s="204" t="s">
        <v>175</v>
      </c>
      <c r="J75" s="12" t="s">
        <v>173</v>
      </c>
      <c r="K75" s="157" t="s">
        <v>244</v>
      </c>
      <c r="L75" s="219">
        <f>SUMIFS('Data input'!$M$269:$M$324,'Data input'!$I$269:$I$324,H75,'Data input'!$J$269:$J$324,I75,'Data input'!$K$269:$K$324,J75,'Data input'!$L$269:$L$324,K75)</f>
        <v>236</v>
      </c>
      <c r="M75" s="181" cm="1">
        <f t="array" ref="M75">_xlfn.XLOOKUP(H75&amp;I75&amp;K75,'Data input'!$I$329:$I$356&amp;'Data input'!$J$329:$J$356&amp;'Data input'!$K$329:$K$356,'Data input'!$L$329:$L$356)</f>
        <v>0.56999999999999995</v>
      </c>
      <c r="N75" s="181">
        <f>_xlfn.XLOOKUP(J75,'Data input'!$I$361:$I$362,'Data input'!$J$361:$J$362)</f>
        <v>0.89</v>
      </c>
      <c r="O75" s="200">
        <f t="shared" si="5"/>
        <v>119.72279999999999</v>
      </c>
      <c r="P75" s="181"/>
    </row>
    <row r="76" spans="7:16">
      <c r="G76" s="181"/>
      <c r="H76" s="207">
        <v>2022</v>
      </c>
      <c r="I76" s="204" t="s">
        <v>175</v>
      </c>
      <c r="J76" s="12" t="s">
        <v>173</v>
      </c>
      <c r="K76" s="157" t="s">
        <v>244</v>
      </c>
      <c r="L76" s="219">
        <f>SUMIFS('Data input'!$M$269:$M$324,'Data input'!$I$269:$I$324,H76,'Data input'!$J$269:$J$324,I76,'Data input'!$K$269:$K$324,J76,'Data input'!$L$269:$L$324,K76)</f>
        <v>237</v>
      </c>
      <c r="M76" s="181" cm="1">
        <f t="array" ref="M76">_xlfn.XLOOKUP(H76&amp;I76&amp;K76,'Data input'!$I$329:$I$356&amp;'Data input'!$J$329:$J$356&amp;'Data input'!$K$329:$K$356,'Data input'!$L$329:$L$356)</f>
        <v>0.57999999999999996</v>
      </c>
      <c r="N76" s="181">
        <f>_xlfn.XLOOKUP(J76,'Data input'!$I$361:$I$362,'Data input'!$J$361:$J$362)</f>
        <v>0.89</v>
      </c>
      <c r="O76" s="200">
        <f t="shared" si="5"/>
        <v>122.33939999999998</v>
      </c>
      <c r="P76" s="181"/>
    </row>
    <row r="77" spans="7:16">
      <c r="G77" s="181"/>
      <c r="H77" s="207">
        <v>2023</v>
      </c>
      <c r="I77" s="204" t="s">
        <v>175</v>
      </c>
      <c r="J77" s="12" t="s">
        <v>173</v>
      </c>
      <c r="K77" s="157" t="s">
        <v>244</v>
      </c>
      <c r="L77" s="219">
        <f>SUMIFS('Data input'!$M$269:$M$324,'Data input'!$I$269:$I$324,H77,'Data input'!$J$269:$J$324,I77,'Data input'!$K$269:$K$324,J77,'Data input'!$L$269:$L$324,K77)</f>
        <v>238</v>
      </c>
      <c r="M77" s="181" cm="1">
        <f t="array" ref="M77">_xlfn.XLOOKUP(H77&amp;I77&amp;K77,'Data input'!$I$329:$I$356&amp;'Data input'!$J$329:$J$356&amp;'Data input'!$K$329:$K$356,'Data input'!$L$329:$L$356)</f>
        <v>0.59</v>
      </c>
      <c r="N77" s="181">
        <f>_xlfn.XLOOKUP(J77,'Data input'!$I$361:$I$362,'Data input'!$J$361:$J$362)</f>
        <v>0.89</v>
      </c>
      <c r="O77" s="200">
        <f t="shared" si="5"/>
        <v>124.9738</v>
      </c>
      <c r="P77" s="181"/>
    </row>
    <row r="78" spans="7:16">
      <c r="G78" s="181"/>
      <c r="H78" s="207">
        <v>2024</v>
      </c>
      <c r="I78" s="204" t="s">
        <v>175</v>
      </c>
      <c r="J78" s="12" t="s">
        <v>173</v>
      </c>
      <c r="K78" s="157" t="s">
        <v>244</v>
      </c>
      <c r="L78" s="219">
        <f>SUMIFS('Data input'!$M$269:$M$324,'Data input'!$I$269:$I$324,H78,'Data input'!$J$269:$J$324,I78,'Data input'!$K$269:$K$324,J78,'Data input'!$L$269:$L$324,K78)</f>
        <v>239</v>
      </c>
      <c r="M78" s="181" cm="1">
        <f t="array" ref="M78">_xlfn.XLOOKUP(H78&amp;I78&amp;K78,'Data input'!$I$329:$I$356&amp;'Data input'!$J$329:$J$356&amp;'Data input'!$K$329:$K$356,'Data input'!$L$329:$L$356)</f>
        <v>0.6</v>
      </c>
      <c r="N78" s="181">
        <f>_xlfn.XLOOKUP(J78,'Data input'!$I$361:$I$362,'Data input'!$J$361:$J$362)</f>
        <v>0.89</v>
      </c>
      <c r="O78" s="200">
        <f t="shared" si="5"/>
        <v>127.626</v>
      </c>
      <c r="P78" s="181"/>
    </row>
    <row r="79" spans="7:16">
      <c r="G79" s="181"/>
      <c r="H79" s="207">
        <v>2025</v>
      </c>
      <c r="I79" s="204" t="s">
        <v>175</v>
      </c>
      <c r="J79" s="12" t="s">
        <v>173</v>
      </c>
      <c r="K79" s="157" t="s">
        <v>244</v>
      </c>
      <c r="L79" s="219">
        <f>SUMIFS('Data input'!$M$269:$M$324,'Data input'!$I$269:$I$324,H79,'Data input'!$J$269:$J$324,I79,'Data input'!$K$269:$K$324,J79,'Data input'!$L$269:$L$324,K79)</f>
        <v>240</v>
      </c>
      <c r="M79" s="181" cm="1">
        <f t="array" ref="M79">_xlfn.XLOOKUP(H79&amp;I79&amp;K79,'Data input'!$I$329:$I$356&amp;'Data input'!$J$329:$J$356&amp;'Data input'!$K$329:$K$356,'Data input'!$L$329:$L$356)</f>
        <v>0.61</v>
      </c>
      <c r="N79" s="181">
        <f>_xlfn.XLOOKUP(J79,'Data input'!$I$361:$I$362,'Data input'!$J$361:$J$362)</f>
        <v>0.89</v>
      </c>
      <c r="O79" s="200">
        <f t="shared" si="5"/>
        <v>130.29600000000002</v>
      </c>
      <c r="P79" s="181"/>
    </row>
    <row r="80" spans="7:16">
      <c r="G80" s="181"/>
      <c r="H80" s="207">
        <v>2026</v>
      </c>
      <c r="I80" s="204" t="s">
        <v>175</v>
      </c>
      <c r="J80" s="12" t="s">
        <v>173</v>
      </c>
      <c r="K80" s="157" t="s">
        <v>244</v>
      </c>
      <c r="L80" s="219">
        <f>SUMIFS('Data input'!$M$269:$M$324,'Data input'!$I$269:$I$324,H80,'Data input'!$J$269:$J$324,I80,'Data input'!$K$269:$K$324,J80,'Data input'!$L$269:$L$324,K80)</f>
        <v>241</v>
      </c>
      <c r="M80" s="181" cm="1">
        <f t="array" ref="M80">_xlfn.XLOOKUP(H80&amp;I80&amp;K80,'Data input'!$I$329:$I$356&amp;'Data input'!$J$329:$J$356&amp;'Data input'!$K$329:$K$356,'Data input'!$L$329:$L$356)</f>
        <v>0.62</v>
      </c>
      <c r="N80" s="181">
        <f>_xlfn.XLOOKUP(J80,'Data input'!$I$361:$I$362,'Data input'!$J$361:$J$362)</f>
        <v>0.89</v>
      </c>
      <c r="O80" s="200">
        <f t="shared" si="5"/>
        <v>132.9838</v>
      </c>
      <c r="P80" s="181"/>
    </row>
    <row r="81" spans="7:16">
      <c r="G81" s="181"/>
      <c r="H81" s="207">
        <v>2020</v>
      </c>
      <c r="I81" s="33" t="s">
        <v>172</v>
      </c>
      <c r="J81" s="12" t="s">
        <v>212</v>
      </c>
      <c r="K81" s="157" t="s">
        <v>244</v>
      </c>
      <c r="L81" s="219">
        <f>SUMIFS('Data input'!$M$269:$M$324,'Data input'!$I$269:$I$324,H81,'Data input'!$J$269:$J$324,I81,'Data input'!$K$269:$K$324,J81,'Data input'!$L$269:$L$324,K81)</f>
        <v>242</v>
      </c>
      <c r="M81" s="181" cm="1">
        <f t="array" ref="M81">_xlfn.XLOOKUP(H81&amp;I81&amp;K81,'Data input'!$I$329:$I$356&amp;'Data input'!$J$329:$J$356&amp;'Data input'!$K$329:$K$356,'Data input'!$L$329:$L$356)</f>
        <v>0.49</v>
      </c>
      <c r="N81" s="181">
        <f>_xlfn.XLOOKUP(J81,'Data input'!$I$361:$I$362,'Data input'!$J$361:$J$362)</f>
        <v>0.92</v>
      </c>
      <c r="O81" s="200">
        <f t="shared" si="5"/>
        <v>109.09360000000001</v>
      </c>
      <c r="P81" s="181"/>
    </row>
    <row r="82" spans="7:16">
      <c r="G82" s="181"/>
      <c r="H82" s="207">
        <v>2021</v>
      </c>
      <c r="I82" s="33" t="s">
        <v>172</v>
      </c>
      <c r="J82" s="12" t="s">
        <v>212</v>
      </c>
      <c r="K82" s="157" t="s">
        <v>244</v>
      </c>
      <c r="L82" s="219">
        <f>SUMIFS('Data input'!$M$269:$M$324,'Data input'!$I$269:$I$324,H82,'Data input'!$J$269:$J$324,I82,'Data input'!$K$269:$K$324,J82,'Data input'!$L$269:$L$324,K82)</f>
        <v>243</v>
      </c>
      <c r="M82" s="181" cm="1">
        <f t="array" ref="M82">_xlfn.XLOOKUP(H82&amp;I82&amp;K82,'Data input'!$I$329:$I$356&amp;'Data input'!$J$329:$J$356&amp;'Data input'!$K$329:$K$356,'Data input'!$L$329:$L$356)</f>
        <v>0.5</v>
      </c>
      <c r="N82" s="181">
        <f>_xlfn.XLOOKUP(J82,'Data input'!$I$361:$I$362,'Data input'!$J$361:$J$362)</f>
        <v>0.92</v>
      </c>
      <c r="O82" s="200">
        <f t="shared" si="5"/>
        <v>111.78</v>
      </c>
      <c r="P82" s="181"/>
    </row>
    <row r="83" spans="7:16">
      <c r="G83" s="181"/>
      <c r="H83" s="207">
        <v>2022</v>
      </c>
      <c r="I83" s="33" t="s">
        <v>172</v>
      </c>
      <c r="J83" s="12" t="s">
        <v>212</v>
      </c>
      <c r="K83" s="157" t="s">
        <v>244</v>
      </c>
      <c r="L83" s="219">
        <f>SUMIFS('Data input'!$M$269:$M$324,'Data input'!$I$269:$I$324,H83,'Data input'!$J$269:$J$324,I83,'Data input'!$K$269:$K$324,J83,'Data input'!$L$269:$L$324,K83)</f>
        <v>244</v>
      </c>
      <c r="M83" s="181" cm="1">
        <f t="array" ref="M83">_xlfn.XLOOKUP(H83&amp;I83&amp;K83,'Data input'!$I$329:$I$356&amp;'Data input'!$J$329:$J$356&amp;'Data input'!$K$329:$K$356,'Data input'!$L$329:$L$356)</f>
        <v>0.51</v>
      </c>
      <c r="N83" s="181">
        <f>_xlfn.XLOOKUP(J83,'Data input'!$I$361:$I$362,'Data input'!$J$361:$J$362)</f>
        <v>0.92</v>
      </c>
      <c r="O83" s="200">
        <f t="shared" si="5"/>
        <v>114.48480000000001</v>
      </c>
      <c r="P83" s="181"/>
    </row>
    <row r="84" spans="7:16">
      <c r="G84" s="181"/>
      <c r="H84" s="207">
        <v>2023</v>
      </c>
      <c r="I84" s="33" t="s">
        <v>172</v>
      </c>
      <c r="J84" s="12" t="s">
        <v>212</v>
      </c>
      <c r="K84" s="157" t="s">
        <v>244</v>
      </c>
      <c r="L84" s="219">
        <f>SUMIFS('Data input'!$M$269:$M$324,'Data input'!$I$269:$I$324,H84,'Data input'!$J$269:$J$324,I84,'Data input'!$K$269:$K$324,J84,'Data input'!$L$269:$L$324,K84)</f>
        <v>245</v>
      </c>
      <c r="M84" s="181" cm="1">
        <f t="array" ref="M84">_xlfn.XLOOKUP(H84&amp;I84&amp;K84,'Data input'!$I$329:$I$356&amp;'Data input'!$J$329:$J$356&amp;'Data input'!$K$329:$K$356,'Data input'!$L$329:$L$356)</f>
        <v>0.52</v>
      </c>
      <c r="N84" s="181">
        <f>_xlfn.XLOOKUP(J84,'Data input'!$I$361:$I$362,'Data input'!$J$361:$J$362)</f>
        <v>0.92</v>
      </c>
      <c r="O84" s="200">
        <f t="shared" si="5"/>
        <v>117.20800000000001</v>
      </c>
      <c r="P84" s="181"/>
    </row>
    <row r="85" spans="7:16">
      <c r="G85" s="181"/>
      <c r="H85" s="207">
        <v>2024</v>
      </c>
      <c r="I85" s="33" t="s">
        <v>172</v>
      </c>
      <c r="J85" s="12" t="s">
        <v>212</v>
      </c>
      <c r="K85" s="157" t="s">
        <v>244</v>
      </c>
      <c r="L85" s="219">
        <f>SUMIFS('Data input'!$M$269:$M$324,'Data input'!$I$269:$I$324,H85,'Data input'!$J$269:$J$324,I85,'Data input'!$K$269:$K$324,J85,'Data input'!$L$269:$L$324,K85)</f>
        <v>246</v>
      </c>
      <c r="M85" s="181" cm="1">
        <f t="array" ref="M85">_xlfn.XLOOKUP(H85&amp;I85&amp;K85,'Data input'!$I$329:$I$356&amp;'Data input'!$J$329:$J$356&amp;'Data input'!$K$329:$K$356,'Data input'!$L$329:$L$356)</f>
        <v>0.53</v>
      </c>
      <c r="N85" s="181">
        <f>_xlfn.XLOOKUP(J85,'Data input'!$I$361:$I$362,'Data input'!$J$361:$J$362)</f>
        <v>0.92</v>
      </c>
      <c r="O85" s="200">
        <f t="shared" si="5"/>
        <v>119.9496</v>
      </c>
      <c r="P85" s="181"/>
    </row>
    <row r="86" spans="7:16">
      <c r="G86" s="181"/>
      <c r="H86" s="207">
        <v>2025</v>
      </c>
      <c r="I86" s="33" t="s">
        <v>172</v>
      </c>
      <c r="J86" s="12" t="s">
        <v>212</v>
      </c>
      <c r="K86" s="157" t="s">
        <v>244</v>
      </c>
      <c r="L86" s="219">
        <f>SUMIFS('Data input'!$M$269:$M$324,'Data input'!$I$269:$I$324,H86,'Data input'!$J$269:$J$324,I86,'Data input'!$K$269:$K$324,J86,'Data input'!$L$269:$L$324,K86)</f>
        <v>247</v>
      </c>
      <c r="M86" s="181" cm="1">
        <f t="array" ref="M86">_xlfn.XLOOKUP(H86&amp;I86&amp;K86,'Data input'!$I$329:$I$356&amp;'Data input'!$J$329:$J$356&amp;'Data input'!$K$329:$K$356,'Data input'!$L$329:$L$356)</f>
        <v>0.54</v>
      </c>
      <c r="N86" s="181">
        <f>_xlfn.XLOOKUP(J86,'Data input'!$I$361:$I$362,'Data input'!$J$361:$J$362)</f>
        <v>0.92</v>
      </c>
      <c r="O86" s="200">
        <f t="shared" si="5"/>
        <v>122.70959999999999</v>
      </c>
      <c r="P86" s="181"/>
    </row>
    <row r="87" spans="7:16">
      <c r="G87" s="181"/>
      <c r="H87" s="207">
        <v>2026</v>
      </c>
      <c r="I87" s="33" t="s">
        <v>172</v>
      </c>
      <c r="J87" s="12" t="s">
        <v>212</v>
      </c>
      <c r="K87" s="157" t="s">
        <v>244</v>
      </c>
      <c r="L87" s="219">
        <f>SUMIFS('Data input'!$M$269:$M$324,'Data input'!$I$269:$I$324,H87,'Data input'!$J$269:$J$324,I87,'Data input'!$K$269:$K$324,J87,'Data input'!$L$269:$L$324,K87)</f>
        <v>248</v>
      </c>
      <c r="M87" s="181" cm="1">
        <f t="array" ref="M87">_xlfn.XLOOKUP(H87&amp;I87&amp;K87,'Data input'!$I$329:$I$356&amp;'Data input'!$J$329:$J$356&amp;'Data input'!$K$329:$K$356,'Data input'!$L$329:$L$356)</f>
        <v>0.55000000000000004</v>
      </c>
      <c r="N87" s="181">
        <f>_xlfn.XLOOKUP(J87,'Data input'!$I$361:$I$362,'Data input'!$J$361:$J$362)</f>
        <v>0.92</v>
      </c>
      <c r="O87" s="200">
        <f t="shared" si="5"/>
        <v>125.48800000000001</v>
      </c>
      <c r="P87" s="181"/>
    </row>
    <row r="88" spans="7:16">
      <c r="G88" s="181"/>
      <c r="H88" s="207">
        <v>2020</v>
      </c>
      <c r="I88" s="204" t="s">
        <v>175</v>
      </c>
      <c r="J88" s="12" t="s">
        <v>212</v>
      </c>
      <c r="K88" s="157" t="s">
        <v>244</v>
      </c>
      <c r="L88" s="219">
        <f>SUMIFS('Data input'!$M$269:$M$324,'Data input'!$I$269:$I$324,H88,'Data input'!$J$269:$J$324,I88,'Data input'!$K$269:$K$324,J88,'Data input'!$L$269:$L$324,K88)</f>
        <v>249</v>
      </c>
      <c r="M88" s="181" cm="1">
        <f t="array" ref="M88">_xlfn.XLOOKUP(H88&amp;I88&amp;K88,'Data input'!$I$329:$I$356&amp;'Data input'!$J$329:$J$356&amp;'Data input'!$K$329:$K$356,'Data input'!$L$329:$L$356)</f>
        <v>0.56000000000000005</v>
      </c>
      <c r="N88" s="181">
        <f>_xlfn.XLOOKUP(J88,'Data input'!$I$361:$I$362,'Data input'!$J$361:$J$362)</f>
        <v>0.92</v>
      </c>
      <c r="O88" s="200">
        <f t="shared" si="5"/>
        <v>128.28480000000002</v>
      </c>
      <c r="P88" s="181"/>
    </row>
    <row r="89" spans="7:16">
      <c r="G89" s="181"/>
      <c r="H89" s="207">
        <v>2021</v>
      </c>
      <c r="I89" s="204" t="s">
        <v>175</v>
      </c>
      <c r="J89" s="12" t="s">
        <v>212</v>
      </c>
      <c r="K89" s="157" t="s">
        <v>244</v>
      </c>
      <c r="L89" s="219">
        <f>SUMIFS('Data input'!$M$269:$M$324,'Data input'!$I$269:$I$324,H89,'Data input'!$J$269:$J$324,I89,'Data input'!$K$269:$K$324,J89,'Data input'!$L$269:$L$324,K89)</f>
        <v>250</v>
      </c>
      <c r="M89" s="181" cm="1">
        <f t="array" ref="M89">_xlfn.XLOOKUP(H89&amp;I89&amp;K89,'Data input'!$I$329:$I$356&amp;'Data input'!$J$329:$J$356&amp;'Data input'!$K$329:$K$356,'Data input'!$L$329:$L$356)</f>
        <v>0.56999999999999995</v>
      </c>
      <c r="N89" s="181">
        <f>_xlfn.XLOOKUP(J89,'Data input'!$I$361:$I$362,'Data input'!$J$361:$J$362)</f>
        <v>0.92</v>
      </c>
      <c r="O89" s="200">
        <f t="shared" si="5"/>
        <v>131.1</v>
      </c>
      <c r="P89" s="181"/>
    </row>
    <row r="90" spans="7:16">
      <c r="G90" s="181"/>
      <c r="H90" s="207">
        <v>2022</v>
      </c>
      <c r="I90" s="204" t="s">
        <v>175</v>
      </c>
      <c r="J90" s="12" t="s">
        <v>212</v>
      </c>
      <c r="K90" s="157" t="s">
        <v>244</v>
      </c>
      <c r="L90" s="219">
        <f>SUMIFS('Data input'!$M$269:$M$324,'Data input'!$I$269:$I$324,H90,'Data input'!$J$269:$J$324,I90,'Data input'!$K$269:$K$324,J90,'Data input'!$L$269:$L$324,K90)</f>
        <v>251</v>
      </c>
      <c r="M90" s="181" cm="1">
        <f t="array" ref="M90">_xlfn.XLOOKUP(H90&amp;I90&amp;K90,'Data input'!$I$329:$I$356&amp;'Data input'!$J$329:$J$356&amp;'Data input'!$K$329:$K$356,'Data input'!$L$329:$L$356)</f>
        <v>0.57999999999999996</v>
      </c>
      <c r="N90" s="181">
        <f>_xlfn.XLOOKUP(J90,'Data input'!$I$361:$I$362,'Data input'!$J$361:$J$362)</f>
        <v>0.92</v>
      </c>
      <c r="O90" s="200">
        <f t="shared" si="5"/>
        <v>133.93359999999998</v>
      </c>
      <c r="P90" s="181"/>
    </row>
    <row r="91" spans="7:16">
      <c r="G91" s="181"/>
      <c r="H91" s="207">
        <v>2023</v>
      </c>
      <c r="I91" s="204" t="s">
        <v>175</v>
      </c>
      <c r="J91" s="12" t="s">
        <v>212</v>
      </c>
      <c r="K91" s="157" t="s">
        <v>244</v>
      </c>
      <c r="L91" s="219">
        <f>SUMIFS('Data input'!$M$269:$M$324,'Data input'!$I$269:$I$324,H91,'Data input'!$J$269:$J$324,I91,'Data input'!$K$269:$K$324,J91,'Data input'!$L$269:$L$324,K91)</f>
        <v>252</v>
      </c>
      <c r="M91" s="181" cm="1">
        <f t="array" ref="M91">_xlfn.XLOOKUP(H91&amp;I91&amp;K91,'Data input'!$I$329:$I$356&amp;'Data input'!$J$329:$J$356&amp;'Data input'!$K$329:$K$356,'Data input'!$L$329:$L$356)</f>
        <v>0.59</v>
      </c>
      <c r="N91" s="181">
        <f>_xlfn.XLOOKUP(J91,'Data input'!$I$361:$I$362,'Data input'!$J$361:$J$362)</f>
        <v>0.92</v>
      </c>
      <c r="O91" s="200">
        <f t="shared" si="5"/>
        <v>136.78559999999999</v>
      </c>
      <c r="P91" s="181"/>
    </row>
    <row r="92" spans="7:16">
      <c r="G92" s="181"/>
      <c r="H92" s="207">
        <v>2024</v>
      </c>
      <c r="I92" s="204" t="s">
        <v>175</v>
      </c>
      <c r="J92" s="12" t="s">
        <v>212</v>
      </c>
      <c r="K92" s="157" t="s">
        <v>244</v>
      </c>
      <c r="L92" s="219">
        <f>SUMIFS('Data input'!$M$269:$M$324,'Data input'!$I$269:$I$324,H92,'Data input'!$J$269:$J$324,I92,'Data input'!$K$269:$K$324,J92,'Data input'!$L$269:$L$324,K92)</f>
        <v>253</v>
      </c>
      <c r="M92" s="181" cm="1">
        <f t="array" ref="M92">_xlfn.XLOOKUP(H92&amp;I92&amp;K92,'Data input'!$I$329:$I$356&amp;'Data input'!$J$329:$J$356&amp;'Data input'!$K$329:$K$356,'Data input'!$L$329:$L$356)</f>
        <v>0.6</v>
      </c>
      <c r="N92" s="181">
        <f>_xlfn.XLOOKUP(J92,'Data input'!$I$361:$I$362,'Data input'!$J$361:$J$362)</f>
        <v>0.92</v>
      </c>
      <c r="O92" s="200">
        <f t="shared" si="5"/>
        <v>139.65599999999998</v>
      </c>
      <c r="P92" s="181"/>
    </row>
    <row r="93" spans="7:16">
      <c r="G93" s="181"/>
      <c r="H93" s="207">
        <v>2025</v>
      </c>
      <c r="I93" s="204" t="s">
        <v>175</v>
      </c>
      <c r="J93" s="12" t="s">
        <v>212</v>
      </c>
      <c r="K93" s="157" t="s">
        <v>244</v>
      </c>
      <c r="L93" s="219">
        <f>SUMIFS('Data input'!$M$269:$M$324,'Data input'!$I$269:$I$324,H93,'Data input'!$J$269:$J$324,I93,'Data input'!$K$269:$K$324,J93,'Data input'!$L$269:$L$324,K93)</f>
        <v>254</v>
      </c>
      <c r="M93" s="181" cm="1">
        <f t="array" ref="M93">_xlfn.XLOOKUP(H93&amp;I93&amp;K93,'Data input'!$I$329:$I$356&amp;'Data input'!$J$329:$J$356&amp;'Data input'!$K$329:$K$356,'Data input'!$L$329:$L$356)</f>
        <v>0.61</v>
      </c>
      <c r="N93" s="181">
        <f>_xlfn.XLOOKUP(J93,'Data input'!$I$361:$I$362,'Data input'!$J$361:$J$362)</f>
        <v>0.92</v>
      </c>
      <c r="O93" s="200">
        <f t="shared" si="5"/>
        <v>142.54480000000001</v>
      </c>
      <c r="P93" s="181"/>
    </row>
    <row r="94" spans="7:16">
      <c r="G94" s="181"/>
      <c r="H94" s="208">
        <v>2026</v>
      </c>
      <c r="I94" s="209" t="s">
        <v>175</v>
      </c>
      <c r="J94" s="210" t="s">
        <v>212</v>
      </c>
      <c r="K94" s="211" t="s">
        <v>244</v>
      </c>
      <c r="L94" s="220">
        <f>SUMIFS('Data input'!$M$269:$M$324,'Data input'!$I$269:$I$324,H94,'Data input'!$J$269:$J$324,I94,'Data input'!$K$269:$K$324,J94,'Data input'!$L$269:$L$324,K94)</f>
        <v>255</v>
      </c>
      <c r="M94" s="201" cm="1">
        <f t="array" ref="M94">_xlfn.XLOOKUP(H94&amp;I94&amp;K94,'Data input'!$I$329:$I$356&amp;'Data input'!$J$329:$J$356&amp;'Data input'!$K$329:$K$356,'Data input'!$L$329:$L$356)</f>
        <v>0.62</v>
      </c>
      <c r="N94" s="201">
        <f>_xlfn.XLOOKUP(J94,'Data input'!$I$361:$I$362,'Data input'!$J$361:$J$362)</f>
        <v>0.92</v>
      </c>
      <c r="O94" s="202">
        <f t="shared" si="5"/>
        <v>145.452</v>
      </c>
      <c r="P94" s="181"/>
    </row>
    <row r="95" spans="7:16">
      <c r="H95" s="181"/>
      <c r="I95" s="181"/>
      <c r="J95" s="181"/>
      <c r="K95" s="181"/>
      <c r="L95" s="181">
        <f>SUM(L39:L94)</f>
        <v>12740</v>
      </c>
      <c r="M95" s="181"/>
      <c r="N95" s="181"/>
      <c r="O95" s="284">
        <f>SUM(O39:O94)</f>
        <v>5652.6582000000026</v>
      </c>
    </row>
    <row r="96" spans="7:16">
      <c r="H96" s="181"/>
      <c r="I96" s="181"/>
      <c r="J96" s="181"/>
      <c r="K96" s="181"/>
      <c r="L96" s="181"/>
      <c r="M96" s="181"/>
      <c r="N96" s="181"/>
      <c r="O96" s="181"/>
    </row>
    <row r="97" spans="8:18">
      <c r="H97" s="405"/>
      <c r="I97" s="405"/>
      <c r="J97" s="405"/>
      <c r="K97" s="405"/>
      <c r="L97" s="405"/>
      <c r="M97" s="405"/>
      <c r="N97" s="405"/>
      <c r="O97" s="405" t="s">
        <v>225</v>
      </c>
    </row>
    <row r="98" spans="8:18">
      <c r="H98" s="476" t="s">
        <v>307</v>
      </c>
      <c r="I98" s="406"/>
      <c r="J98" s="406"/>
      <c r="K98" s="406"/>
      <c r="L98" s="406"/>
      <c r="M98" s="406"/>
      <c r="N98" s="405"/>
      <c r="O98" s="405" t="s">
        <v>308</v>
      </c>
    </row>
    <row r="99" spans="8:18">
      <c r="H99" s="407" t="s">
        <v>309</v>
      </c>
      <c r="I99" s="408"/>
      <c r="J99" s="408"/>
      <c r="K99" s="408"/>
      <c r="L99" s="408"/>
      <c r="M99" s="408"/>
      <c r="N99" s="405"/>
      <c r="O99" s="405"/>
    </row>
    <row r="100" spans="8:18" ht="17">
      <c r="H100" s="407" t="s">
        <v>247</v>
      </c>
      <c r="I100" s="409" t="s">
        <v>310</v>
      </c>
      <c r="J100" s="407" t="s">
        <v>225</v>
      </c>
      <c r="K100" s="405"/>
      <c r="L100" s="405"/>
      <c r="M100" s="405"/>
      <c r="N100" s="405"/>
      <c r="O100" s="405"/>
    </row>
    <row r="101" spans="8:18" ht="17">
      <c r="H101" s="407" t="s">
        <v>249</v>
      </c>
      <c r="I101" s="407" t="s">
        <v>311</v>
      </c>
      <c r="J101" s="407" t="s">
        <v>225</v>
      </c>
      <c r="K101" s="405"/>
      <c r="L101" s="405"/>
      <c r="M101" s="405"/>
      <c r="N101" s="405"/>
      <c r="O101" s="405"/>
    </row>
    <row r="102" spans="8:18" ht="17">
      <c r="H102" s="407" t="s">
        <v>250</v>
      </c>
      <c r="I102" s="407" t="s">
        <v>312</v>
      </c>
      <c r="J102" s="407" t="s">
        <v>225</v>
      </c>
      <c r="K102" s="405"/>
      <c r="L102" s="405"/>
      <c r="M102" s="405"/>
      <c r="N102" s="405"/>
      <c r="O102" s="405"/>
    </row>
    <row r="105" spans="8:18">
      <c r="H105" s="159" t="s">
        <v>313</v>
      </c>
    </row>
    <row r="106" spans="8:18">
      <c r="H106" s="179"/>
      <c r="I106" s="172"/>
      <c r="J106" s="166"/>
      <c r="K106" s="166"/>
      <c r="L106" s="180"/>
      <c r="M106" s="180"/>
      <c r="N106" s="167" t="s">
        <v>231</v>
      </c>
    </row>
    <row r="107" spans="8:18">
      <c r="H107" s="171"/>
      <c r="I107" s="173"/>
      <c r="J107" s="174"/>
      <c r="K107" s="174"/>
      <c r="L107" s="181"/>
      <c r="M107" s="181"/>
      <c r="N107" s="168" t="s">
        <v>194</v>
      </c>
      <c r="O107" s="395" t="s">
        <v>314</v>
      </c>
      <c r="P107" s="386"/>
      <c r="Q107" s="386"/>
      <c r="R107" s="386"/>
    </row>
    <row r="108" spans="8:18" ht="17">
      <c r="H108" s="171" t="s">
        <v>129</v>
      </c>
      <c r="I108" s="184" t="s">
        <v>37</v>
      </c>
      <c r="J108" s="185" t="s">
        <v>90</v>
      </c>
      <c r="K108" s="185" t="s">
        <v>45</v>
      </c>
      <c r="L108" s="145" t="s">
        <v>64</v>
      </c>
      <c r="M108" s="293" t="s">
        <v>315</v>
      </c>
      <c r="N108" s="266" t="s">
        <v>316</v>
      </c>
    </row>
    <row r="109" spans="8:18" ht="18" thickBot="1">
      <c r="H109" s="175"/>
      <c r="I109" s="186" t="s">
        <v>11</v>
      </c>
      <c r="J109" s="169" t="s">
        <v>11</v>
      </c>
      <c r="K109" s="169" t="s">
        <v>11</v>
      </c>
      <c r="L109" s="145" t="s">
        <v>17</v>
      </c>
      <c r="M109" s="145" t="s">
        <v>17</v>
      </c>
      <c r="N109" s="170" t="s">
        <v>11</v>
      </c>
    </row>
    <row r="110" spans="8:18">
      <c r="H110" s="171">
        <v>2020</v>
      </c>
      <c r="I110" s="172">
        <f t="shared" ref="I110:I116" si="6">IF($J$100="applicable", SUMIFS($K$130:$K$136, $H$130:$H$136, H110), 0)</f>
        <v>61.098668866666706</v>
      </c>
      <c r="J110" s="630">
        <f t="shared" ref="J110:J116" si="7">IF($J$101="applicable", SUMIFS($O$144:$O$199, $H$144:$H$199, H110), 0)</f>
        <v>2686.25</v>
      </c>
      <c r="K110" s="166">
        <f t="shared" ref="K110:K116" si="8">IF($J$102="applicable", SUMIFS($K$215:$K$221, $H$215:$H$221, H110), 0)</f>
        <v>235.1312451085</v>
      </c>
      <c r="L110" s="180">
        <f>SUMIFS('Data input'!$M$269:$M$324,'Data input'!$I$269:$I$324,H110)</f>
        <v>1796</v>
      </c>
      <c r="M110" s="180">
        <f>SUMIFS('Data input'!$K$371:$K$384,'Data input'!$I$371:$I$384,H110)</f>
        <v>1796</v>
      </c>
      <c r="N110" s="167">
        <f>(I110+J110+K110)*(L110/M110)</f>
        <v>2982.4799139751667</v>
      </c>
      <c r="O110" s="181"/>
    </row>
    <row r="111" spans="8:18">
      <c r="H111" s="171">
        <v>2021</v>
      </c>
      <c r="I111" s="173">
        <f t="shared" si="6"/>
        <v>52.256580066666714</v>
      </c>
      <c r="J111" s="237">
        <f t="shared" si="7"/>
        <v>2743.25</v>
      </c>
      <c r="K111" s="174">
        <f t="shared" si="8"/>
        <v>265.84653100540004</v>
      </c>
      <c r="L111" s="181">
        <f>SUMIFS('Data input'!$M$269:$M$324,'Data input'!$I$269:$I$324,H111)</f>
        <v>1804</v>
      </c>
      <c r="M111" s="181">
        <f>SUMIFS('Data input'!$K$371:$K$384,'Data input'!$I$371:$I$384,H111)</f>
        <v>1804</v>
      </c>
      <c r="N111" s="168">
        <f t="shared" ref="N111:N116" si="9">(I111+J111+K111)*(L111/M111)</f>
        <v>3061.3531110720669</v>
      </c>
      <c r="O111" s="181"/>
    </row>
    <row r="112" spans="8:18">
      <c r="H112" s="171">
        <v>2022</v>
      </c>
      <c r="I112" s="173">
        <f t="shared" si="6"/>
        <v>55.45634340000008</v>
      </c>
      <c r="J112" s="237">
        <f t="shared" si="7"/>
        <v>2800.6499999999996</v>
      </c>
      <c r="K112" s="174">
        <f t="shared" si="8"/>
        <v>298.48692828460003</v>
      </c>
      <c r="L112" s="181">
        <f>SUMIFS('Data input'!$M$269:$M$324,'Data input'!$I$269:$I$324,H112)</f>
        <v>1812</v>
      </c>
      <c r="M112" s="181">
        <f>SUMIFS('Data input'!$K$371:$K$384,'Data input'!$I$371:$I$384,H112)</f>
        <v>1812</v>
      </c>
      <c r="N112" s="168">
        <f t="shared" si="9"/>
        <v>3154.5932716846</v>
      </c>
      <c r="O112" s="181"/>
    </row>
    <row r="113" spans="3:15">
      <c r="H113" s="171">
        <v>2023</v>
      </c>
      <c r="I113" s="173">
        <f t="shared" si="6"/>
        <v>63.555388266666753</v>
      </c>
      <c r="J113" s="237">
        <f t="shared" si="7"/>
        <v>2858.45</v>
      </c>
      <c r="K113" s="174">
        <f t="shared" si="8"/>
        <v>255.31010928700002</v>
      </c>
      <c r="L113" s="181">
        <f>SUMIFS('Data input'!$M$269:$M$324,'Data input'!$I$269:$I$324,H113)</f>
        <v>1820</v>
      </c>
      <c r="M113" s="181">
        <f>SUMIFS('Data input'!$K$371:$K$384,'Data input'!$I$371:$I$384,H113)</f>
        <v>1820</v>
      </c>
      <c r="N113" s="168">
        <f t="shared" si="9"/>
        <v>3177.3154975536668</v>
      </c>
      <c r="O113" s="181"/>
    </row>
    <row r="114" spans="3:15">
      <c r="H114" s="171">
        <v>2024</v>
      </c>
      <c r="I114" s="173">
        <f t="shared" si="6"/>
        <v>61.170472066666754</v>
      </c>
      <c r="J114" s="237">
        <f t="shared" si="7"/>
        <v>2916.6499999999996</v>
      </c>
      <c r="K114" s="174">
        <f t="shared" si="8"/>
        <v>196.50627573640017</v>
      </c>
      <c r="L114" s="181">
        <f>SUMIFS('Data input'!$M$269:$M$324,'Data input'!$I$269:$I$324,H114)</f>
        <v>1828</v>
      </c>
      <c r="M114" s="181">
        <f>SUMIFS('Data input'!$K$371:$K$384,'Data input'!$I$371:$I$384,H114)</f>
        <v>1828</v>
      </c>
      <c r="N114" s="168">
        <f t="shared" si="9"/>
        <v>3174.3267478030666</v>
      </c>
      <c r="O114" s="181"/>
    </row>
    <row r="115" spans="3:15">
      <c r="H115" s="171">
        <v>2025</v>
      </c>
      <c r="I115" s="173">
        <f t="shared" si="6"/>
        <v>61.108100200000102</v>
      </c>
      <c r="J115" s="237">
        <f t="shared" si="7"/>
        <v>2975.25</v>
      </c>
      <c r="K115" s="174">
        <f t="shared" si="8"/>
        <v>255.30905172490034</v>
      </c>
      <c r="L115" s="181">
        <f>SUMIFS('Data input'!$M$269:$M$324,'Data input'!$I$269:$I$324,H115)</f>
        <v>1836</v>
      </c>
      <c r="M115" s="181">
        <f>SUMIFS('Data input'!$K$371:$K$384,'Data input'!$I$371:$I$384,H115)</f>
        <v>1836</v>
      </c>
      <c r="N115" s="168">
        <f t="shared" si="9"/>
        <v>3291.6671519249003</v>
      </c>
      <c r="O115" s="181"/>
    </row>
    <row r="116" spans="3:15" ht="16" thickBot="1">
      <c r="H116" s="175">
        <v>2026</v>
      </c>
      <c r="I116" s="176">
        <f t="shared" si="6"/>
        <v>68.482238333333441</v>
      </c>
      <c r="J116" s="240">
        <f t="shared" si="7"/>
        <v>3034.25</v>
      </c>
      <c r="K116" s="177">
        <f t="shared" si="8"/>
        <v>379.64553762100076</v>
      </c>
      <c r="L116" s="295">
        <f>SUMIFS('Data input'!$M$269:$M$324,'Data input'!$I$269:$I$324,H116)</f>
        <v>1844</v>
      </c>
      <c r="M116" s="295">
        <f>SUMIFS('Data input'!$K$371:$K$384,'Data input'!$I$371:$I$384,H116)</f>
        <v>1844</v>
      </c>
      <c r="N116" s="178">
        <f t="shared" si="9"/>
        <v>3482.3777759543341</v>
      </c>
      <c r="O116" s="181"/>
    </row>
    <row r="117" spans="3:15">
      <c r="I117" s="181"/>
      <c r="J117" s="181"/>
      <c r="K117" s="181"/>
      <c r="L117" s="181">
        <f>SUM(L110:L116)</f>
        <v>12740</v>
      </c>
      <c r="M117" s="181">
        <f>SUM(M110:M116)</f>
        <v>12740</v>
      </c>
      <c r="N117" s="284">
        <f>SUM(N110:N116)</f>
        <v>22324.1134699678</v>
      </c>
    </row>
    <row r="120" spans="3:15">
      <c r="H120" s="480" t="s">
        <v>253</v>
      </c>
      <c r="I120" s="402"/>
      <c r="J120" s="402"/>
      <c r="K120" s="402"/>
      <c r="L120" s="402"/>
      <c r="M120" s="402"/>
    </row>
    <row r="121" spans="3:15">
      <c r="H121" s="399" t="s">
        <v>254</v>
      </c>
      <c r="I121" s="399"/>
    </row>
    <row r="122" spans="3:15">
      <c r="H122" s="399" t="s">
        <v>255</v>
      </c>
      <c r="I122" s="399" t="s">
        <v>225</v>
      </c>
    </row>
    <row r="123" spans="3:15">
      <c r="H123" s="399" t="s">
        <v>256</v>
      </c>
      <c r="I123" s="399" t="s">
        <v>225</v>
      </c>
    </row>
    <row r="125" spans="3:15">
      <c r="C125" s="292" t="s">
        <v>257</v>
      </c>
      <c r="H125" s="159" t="s">
        <v>317</v>
      </c>
    </row>
    <row r="126" spans="3:15">
      <c r="H126" s="179"/>
      <c r="I126" s="354" t="s">
        <v>259</v>
      </c>
      <c r="J126" s="343" t="s">
        <v>260</v>
      </c>
      <c r="K126" s="167" t="s">
        <v>231</v>
      </c>
    </row>
    <row r="127" spans="3:15">
      <c r="H127" s="171"/>
      <c r="I127" s="355" t="s">
        <v>12</v>
      </c>
      <c r="J127" s="174" t="s">
        <v>12</v>
      </c>
      <c r="K127" s="168" t="s">
        <v>191</v>
      </c>
      <c r="L127" s="395" t="s">
        <v>318</v>
      </c>
      <c r="M127" s="386"/>
      <c r="N127" s="386"/>
    </row>
    <row r="128" spans="3:15" ht="17">
      <c r="H128" s="171" t="s">
        <v>129</v>
      </c>
      <c r="I128" s="371" t="s">
        <v>86</v>
      </c>
      <c r="J128" s="267" t="s">
        <v>88</v>
      </c>
      <c r="K128" s="168" t="s">
        <v>37</v>
      </c>
    </row>
    <row r="129" spans="3:21" ht="17">
      <c r="H129" s="175"/>
      <c r="I129" s="186" t="s">
        <v>11</v>
      </c>
      <c r="J129" s="169" t="s">
        <v>11</v>
      </c>
      <c r="K129" s="168" t="s">
        <v>11</v>
      </c>
    </row>
    <row r="130" spans="3:21">
      <c r="H130" s="171">
        <v>2020</v>
      </c>
      <c r="I130" s="354">
        <f>IF($I$122="applicable", SUMIFS('Tool 05 Calcs'!$G$11:$G$17, 'Tool 05 Calcs'!$E$11:$E$17, H130), 0)</f>
        <v>22.013102200000041</v>
      </c>
      <c r="J130" s="232">
        <f>IF($I$123="applicable", SUMIFS('Tool 03 Calcs'!$G$21:$G$27, 'Tool 03 Calcs'!$F$21:$F$27, H130), 0)</f>
        <v>39.085566666666665</v>
      </c>
      <c r="K130" s="231">
        <f>I130+J130</f>
        <v>61.098668866666706</v>
      </c>
      <c r="L130" s="181"/>
    </row>
    <row r="131" spans="3:21">
      <c r="H131" s="171">
        <v>2021</v>
      </c>
      <c r="I131" s="355">
        <f>IF($I$122="applicable", SUMIFS('Tool 05 Calcs'!$G$11:$G$17, 'Tool 05 Calcs'!$E$11:$E$17, H131), 0)</f>
        <v>23.531913400000047</v>
      </c>
      <c r="J131" s="174">
        <f>IF($I$123="applicable", SUMIFS('Tool 03 Calcs'!$G$21:$G$27, 'Tool 03 Calcs'!$F$21:$F$27, H131), 0)</f>
        <v>28.724666666666664</v>
      </c>
      <c r="K131" s="200">
        <f t="shared" ref="K131:K136" si="10">I131+J131</f>
        <v>52.256580066666714</v>
      </c>
      <c r="L131" s="181"/>
    </row>
    <row r="132" spans="3:21">
      <c r="H132" s="171">
        <v>2022</v>
      </c>
      <c r="I132" s="355">
        <f>IF($I$122="applicable", SUMIFS('Tool 05 Calcs'!$G$11:$G$17, 'Tool 05 Calcs'!$E$11:$E$17, H132), 0)</f>
        <v>24.870843400000087</v>
      </c>
      <c r="J132" s="174">
        <f>IF($I$123="applicable", SUMIFS('Tool 03 Calcs'!$G$21:$G$27, 'Tool 03 Calcs'!$F$21:$F$27, H132), 0)</f>
        <v>30.585499999999996</v>
      </c>
      <c r="K132" s="200">
        <f t="shared" si="10"/>
        <v>55.45634340000008</v>
      </c>
      <c r="L132" s="181"/>
    </row>
    <row r="133" spans="3:21">
      <c r="H133" s="171">
        <v>2023</v>
      </c>
      <c r="I133" s="355">
        <f>IF($I$122="applicable", SUMIFS('Tool 05 Calcs'!$G$11:$G$17, 'Tool 05 Calcs'!$E$11:$E$17, H133), 0)</f>
        <v>26.230921600000087</v>
      </c>
      <c r="J133" s="174">
        <f>IF($I$123="applicable", SUMIFS('Tool 03 Calcs'!$G$21:$G$27, 'Tool 03 Calcs'!$F$21:$F$27, H133), 0)</f>
        <v>37.324466666666666</v>
      </c>
      <c r="K133" s="200">
        <f t="shared" si="10"/>
        <v>63.555388266666753</v>
      </c>
      <c r="L133" s="181"/>
    </row>
    <row r="134" spans="3:21">
      <c r="H134" s="171">
        <v>2024</v>
      </c>
      <c r="I134" s="355">
        <f>IF($I$122="applicable", SUMIFS('Tool 05 Calcs'!$G$11:$G$17, 'Tool 05 Calcs'!$E$11:$E$17, H134), 0)</f>
        <v>27.716905400000094</v>
      </c>
      <c r="J134" s="174">
        <f>IF($I$123="applicable", SUMIFS('Tool 03 Calcs'!$G$21:$G$27, 'Tool 03 Calcs'!$F$21:$F$27, H134), 0)</f>
        <v>33.45356666666666</v>
      </c>
      <c r="K134" s="200">
        <f t="shared" si="10"/>
        <v>61.170472066666754</v>
      </c>
      <c r="L134" s="181"/>
    </row>
    <row r="135" spans="3:21">
      <c r="H135" s="171">
        <v>2025</v>
      </c>
      <c r="I135" s="355">
        <f>IF($I$122="applicable", SUMIFS('Tool 05 Calcs'!$G$11:$G$17, 'Tool 05 Calcs'!$E$11:$E$17, H135), 0)</f>
        <v>29.183900200000103</v>
      </c>
      <c r="J135" s="174">
        <f>IF($I$123="applicable", SUMIFS('Tool 03 Calcs'!$G$21:$G$27, 'Tool 03 Calcs'!$F$21:$F$27, H135), 0)</f>
        <v>31.924199999999999</v>
      </c>
      <c r="K135" s="200">
        <f t="shared" si="10"/>
        <v>61.108100200000102</v>
      </c>
      <c r="L135" s="181"/>
    </row>
    <row r="136" spans="3:21">
      <c r="H136" s="175">
        <v>2026</v>
      </c>
      <c r="I136" s="410">
        <f>IF($I$122="applicable", SUMIFS('Tool 05 Calcs'!$G$11:$G$17, 'Tool 05 Calcs'!$E$11:$E$17, H136), 0)</f>
        <v>30.673405000000102</v>
      </c>
      <c r="J136" s="233">
        <f>IF($I$123="applicable", SUMIFS('Tool 03 Calcs'!$G$21:$G$27, 'Tool 03 Calcs'!$F$21:$F$27, H136), 0)</f>
        <v>37.808833333333332</v>
      </c>
      <c r="K136" s="202">
        <f t="shared" si="10"/>
        <v>68.482238333333441</v>
      </c>
      <c r="L136" s="181"/>
    </row>
    <row r="137" spans="3:21">
      <c r="I137" s="247">
        <f>SUM(I130:I136)</f>
        <v>184.22099120000053</v>
      </c>
      <c r="J137" s="247">
        <f>SUM(J130:J136)</f>
        <v>238.90679999999998</v>
      </c>
      <c r="K137" s="247">
        <f>SUM(K130:K136)</f>
        <v>423.12779120000056</v>
      </c>
    </row>
    <row r="139" spans="3:21">
      <c r="C139" s="292" t="s">
        <v>264</v>
      </c>
      <c r="H139" s="181" t="s">
        <v>319</v>
      </c>
      <c r="I139" s="181"/>
      <c r="J139" s="181"/>
      <c r="K139" s="181"/>
      <c r="L139" s="181"/>
      <c r="M139" s="181"/>
      <c r="N139" s="181"/>
      <c r="O139" s="181"/>
    </row>
    <row r="140" spans="3:21">
      <c r="G140" s="181"/>
      <c r="H140" s="221"/>
      <c r="I140" s="195"/>
      <c r="J140" s="195"/>
      <c r="K140" s="227"/>
      <c r="L140" s="195"/>
      <c r="M140" s="195"/>
      <c r="N140" s="195"/>
      <c r="O140" s="231" t="s">
        <v>231</v>
      </c>
      <c r="P140" s="181"/>
    </row>
    <row r="141" spans="3:21">
      <c r="G141" s="181"/>
      <c r="H141" s="219"/>
      <c r="I141" s="181"/>
      <c r="J141" s="181"/>
      <c r="K141" s="228"/>
      <c r="L141" s="181"/>
      <c r="M141" s="181"/>
      <c r="N141" s="181"/>
      <c r="O141" s="200" t="s">
        <v>41</v>
      </c>
      <c r="P141" s="395" t="s">
        <v>320</v>
      </c>
      <c r="Q141" s="386"/>
      <c r="R141" s="386"/>
      <c r="S141" s="386"/>
      <c r="T141" s="386"/>
      <c r="U141" s="386"/>
    </row>
    <row r="142" spans="3:21" ht="32">
      <c r="G142" s="181"/>
      <c r="H142" s="207" t="s">
        <v>321</v>
      </c>
      <c r="I142" s="95" t="s">
        <v>242</v>
      </c>
      <c r="J142" s="277" t="s">
        <v>240</v>
      </c>
      <c r="K142" s="229" t="s">
        <v>241</v>
      </c>
      <c r="L142" s="294" t="s">
        <v>322</v>
      </c>
      <c r="M142" s="146" t="s">
        <v>47</v>
      </c>
      <c r="N142" s="145" t="s">
        <v>64</v>
      </c>
      <c r="O142" s="269" t="s">
        <v>90</v>
      </c>
      <c r="P142" s="181"/>
    </row>
    <row r="143" spans="3:21" ht="17">
      <c r="G143" s="181"/>
      <c r="H143" s="219"/>
      <c r="I143" s="181"/>
      <c r="J143" s="181"/>
      <c r="K143" s="228"/>
      <c r="L143" s="181"/>
      <c r="M143" s="181"/>
      <c r="N143" s="145" t="s">
        <v>17</v>
      </c>
      <c r="O143" s="270" t="s">
        <v>11</v>
      </c>
      <c r="P143" s="181"/>
    </row>
    <row r="144" spans="3:21">
      <c r="G144" s="181"/>
      <c r="H144" s="205">
        <v>2020</v>
      </c>
      <c r="I144" s="226" t="s">
        <v>243</v>
      </c>
      <c r="J144" s="120" t="s">
        <v>172</v>
      </c>
      <c r="K144" s="120" t="s">
        <v>173</v>
      </c>
      <c r="L144" s="221" cm="1">
        <f t="array" ref="L144">_xlfn.XLOOKUP(H144&amp;I144&amp;J144,'Data input'!$I$400:$I$427&amp;'Data input'!$J$400:$J$427&amp;'Data input'!$K$400:$K$427,'Data input'!$L$400:$L$427)</f>
        <v>4.9000000000000002E-2</v>
      </c>
      <c r="M144" s="195">
        <f>'Data input'!$I$395</f>
        <v>25</v>
      </c>
      <c r="N144" s="278">
        <f>SUMIFS('Data input'!$M$269:$M$324,'Data input'!$I$269:$I$324,H144,'Data input'!$J$269:$J$324,J144,'Data input'!$K$269:$K$324,K144,'Data input'!$L$269:$L$324,I144)</f>
        <v>200</v>
      </c>
      <c r="O144" s="279">
        <f>L144*M144*N144</f>
        <v>245.00000000000003</v>
      </c>
      <c r="P144" s="181"/>
    </row>
    <row r="145" spans="7:16">
      <c r="G145" s="181"/>
      <c r="H145" s="207">
        <v>2021</v>
      </c>
      <c r="I145" s="157" t="s">
        <v>243</v>
      </c>
      <c r="J145" s="12" t="s">
        <v>172</v>
      </c>
      <c r="K145" s="12" t="s">
        <v>173</v>
      </c>
      <c r="L145" s="219" cm="1">
        <f t="array" ref="L145">_xlfn.XLOOKUP(H145&amp;I145&amp;J145,'Data input'!$I$400:$I$427&amp;'Data input'!$J$400:$J$427&amp;'Data input'!$K$400:$K$427,'Data input'!$L$400:$L$427)</f>
        <v>0.05</v>
      </c>
      <c r="M145" s="181">
        <f>'Data input'!$I$395</f>
        <v>25</v>
      </c>
      <c r="N145" s="145">
        <f>SUMIFS('Data input'!$M$269:$M$324,'Data input'!$I$269:$I$324,H145,'Data input'!$J$269:$J$324,J145,'Data input'!$K$269:$K$324,K145,'Data input'!$L$269:$L$324,I145)</f>
        <v>201</v>
      </c>
      <c r="O145" s="270">
        <f t="shared" ref="O145:O199" si="11">L145*M145*N145</f>
        <v>251.25</v>
      </c>
      <c r="P145" s="181"/>
    </row>
    <row r="146" spans="7:16">
      <c r="G146" s="181"/>
      <c r="H146" s="207">
        <v>2022</v>
      </c>
      <c r="I146" s="157" t="s">
        <v>243</v>
      </c>
      <c r="J146" s="12" t="s">
        <v>172</v>
      </c>
      <c r="K146" s="12" t="s">
        <v>173</v>
      </c>
      <c r="L146" s="219" cm="1">
        <f t="array" ref="L146">_xlfn.XLOOKUP(H146&amp;I146&amp;J146,'Data input'!$I$400:$I$427&amp;'Data input'!$J$400:$J$427&amp;'Data input'!$K$400:$K$427,'Data input'!$L$400:$L$427)</f>
        <v>5.0999999999999997E-2</v>
      </c>
      <c r="M146" s="181">
        <f>'Data input'!$I$395</f>
        <v>25</v>
      </c>
      <c r="N146" s="145">
        <f>SUMIFS('Data input'!$M$269:$M$324,'Data input'!$I$269:$I$324,H146,'Data input'!$J$269:$J$324,J146,'Data input'!$K$269:$K$324,K146,'Data input'!$L$269:$L$324,I146)</f>
        <v>202</v>
      </c>
      <c r="O146" s="270">
        <f t="shared" si="11"/>
        <v>257.54999999999995</v>
      </c>
      <c r="P146" s="181"/>
    </row>
    <row r="147" spans="7:16">
      <c r="G147" s="181"/>
      <c r="H147" s="207">
        <v>2023</v>
      </c>
      <c r="I147" s="157" t="s">
        <v>243</v>
      </c>
      <c r="J147" s="12" t="s">
        <v>172</v>
      </c>
      <c r="K147" s="12" t="s">
        <v>173</v>
      </c>
      <c r="L147" s="219" cm="1">
        <f t="array" ref="L147">_xlfn.XLOOKUP(H147&amp;I147&amp;J147,'Data input'!$I$400:$I$427&amp;'Data input'!$J$400:$J$427&amp;'Data input'!$K$400:$K$427,'Data input'!$L$400:$L$427)</f>
        <v>5.1999999999999998E-2</v>
      </c>
      <c r="M147" s="181">
        <f>'Data input'!$I$395</f>
        <v>25</v>
      </c>
      <c r="N147" s="145">
        <f>SUMIFS('Data input'!$M$269:$M$324,'Data input'!$I$269:$I$324,H147,'Data input'!$J$269:$J$324,J147,'Data input'!$K$269:$K$324,K147,'Data input'!$L$269:$L$324,I147)</f>
        <v>203</v>
      </c>
      <c r="O147" s="270">
        <f t="shared" si="11"/>
        <v>263.90000000000003</v>
      </c>
      <c r="P147" s="181"/>
    </row>
    <row r="148" spans="7:16">
      <c r="G148" s="181"/>
      <c r="H148" s="207">
        <v>2024</v>
      </c>
      <c r="I148" s="157" t="s">
        <v>243</v>
      </c>
      <c r="J148" s="12" t="s">
        <v>172</v>
      </c>
      <c r="K148" s="12" t="s">
        <v>173</v>
      </c>
      <c r="L148" s="219" cm="1">
        <f t="array" ref="L148">_xlfn.XLOOKUP(H148&amp;I148&amp;J148,'Data input'!$I$400:$I$427&amp;'Data input'!$J$400:$J$427&amp;'Data input'!$K$400:$K$427,'Data input'!$L$400:$L$427)</f>
        <v>5.2999999999999999E-2</v>
      </c>
      <c r="M148" s="181">
        <f>'Data input'!$I$395</f>
        <v>25</v>
      </c>
      <c r="N148" s="145">
        <f>SUMIFS('Data input'!$M$269:$M$324,'Data input'!$I$269:$I$324,H148,'Data input'!$J$269:$J$324,J148,'Data input'!$K$269:$K$324,K148,'Data input'!$L$269:$L$324,I148)</f>
        <v>204</v>
      </c>
      <c r="O148" s="270">
        <f t="shared" si="11"/>
        <v>270.3</v>
      </c>
      <c r="P148" s="181"/>
    </row>
    <row r="149" spans="7:16">
      <c r="G149" s="181"/>
      <c r="H149" s="207">
        <v>2025</v>
      </c>
      <c r="I149" s="157" t="s">
        <v>243</v>
      </c>
      <c r="J149" s="12" t="s">
        <v>172</v>
      </c>
      <c r="K149" s="12" t="s">
        <v>173</v>
      </c>
      <c r="L149" s="219" cm="1">
        <f t="array" ref="L149">_xlfn.XLOOKUP(H149&amp;I149&amp;J149,'Data input'!$I$400:$I$427&amp;'Data input'!$J$400:$J$427&amp;'Data input'!$K$400:$K$427,'Data input'!$L$400:$L$427)</f>
        <v>5.3999999999999999E-2</v>
      </c>
      <c r="M149" s="181">
        <f>'Data input'!$I$395</f>
        <v>25</v>
      </c>
      <c r="N149" s="145">
        <f>SUMIFS('Data input'!$M$269:$M$324,'Data input'!$I$269:$I$324,H149,'Data input'!$J$269:$J$324,J149,'Data input'!$K$269:$K$324,K149,'Data input'!$L$269:$L$324,I149)</f>
        <v>205</v>
      </c>
      <c r="O149" s="270">
        <f t="shared" si="11"/>
        <v>276.75</v>
      </c>
      <c r="P149" s="181"/>
    </row>
    <row r="150" spans="7:16">
      <c r="G150" s="181"/>
      <c r="H150" s="207">
        <v>2026</v>
      </c>
      <c r="I150" s="157" t="s">
        <v>243</v>
      </c>
      <c r="J150" s="12" t="s">
        <v>172</v>
      </c>
      <c r="K150" s="12" t="s">
        <v>173</v>
      </c>
      <c r="L150" s="219" cm="1">
        <f t="array" ref="L150">_xlfn.XLOOKUP(H150&amp;I150&amp;J150,'Data input'!$I$400:$I$427&amp;'Data input'!$J$400:$J$427&amp;'Data input'!$K$400:$K$427,'Data input'!$L$400:$L$427)</f>
        <v>5.5E-2</v>
      </c>
      <c r="M150" s="181">
        <f>'Data input'!$I$395</f>
        <v>25</v>
      </c>
      <c r="N150" s="145">
        <f>SUMIFS('Data input'!$M$269:$M$324,'Data input'!$I$269:$I$324,H150,'Data input'!$J$269:$J$324,J150,'Data input'!$K$269:$K$324,K150,'Data input'!$L$269:$L$324,I150)</f>
        <v>206</v>
      </c>
      <c r="O150" s="270">
        <f t="shared" si="11"/>
        <v>283.25</v>
      </c>
      <c r="P150" s="181"/>
    </row>
    <row r="151" spans="7:16">
      <c r="G151" s="181"/>
      <c r="H151" s="207">
        <v>2020</v>
      </c>
      <c r="I151" s="157" t="s">
        <v>243</v>
      </c>
      <c r="J151" s="259" t="s">
        <v>175</v>
      </c>
      <c r="K151" s="12" t="s">
        <v>173</v>
      </c>
      <c r="L151" s="219" cm="1">
        <f t="array" ref="L151">_xlfn.XLOOKUP(H151&amp;I151&amp;J151,'Data input'!$I$400:$I$427&amp;'Data input'!$J$400:$J$427&amp;'Data input'!$K$400:$K$427,'Data input'!$L$400:$L$427)</f>
        <v>6.3E-2</v>
      </c>
      <c r="M151" s="181">
        <f>'Data input'!$I$395</f>
        <v>25</v>
      </c>
      <c r="N151" s="145">
        <f>SUMIFS('Data input'!$M$269:$M$324,'Data input'!$I$269:$I$324,H151,'Data input'!$J$269:$J$324,J151,'Data input'!$K$269:$K$324,K151,'Data input'!$L$269:$L$324,I151)</f>
        <v>207</v>
      </c>
      <c r="O151" s="270">
        <f t="shared" si="11"/>
        <v>326.02499999999998</v>
      </c>
      <c r="P151" s="181"/>
    </row>
    <row r="152" spans="7:16">
      <c r="G152" s="181"/>
      <c r="H152" s="207">
        <v>2021</v>
      </c>
      <c r="I152" s="157" t="s">
        <v>243</v>
      </c>
      <c r="J152" s="259" t="s">
        <v>175</v>
      </c>
      <c r="K152" s="12" t="s">
        <v>173</v>
      </c>
      <c r="L152" s="219" cm="1">
        <f t="array" ref="L152">_xlfn.XLOOKUP(H152&amp;I152&amp;J152,'Data input'!$I$400:$I$427&amp;'Data input'!$J$400:$J$427&amp;'Data input'!$K$400:$K$427,'Data input'!$L$400:$L$427)</f>
        <v>6.4000000000000001E-2</v>
      </c>
      <c r="M152" s="181">
        <f>'Data input'!$I$395</f>
        <v>25</v>
      </c>
      <c r="N152" s="145">
        <f>SUMIFS('Data input'!$M$269:$M$324,'Data input'!$I$269:$I$324,H152,'Data input'!$J$269:$J$324,J152,'Data input'!$K$269:$K$324,K152,'Data input'!$L$269:$L$324,I152)</f>
        <v>208</v>
      </c>
      <c r="O152" s="270">
        <f t="shared" si="11"/>
        <v>332.8</v>
      </c>
      <c r="P152" s="181"/>
    </row>
    <row r="153" spans="7:16">
      <c r="G153" s="181"/>
      <c r="H153" s="207">
        <v>2022</v>
      </c>
      <c r="I153" s="157" t="s">
        <v>243</v>
      </c>
      <c r="J153" s="259" t="s">
        <v>175</v>
      </c>
      <c r="K153" s="12" t="s">
        <v>173</v>
      </c>
      <c r="L153" s="219" cm="1">
        <f t="array" ref="L153">_xlfn.XLOOKUP(H153&amp;I153&amp;J153,'Data input'!$I$400:$I$427&amp;'Data input'!$J$400:$J$427&amp;'Data input'!$K$400:$K$427,'Data input'!$L$400:$L$427)</f>
        <v>6.5000000000000002E-2</v>
      </c>
      <c r="M153" s="181">
        <f>'Data input'!$I$395</f>
        <v>25</v>
      </c>
      <c r="N153" s="145">
        <f>SUMIFS('Data input'!$M$269:$M$324,'Data input'!$I$269:$I$324,H153,'Data input'!$J$269:$J$324,J153,'Data input'!$K$269:$K$324,K153,'Data input'!$L$269:$L$324,I153)</f>
        <v>209</v>
      </c>
      <c r="O153" s="270">
        <f t="shared" si="11"/>
        <v>339.625</v>
      </c>
      <c r="P153" s="181"/>
    </row>
    <row r="154" spans="7:16">
      <c r="G154" s="181"/>
      <c r="H154" s="207">
        <v>2023</v>
      </c>
      <c r="I154" s="157" t="s">
        <v>243</v>
      </c>
      <c r="J154" s="259" t="s">
        <v>175</v>
      </c>
      <c r="K154" s="12" t="s">
        <v>173</v>
      </c>
      <c r="L154" s="219" cm="1">
        <f t="array" ref="L154">_xlfn.XLOOKUP(H154&amp;I154&amp;J154,'Data input'!$I$400:$I$427&amp;'Data input'!$J$400:$J$427&amp;'Data input'!$K$400:$K$427,'Data input'!$L$400:$L$427)</f>
        <v>6.6000000000000003E-2</v>
      </c>
      <c r="M154" s="181">
        <f>'Data input'!$I$395</f>
        <v>25</v>
      </c>
      <c r="N154" s="145">
        <f>SUMIFS('Data input'!$M$269:$M$324,'Data input'!$I$269:$I$324,H154,'Data input'!$J$269:$J$324,J154,'Data input'!$K$269:$K$324,K154,'Data input'!$L$269:$L$324,I154)</f>
        <v>210</v>
      </c>
      <c r="O154" s="270">
        <f t="shared" si="11"/>
        <v>346.5</v>
      </c>
      <c r="P154" s="181"/>
    </row>
    <row r="155" spans="7:16">
      <c r="G155" s="181"/>
      <c r="H155" s="207">
        <v>2024</v>
      </c>
      <c r="I155" s="157" t="s">
        <v>243</v>
      </c>
      <c r="J155" s="259" t="s">
        <v>175</v>
      </c>
      <c r="K155" s="12" t="s">
        <v>173</v>
      </c>
      <c r="L155" s="219" cm="1">
        <f t="array" ref="L155">_xlfn.XLOOKUP(H155&amp;I155&amp;J155,'Data input'!$I$400:$I$427&amp;'Data input'!$J$400:$J$427&amp;'Data input'!$K$400:$K$427,'Data input'!$L$400:$L$427)</f>
        <v>6.7000000000000004E-2</v>
      </c>
      <c r="M155" s="181">
        <f>'Data input'!$I$395</f>
        <v>25</v>
      </c>
      <c r="N155" s="145">
        <f>SUMIFS('Data input'!$M$269:$M$324,'Data input'!$I$269:$I$324,H155,'Data input'!$J$269:$J$324,J155,'Data input'!$K$269:$K$324,K155,'Data input'!$L$269:$L$324,I155)</f>
        <v>211</v>
      </c>
      <c r="O155" s="270">
        <f t="shared" si="11"/>
        <v>353.42500000000001</v>
      </c>
      <c r="P155" s="181"/>
    </row>
    <row r="156" spans="7:16">
      <c r="G156" s="181"/>
      <c r="H156" s="207">
        <v>2025</v>
      </c>
      <c r="I156" s="157" t="s">
        <v>243</v>
      </c>
      <c r="J156" s="259" t="s">
        <v>175</v>
      </c>
      <c r="K156" s="12" t="s">
        <v>173</v>
      </c>
      <c r="L156" s="219" cm="1">
        <f t="array" ref="L156">_xlfn.XLOOKUP(H156&amp;I156&amp;J156,'Data input'!$I$400:$I$427&amp;'Data input'!$J$400:$J$427&amp;'Data input'!$K$400:$K$427,'Data input'!$L$400:$L$427)</f>
        <v>6.8000000000000005E-2</v>
      </c>
      <c r="M156" s="181">
        <f>'Data input'!$I$395</f>
        <v>25</v>
      </c>
      <c r="N156" s="145">
        <f>SUMIFS('Data input'!$M$269:$M$324,'Data input'!$I$269:$I$324,H156,'Data input'!$J$269:$J$324,J156,'Data input'!$K$269:$K$324,K156,'Data input'!$L$269:$L$324,I156)</f>
        <v>212</v>
      </c>
      <c r="O156" s="270">
        <f t="shared" si="11"/>
        <v>360.40000000000003</v>
      </c>
      <c r="P156" s="181"/>
    </row>
    <row r="157" spans="7:16">
      <c r="G157" s="181"/>
      <c r="H157" s="207">
        <v>2026</v>
      </c>
      <c r="I157" s="157" t="s">
        <v>243</v>
      </c>
      <c r="J157" s="259" t="s">
        <v>175</v>
      </c>
      <c r="K157" s="12" t="s">
        <v>173</v>
      </c>
      <c r="L157" s="219" cm="1">
        <f t="array" ref="L157">_xlfn.XLOOKUP(H157&amp;I157&amp;J157,'Data input'!$I$400:$I$427&amp;'Data input'!$J$400:$J$427&amp;'Data input'!$K$400:$K$427,'Data input'!$L$400:$L$427)</f>
        <v>6.9000000000000006E-2</v>
      </c>
      <c r="M157" s="181">
        <f>'Data input'!$I$395</f>
        <v>25</v>
      </c>
      <c r="N157" s="145">
        <f>SUMIFS('Data input'!$M$269:$M$324,'Data input'!$I$269:$I$324,H157,'Data input'!$J$269:$J$324,J157,'Data input'!$K$269:$K$324,K157,'Data input'!$L$269:$L$324,I157)</f>
        <v>213</v>
      </c>
      <c r="O157" s="270">
        <f t="shared" si="11"/>
        <v>367.42500000000001</v>
      </c>
      <c r="P157" s="181"/>
    </row>
    <row r="158" spans="7:16">
      <c r="G158" s="181"/>
      <c r="H158" s="207">
        <v>2020</v>
      </c>
      <c r="I158" s="157" t="s">
        <v>243</v>
      </c>
      <c r="J158" s="12" t="s">
        <v>172</v>
      </c>
      <c r="K158" s="12" t="s">
        <v>212</v>
      </c>
      <c r="L158" s="219" cm="1">
        <f t="array" ref="L158">_xlfn.XLOOKUP(H158&amp;I158&amp;J158,'Data input'!$I$400:$I$427&amp;'Data input'!$J$400:$J$427&amp;'Data input'!$K$400:$K$427,'Data input'!$L$400:$L$427)</f>
        <v>4.9000000000000002E-2</v>
      </c>
      <c r="M158" s="181">
        <f>'Data input'!$I$395</f>
        <v>25</v>
      </c>
      <c r="N158" s="145">
        <f>SUMIFS('Data input'!$M$269:$M$324,'Data input'!$I$269:$I$324,H158,'Data input'!$J$269:$J$324,J158,'Data input'!$K$269:$K$324,K158,'Data input'!$L$269:$L$324,I158)</f>
        <v>214</v>
      </c>
      <c r="O158" s="270">
        <f t="shared" si="11"/>
        <v>262.15000000000003</v>
      </c>
      <c r="P158" s="181"/>
    </row>
    <row r="159" spans="7:16">
      <c r="G159" s="181"/>
      <c r="H159" s="207">
        <v>2021</v>
      </c>
      <c r="I159" s="157" t="s">
        <v>243</v>
      </c>
      <c r="J159" s="12" t="s">
        <v>172</v>
      </c>
      <c r="K159" s="12" t="s">
        <v>212</v>
      </c>
      <c r="L159" s="219" cm="1">
        <f t="array" ref="L159">_xlfn.XLOOKUP(H159&amp;I159&amp;J159,'Data input'!$I$400:$I$427&amp;'Data input'!$J$400:$J$427&amp;'Data input'!$K$400:$K$427,'Data input'!$L$400:$L$427)</f>
        <v>0.05</v>
      </c>
      <c r="M159" s="181">
        <f>'Data input'!$I$395</f>
        <v>25</v>
      </c>
      <c r="N159" s="145">
        <f>SUMIFS('Data input'!$M$269:$M$324,'Data input'!$I$269:$I$324,H159,'Data input'!$J$269:$J$324,J159,'Data input'!$K$269:$K$324,K159,'Data input'!$L$269:$L$324,I159)</f>
        <v>215</v>
      </c>
      <c r="O159" s="270">
        <f t="shared" si="11"/>
        <v>268.75</v>
      </c>
      <c r="P159" s="181"/>
    </row>
    <row r="160" spans="7:16">
      <c r="G160" s="181"/>
      <c r="H160" s="207">
        <v>2022</v>
      </c>
      <c r="I160" s="157" t="s">
        <v>243</v>
      </c>
      <c r="J160" s="12" t="s">
        <v>172</v>
      </c>
      <c r="K160" s="12" t="s">
        <v>212</v>
      </c>
      <c r="L160" s="219" cm="1">
        <f t="array" ref="L160">_xlfn.XLOOKUP(H160&amp;I160&amp;J160,'Data input'!$I$400:$I$427&amp;'Data input'!$J$400:$J$427&amp;'Data input'!$K$400:$K$427,'Data input'!$L$400:$L$427)</f>
        <v>5.0999999999999997E-2</v>
      </c>
      <c r="M160" s="181">
        <f>'Data input'!$I$395</f>
        <v>25</v>
      </c>
      <c r="N160" s="145">
        <f>SUMIFS('Data input'!$M$269:$M$324,'Data input'!$I$269:$I$324,H160,'Data input'!$J$269:$J$324,J160,'Data input'!$K$269:$K$324,K160,'Data input'!$L$269:$L$324,I160)</f>
        <v>216</v>
      </c>
      <c r="O160" s="270">
        <f t="shared" si="11"/>
        <v>275.39999999999998</v>
      </c>
      <c r="P160" s="181"/>
    </row>
    <row r="161" spans="7:16">
      <c r="G161" s="181"/>
      <c r="H161" s="207">
        <v>2023</v>
      </c>
      <c r="I161" s="157" t="s">
        <v>243</v>
      </c>
      <c r="J161" s="12" t="s">
        <v>172</v>
      </c>
      <c r="K161" s="12" t="s">
        <v>212</v>
      </c>
      <c r="L161" s="219" cm="1">
        <f t="array" ref="L161">_xlfn.XLOOKUP(H161&amp;I161&amp;J161,'Data input'!$I$400:$I$427&amp;'Data input'!$J$400:$J$427&amp;'Data input'!$K$400:$K$427,'Data input'!$L$400:$L$427)</f>
        <v>5.1999999999999998E-2</v>
      </c>
      <c r="M161" s="181">
        <f>'Data input'!$I$395</f>
        <v>25</v>
      </c>
      <c r="N161" s="145">
        <f>SUMIFS('Data input'!$M$269:$M$324,'Data input'!$I$269:$I$324,H161,'Data input'!$J$269:$J$324,J161,'Data input'!$K$269:$K$324,K161,'Data input'!$L$269:$L$324,I161)</f>
        <v>217</v>
      </c>
      <c r="O161" s="270">
        <f t="shared" si="11"/>
        <v>282.10000000000002</v>
      </c>
      <c r="P161" s="181"/>
    </row>
    <row r="162" spans="7:16">
      <c r="G162" s="181"/>
      <c r="H162" s="207">
        <v>2024</v>
      </c>
      <c r="I162" s="157" t="s">
        <v>243</v>
      </c>
      <c r="J162" s="12" t="s">
        <v>172</v>
      </c>
      <c r="K162" s="12" t="s">
        <v>212</v>
      </c>
      <c r="L162" s="219" cm="1">
        <f t="array" ref="L162">_xlfn.XLOOKUP(H162&amp;I162&amp;J162,'Data input'!$I$400:$I$427&amp;'Data input'!$J$400:$J$427&amp;'Data input'!$K$400:$K$427,'Data input'!$L$400:$L$427)</f>
        <v>5.2999999999999999E-2</v>
      </c>
      <c r="M162" s="181">
        <f>'Data input'!$I$395</f>
        <v>25</v>
      </c>
      <c r="N162" s="145">
        <f>SUMIFS('Data input'!$M$269:$M$324,'Data input'!$I$269:$I$324,H162,'Data input'!$J$269:$J$324,J162,'Data input'!$K$269:$K$324,K162,'Data input'!$L$269:$L$324,I162)</f>
        <v>218</v>
      </c>
      <c r="O162" s="270">
        <f t="shared" si="11"/>
        <v>288.84999999999997</v>
      </c>
      <c r="P162" s="181"/>
    </row>
    <row r="163" spans="7:16">
      <c r="G163" s="181"/>
      <c r="H163" s="207">
        <v>2025</v>
      </c>
      <c r="I163" s="157" t="s">
        <v>243</v>
      </c>
      <c r="J163" s="12" t="s">
        <v>172</v>
      </c>
      <c r="K163" s="12" t="s">
        <v>212</v>
      </c>
      <c r="L163" s="219" cm="1">
        <f t="array" ref="L163">_xlfn.XLOOKUP(H163&amp;I163&amp;J163,'Data input'!$I$400:$I$427&amp;'Data input'!$J$400:$J$427&amp;'Data input'!$K$400:$K$427,'Data input'!$L$400:$L$427)</f>
        <v>5.3999999999999999E-2</v>
      </c>
      <c r="M163" s="181">
        <f>'Data input'!$I$395</f>
        <v>25</v>
      </c>
      <c r="N163" s="145">
        <f>SUMIFS('Data input'!$M$269:$M$324,'Data input'!$I$269:$I$324,H163,'Data input'!$J$269:$J$324,J163,'Data input'!$K$269:$K$324,K163,'Data input'!$L$269:$L$324,I163)</f>
        <v>219</v>
      </c>
      <c r="O163" s="270">
        <f t="shared" si="11"/>
        <v>295.65000000000003</v>
      </c>
      <c r="P163" s="181"/>
    </row>
    <row r="164" spans="7:16">
      <c r="G164" s="181"/>
      <c r="H164" s="207">
        <v>2026</v>
      </c>
      <c r="I164" s="157" t="s">
        <v>243</v>
      </c>
      <c r="J164" s="12" t="s">
        <v>172</v>
      </c>
      <c r="K164" s="12" t="s">
        <v>212</v>
      </c>
      <c r="L164" s="219" cm="1">
        <f t="array" ref="L164">_xlfn.XLOOKUP(H164&amp;I164&amp;J164,'Data input'!$I$400:$I$427&amp;'Data input'!$J$400:$J$427&amp;'Data input'!$K$400:$K$427,'Data input'!$L$400:$L$427)</f>
        <v>5.5E-2</v>
      </c>
      <c r="M164" s="181">
        <f>'Data input'!$I$395</f>
        <v>25</v>
      </c>
      <c r="N164" s="145">
        <f>SUMIFS('Data input'!$M$269:$M$324,'Data input'!$I$269:$I$324,H164,'Data input'!$J$269:$J$324,J164,'Data input'!$K$269:$K$324,K164,'Data input'!$L$269:$L$324,I164)</f>
        <v>220</v>
      </c>
      <c r="O164" s="270">
        <f t="shared" si="11"/>
        <v>302.5</v>
      </c>
      <c r="P164" s="181"/>
    </row>
    <row r="165" spans="7:16">
      <c r="G165" s="181"/>
      <c r="H165" s="207">
        <v>2020</v>
      </c>
      <c r="I165" s="157" t="s">
        <v>243</v>
      </c>
      <c r="J165" s="259" t="s">
        <v>175</v>
      </c>
      <c r="K165" s="12" t="s">
        <v>212</v>
      </c>
      <c r="L165" s="219" cm="1">
        <f t="array" ref="L165">_xlfn.XLOOKUP(H165&amp;I165&amp;J165,'Data input'!$I$400:$I$427&amp;'Data input'!$J$400:$J$427&amp;'Data input'!$K$400:$K$427,'Data input'!$L$400:$L$427)</f>
        <v>6.3E-2</v>
      </c>
      <c r="M165" s="181">
        <f>'Data input'!$I$395</f>
        <v>25</v>
      </c>
      <c r="N165" s="145">
        <f>SUMIFS('Data input'!$M$269:$M$324,'Data input'!$I$269:$I$324,H165,'Data input'!$J$269:$J$324,J165,'Data input'!$K$269:$K$324,K165,'Data input'!$L$269:$L$324,I165)</f>
        <v>221</v>
      </c>
      <c r="O165" s="270">
        <f t="shared" si="11"/>
        <v>348.07499999999999</v>
      </c>
      <c r="P165" s="181"/>
    </row>
    <row r="166" spans="7:16">
      <c r="G166" s="181"/>
      <c r="H166" s="207">
        <v>2021</v>
      </c>
      <c r="I166" s="157" t="s">
        <v>243</v>
      </c>
      <c r="J166" s="259" t="s">
        <v>175</v>
      </c>
      <c r="K166" s="12" t="s">
        <v>212</v>
      </c>
      <c r="L166" s="219" cm="1">
        <f t="array" ref="L166">_xlfn.XLOOKUP(H166&amp;I166&amp;J166,'Data input'!$I$400:$I$427&amp;'Data input'!$J$400:$J$427&amp;'Data input'!$K$400:$K$427,'Data input'!$L$400:$L$427)</f>
        <v>6.4000000000000001E-2</v>
      </c>
      <c r="M166" s="181">
        <f>'Data input'!$I$395</f>
        <v>25</v>
      </c>
      <c r="N166" s="145">
        <f>SUMIFS('Data input'!$M$269:$M$324,'Data input'!$I$269:$I$324,H166,'Data input'!$J$269:$J$324,J166,'Data input'!$K$269:$K$324,K166,'Data input'!$L$269:$L$324,I166)</f>
        <v>222</v>
      </c>
      <c r="O166" s="270">
        <f t="shared" si="11"/>
        <v>355.20000000000005</v>
      </c>
      <c r="P166" s="181"/>
    </row>
    <row r="167" spans="7:16">
      <c r="G167" s="181"/>
      <c r="H167" s="207">
        <v>2022</v>
      </c>
      <c r="I167" s="157" t="s">
        <v>243</v>
      </c>
      <c r="J167" s="259" t="s">
        <v>175</v>
      </c>
      <c r="K167" s="12" t="s">
        <v>212</v>
      </c>
      <c r="L167" s="219" cm="1">
        <f t="array" ref="L167">_xlfn.XLOOKUP(H167&amp;I167&amp;J167,'Data input'!$I$400:$I$427&amp;'Data input'!$J$400:$J$427&amp;'Data input'!$K$400:$K$427,'Data input'!$L$400:$L$427)</f>
        <v>6.5000000000000002E-2</v>
      </c>
      <c r="M167" s="181">
        <f>'Data input'!$I$395</f>
        <v>25</v>
      </c>
      <c r="N167" s="145">
        <f>SUMIFS('Data input'!$M$269:$M$324,'Data input'!$I$269:$I$324,H167,'Data input'!$J$269:$J$324,J167,'Data input'!$K$269:$K$324,K167,'Data input'!$L$269:$L$324,I167)</f>
        <v>223</v>
      </c>
      <c r="O167" s="270">
        <f t="shared" si="11"/>
        <v>362.375</v>
      </c>
      <c r="P167" s="181"/>
    </row>
    <row r="168" spans="7:16">
      <c r="G168" s="181"/>
      <c r="H168" s="207">
        <v>2023</v>
      </c>
      <c r="I168" s="157" t="s">
        <v>243</v>
      </c>
      <c r="J168" s="259" t="s">
        <v>175</v>
      </c>
      <c r="K168" s="12" t="s">
        <v>212</v>
      </c>
      <c r="L168" s="219" cm="1">
        <f t="array" ref="L168">_xlfn.XLOOKUP(H168&amp;I168&amp;J168,'Data input'!$I$400:$I$427&amp;'Data input'!$J$400:$J$427&amp;'Data input'!$K$400:$K$427,'Data input'!$L$400:$L$427)</f>
        <v>6.6000000000000003E-2</v>
      </c>
      <c r="M168" s="181">
        <f>'Data input'!$I$395</f>
        <v>25</v>
      </c>
      <c r="N168" s="145">
        <f>SUMIFS('Data input'!$M$269:$M$324,'Data input'!$I$269:$I$324,H168,'Data input'!$J$269:$J$324,J168,'Data input'!$K$269:$K$324,K168,'Data input'!$L$269:$L$324,I168)</f>
        <v>224</v>
      </c>
      <c r="O168" s="270">
        <f t="shared" si="11"/>
        <v>369.6</v>
      </c>
      <c r="P168" s="181"/>
    </row>
    <row r="169" spans="7:16">
      <c r="G169" s="181"/>
      <c r="H169" s="207">
        <v>2024</v>
      </c>
      <c r="I169" s="157" t="s">
        <v>243</v>
      </c>
      <c r="J169" s="259" t="s">
        <v>175</v>
      </c>
      <c r="K169" s="12" t="s">
        <v>212</v>
      </c>
      <c r="L169" s="219" cm="1">
        <f t="array" ref="L169">_xlfn.XLOOKUP(H169&amp;I169&amp;J169,'Data input'!$I$400:$I$427&amp;'Data input'!$J$400:$J$427&amp;'Data input'!$K$400:$K$427,'Data input'!$L$400:$L$427)</f>
        <v>6.7000000000000004E-2</v>
      </c>
      <c r="M169" s="181">
        <f>'Data input'!$I$395</f>
        <v>25</v>
      </c>
      <c r="N169" s="145">
        <f>SUMIFS('Data input'!$M$269:$M$324,'Data input'!$I$269:$I$324,H169,'Data input'!$J$269:$J$324,J169,'Data input'!$K$269:$K$324,K169,'Data input'!$L$269:$L$324,I169)</f>
        <v>225</v>
      </c>
      <c r="O169" s="270">
        <f t="shared" si="11"/>
        <v>376.875</v>
      </c>
      <c r="P169" s="181"/>
    </row>
    <row r="170" spans="7:16">
      <c r="G170" s="181"/>
      <c r="H170" s="207">
        <v>2025</v>
      </c>
      <c r="I170" s="157" t="s">
        <v>243</v>
      </c>
      <c r="J170" s="259" t="s">
        <v>175</v>
      </c>
      <c r="K170" s="12" t="s">
        <v>212</v>
      </c>
      <c r="L170" s="219" cm="1">
        <f t="array" ref="L170">_xlfn.XLOOKUP(H170&amp;I170&amp;J170,'Data input'!$I$400:$I$427&amp;'Data input'!$J$400:$J$427&amp;'Data input'!$K$400:$K$427,'Data input'!$L$400:$L$427)</f>
        <v>6.8000000000000005E-2</v>
      </c>
      <c r="M170" s="181">
        <f>'Data input'!$I$395</f>
        <v>25</v>
      </c>
      <c r="N170" s="145">
        <f>SUMIFS('Data input'!$M$269:$M$324,'Data input'!$I$269:$I$324,H170,'Data input'!$J$269:$J$324,J170,'Data input'!$K$269:$K$324,K170,'Data input'!$L$269:$L$324,I170)</f>
        <v>226</v>
      </c>
      <c r="O170" s="270">
        <f t="shared" si="11"/>
        <v>384.20000000000005</v>
      </c>
      <c r="P170" s="181"/>
    </row>
    <row r="171" spans="7:16">
      <c r="G171" s="181"/>
      <c r="H171" s="207">
        <v>2026</v>
      </c>
      <c r="I171" s="157" t="s">
        <v>243</v>
      </c>
      <c r="J171" s="259" t="s">
        <v>175</v>
      </c>
      <c r="K171" s="12" t="s">
        <v>212</v>
      </c>
      <c r="L171" s="219" cm="1">
        <f t="array" ref="L171">_xlfn.XLOOKUP(H171&amp;I171&amp;J171,'Data input'!$I$400:$I$427&amp;'Data input'!$J$400:$J$427&amp;'Data input'!$K$400:$K$427,'Data input'!$L$400:$L$427)</f>
        <v>6.9000000000000006E-2</v>
      </c>
      <c r="M171" s="181">
        <f>'Data input'!$I$395</f>
        <v>25</v>
      </c>
      <c r="N171" s="145">
        <f>SUMIFS('Data input'!$M$269:$M$324,'Data input'!$I$269:$I$324,H171,'Data input'!$J$269:$J$324,J171,'Data input'!$K$269:$K$324,K171,'Data input'!$L$269:$L$324,I171)</f>
        <v>227</v>
      </c>
      <c r="O171" s="270">
        <f t="shared" si="11"/>
        <v>391.57500000000005</v>
      </c>
      <c r="P171" s="181"/>
    </row>
    <row r="172" spans="7:16">
      <c r="G172" s="181"/>
      <c r="H172" s="207">
        <v>2020</v>
      </c>
      <c r="I172" s="157" t="s">
        <v>244</v>
      </c>
      <c r="J172" s="12" t="s">
        <v>172</v>
      </c>
      <c r="K172" s="12" t="s">
        <v>173</v>
      </c>
      <c r="L172" s="219" cm="1">
        <f t="array" ref="L172">_xlfn.XLOOKUP(H172&amp;I172&amp;J172,'Data input'!$I$400:$I$427&amp;'Data input'!$J$400:$J$427&amp;'Data input'!$K$400:$K$427,'Data input'!$L$400:$L$427)</f>
        <v>5.6000000000000001E-2</v>
      </c>
      <c r="M172" s="181">
        <f>'Data input'!$I$395</f>
        <v>25</v>
      </c>
      <c r="N172" s="145">
        <f>SUMIFS('Data input'!$M$269:$M$324,'Data input'!$I$269:$I$324,H172,'Data input'!$J$269:$J$324,J172,'Data input'!$K$269:$K$324,K172,'Data input'!$L$269:$L$324,I172)</f>
        <v>228</v>
      </c>
      <c r="O172" s="270">
        <f t="shared" si="11"/>
        <v>319.20000000000005</v>
      </c>
      <c r="P172" s="181"/>
    </row>
    <row r="173" spans="7:16">
      <c r="G173" s="181"/>
      <c r="H173" s="207">
        <v>2021</v>
      </c>
      <c r="I173" s="157" t="s">
        <v>244</v>
      </c>
      <c r="J173" s="12" t="s">
        <v>172</v>
      </c>
      <c r="K173" s="12" t="s">
        <v>173</v>
      </c>
      <c r="L173" s="219" cm="1">
        <f t="array" ref="L173">_xlfn.XLOOKUP(H173&amp;I173&amp;J173,'Data input'!$I$400:$I$427&amp;'Data input'!$J$400:$J$427&amp;'Data input'!$K$400:$K$427,'Data input'!$L$400:$L$427)</f>
        <v>5.7000000000000002E-2</v>
      </c>
      <c r="M173" s="181">
        <f>'Data input'!$I$395</f>
        <v>25</v>
      </c>
      <c r="N173" s="145">
        <f>SUMIFS('Data input'!$M$269:$M$324,'Data input'!$I$269:$I$324,H173,'Data input'!$J$269:$J$324,J173,'Data input'!$K$269:$K$324,K173,'Data input'!$L$269:$L$324,I173)</f>
        <v>229</v>
      </c>
      <c r="O173" s="270">
        <f t="shared" si="11"/>
        <v>326.32499999999999</v>
      </c>
      <c r="P173" s="181"/>
    </row>
    <row r="174" spans="7:16">
      <c r="G174" s="181"/>
      <c r="H174" s="207">
        <v>2022</v>
      </c>
      <c r="I174" s="157" t="s">
        <v>244</v>
      </c>
      <c r="J174" s="12" t="s">
        <v>172</v>
      </c>
      <c r="K174" s="12" t="s">
        <v>173</v>
      </c>
      <c r="L174" s="219" cm="1">
        <f t="array" ref="L174">_xlfn.XLOOKUP(H174&amp;I174&amp;J174,'Data input'!$I$400:$I$427&amp;'Data input'!$J$400:$J$427&amp;'Data input'!$K$400:$K$427,'Data input'!$L$400:$L$427)</f>
        <v>5.8000000000000003E-2</v>
      </c>
      <c r="M174" s="181">
        <f>'Data input'!$I$395</f>
        <v>25</v>
      </c>
      <c r="N174" s="145">
        <f>SUMIFS('Data input'!$M$269:$M$324,'Data input'!$I$269:$I$324,H174,'Data input'!$J$269:$J$324,J174,'Data input'!$K$269:$K$324,K174,'Data input'!$L$269:$L$324,I174)</f>
        <v>230</v>
      </c>
      <c r="O174" s="270">
        <f t="shared" si="11"/>
        <v>333.50000000000006</v>
      </c>
      <c r="P174" s="181"/>
    </row>
    <row r="175" spans="7:16">
      <c r="G175" s="181"/>
      <c r="H175" s="207">
        <v>2023</v>
      </c>
      <c r="I175" s="157" t="s">
        <v>244</v>
      </c>
      <c r="J175" s="12" t="s">
        <v>172</v>
      </c>
      <c r="K175" s="12" t="s">
        <v>173</v>
      </c>
      <c r="L175" s="219" cm="1">
        <f t="array" ref="L175">_xlfn.XLOOKUP(H175&amp;I175&amp;J175,'Data input'!$I$400:$I$427&amp;'Data input'!$J$400:$J$427&amp;'Data input'!$K$400:$K$427,'Data input'!$L$400:$L$427)</f>
        <v>5.8999999999999997E-2</v>
      </c>
      <c r="M175" s="181">
        <f>'Data input'!$I$395</f>
        <v>25</v>
      </c>
      <c r="N175" s="145">
        <f>SUMIFS('Data input'!$M$269:$M$324,'Data input'!$I$269:$I$324,H175,'Data input'!$J$269:$J$324,J175,'Data input'!$K$269:$K$324,K175,'Data input'!$L$269:$L$324,I175)</f>
        <v>231</v>
      </c>
      <c r="O175" s="270">
        <f t="shared" si="11"/>
        <v>340.72499999999997</v>
      </c>
      <c r="P175" s="181"/>
    </row>
    <row r="176" spans="7:16">
      <c r="G176" s="181"/>
      <c r="H176" s="207">
        <v>2024</v>
      </c>
      <c r="I176" s="157" t="s">
        <v>244</v>
      </c>
      <c r="J176" s="12" t="s">
        <v>172</v>
      </c>
      <c r="K176" s="12" t="s">
        <v>173</v>
      </c>
      <c r="L176" s="219" cm="1">
        <f t="array" ref="L176">_xlfn.XLOOKUP(H176&amp;I176&amp;J176,'Data input'!$I$400:$I$427&amp;'Data input'!$J$400:$J$427&amp;'Data input'!$K$400:$K$427,'Data input'!$L$400:$L$427)</f>
        <v>0.06</v>
      </c>
      <c r="M176" s="181">
        <f>'Data input'!$I$395</f>
        <v>25</v>
      </c>
      <c r="N176" s="145">
        <f>SUMIFS('Data input'!$M$269:$M$324,'Data input'!$I$269:$I$324,H176,'Data input'!$J$269:$J$324,J176,'Data input'!$K$269:$K$324,K176,'Data input'!$L$269:$L$324,I176)</f>
        <v>232</v>
      </c>
      <c r="O176" s="270">
        <f t="shared" si="11"/>
        <v>348</v>
      </c>
      <c r="P176" s="181"/>
    </row>
    <row r="177" spans="7:16">
      <c r="G177" s="181"/>
      <c r="H177" s="207">
        <v>2025</v>
      </c>
      <c r="I177" s="157" t="s">
        <v>244</v>
      </c>
      <c r="J177" s="12" t="s">
        <v>172</v>
      </c>
      <c r="K177" s="12" t="s">
        <v>173</v>
      </c>
      <c r="L177" s="219" cm="1">
        <f t="array" ref="L177">_xlfn.XLOOKUP(H177&amp;I177&amp;J177,'Data input'!$I$400:$I$427&amp;'Data input'!$J$400:$J$427&amp;'Data input'!$K$400:$K$427,'Data input'!$L$400:$L$427)</f>
        <v>6.0999999999999999E-2</v>
      </c>
      <c r="M177" s="181">
        <f>'Data input'!$I$395</f>
        <v>25</v>
      </c>
      <c r="N177" s="145">
        <f>SUMIFS('Data input'!$M$269:$M$324,'Data input'!$I$269:$I$324,H177,'Data input'!$J$269:$J$324,J177,'Data input'!$K$269:$K$324,K177,'Data input'!$L$269:$L$324,I177)</f>
        <v>233</v>
      </c>
      <c r="O177" s="270">
        <f t="shared" si="11"/>
        <v>355.32499999999999</v>
      </c>
      <c r="P177" s="181"/>
    </row>
    <row r="178" spans="7:16">
      <c r="G178" s="181"/>
      <c r="H178" s="207">
        <v>2026</v>
      </c>
      <c r="I178" s="157" t="s">
        <v>244</v>
      </c>
      <c r="J178" s="12" t="s">
        <v>172</v>
      </c>
      <c r="K178" s="12" t="s">
        <v>173</v>
      </c>
      <c r="L178" s="219" cm="1">
        <f t="array" ref="L178">_xlfn.XLOOKUP(H178&amp;I178&amp;J178,'Data input'!$I$400:$I$427&amp;'Data input'!$J$400:$J$427&amp;'Data input'!$K$400:$K$427,'Data input'!$L$400:$L$427)</f>
        <v>6.2E-2</v>
      </c>
      <c r="M178" s="181">
        <f>'Data input'!$I$395</f>
        <v>25</v>
      </c>
      <c r="N178" s="145">
        <f>SUMIFS('Data input'!$M$269:$M$324,'Data input'!$I$269:$I$324,H178,'Data input'!$J$269:$J$324,J178,'Data input'!$K$269:$K$324,K178,'Data input'!$L$269:$L$324,I178)</f>
        <v>234</v>
      </c>
      <c r="O178" s="270">
        <f t="shared" si="11"/>
        <v>362.7</v>
      </c>
      <c r="P178" s="181"/>
    </row>
    <row r="179" spans="7:16">
      <c r="G179" s="181"/>
      <c r="H179" s="207">
        <v>2020</v>
      </c>
      <c r="I179" s="157" t="s">
        <v>244</v>
      </c>
      <c r="J179" s="259" t="s">
        <v>175</v>
      </c>
      <c r="K179" s="12" t="s">
        <v>173</v>
      </c>
      <c r="L179" s="219" cm="1">
        <f t="array" ref="L179">_xlfn.XLOOKUP(H179&amp;I179&amp;J179,'Data input'!$I$400:$I$427&amp;'Data input'!$J$400:$J$427&amp;'Data input'!$K$400:$K$427,'Data input'!$L$400:$L$427)</f>
        <v>7.0000000000000007E-2</v>
      </c>
      <c r="M179" s="181">
        <f>'Data input'!$I$395</f>
        <v>25</v>
      </c>
      <c r="N179" s="145">
        <f>SUMIFS('Data input'!$M$269:$M$324,'Data input'!$I$269:$I$324,H179,'Data input'!$J$269:$J$324,J179,'Data input'!$K$269:$K$324,K179,'Data input'!$L$269:$L$324,I179)</f>
        <v>235</v>
      </c>
      <c r="O179" s="270">
        <f t="shared" si="11"/>
        <v>411.25000000000006</v>
      </c>
      <c r="P179" s="181"/>
    </row>
    <row r="180" spans="7:16">
      <c r="G180" s="181"/>
      <c r="H180" s="207">
        <v>2021</v>
      </c>
      <c r="I180" s="157" t="s">
        <v>244</v>
      </c>
      <c r="J180" s="259" t="s">
        <v>175</v>
      </c>
      <c r="K180" s="12" t="s">
        <v>173</v>
      </c>
      <c r="L180" s="219" cm="1">
        <f t="array" ref="L180">_xlfn.XLOOKUP(H180&amp;I180&amp;J180,'Data input'!$I$400:$I$427&amp;'Data input'!$J$400:$J$427&amp;'Data input'!$K$400:$K$427,'Data input'!$L$400:$L$427)</f>
        <v>7.0999999999999994E-2</v>
      </c>
      <c r="M180" s="181">
        <f>'Data input'!$I$395</f>
        <v>25</v>
      </c>
      <c r="N180" s="145">
        <f>SUMIFS('Data input'!$M$269:$M$324,'Data input'!$I$269:$I$324,H180,'Data input'!$J$269:$J$324,J180,'Data input'!$K$269:$K$324,K180,'Data input'!$L$269:$L$324,I180)</f>
        <v>236</v>
      </c>
      <c r="O180" s="270">
        <f t="shared" si="11"/>
        <v>418.9</v>
      </c>
      <c r="P180" s="181"/>
    </row>
    <row r="181" spans="7:16">
      <c r="G181" s="181"/>
      <c r="H181" s="207">
        <v>2022</v>
      </c>
      <c r="I181" s="157" t="s">
        <v>244</v>
      </c>
      <c r="J181" s="259" t="s">
        <v>175</v>
      </c>
      <c r="K181" s="12" t="s">
        <v>173</v>
      </c>
      <c r="L181" s="219" cm="1">
        <f t="array" ref="L181">_xlfn.XLOOKUP(H181&amp;I181&amp;J181,'Data input'!$I$400:$I$427&amp;'Data input'!$J$400:$J$427&amp;'Data input'!$K$400:$K$427,'Data input'!$L$400:$L$427)</f>
        <v>7.1999999999999995E-2</v>
      </c>
      <c r="M181" s="181">
        <f>'Data input'!$I$395</f>
        <v>25</v>
      </c>
      <c r="N181" s="145">
        <f>SUMIFS('Data input'!$M$269:$M$324,'Data input'!$I$269:$I$324,H181,'Data input'!$J$269:$J$324,J181,'Data input'!$K$269:$K$324,K181,'Data input'!$L$269:$L$324,I181)</f>
        <v>237</v>
      </c>
      <c r="O181" s="270">
        <f t="shared" si="11"/>
        <v>426.59999999999997</v>
      </c>
      <c r="P181" s="181"/>
    </row>
    <row r="182" spans="7:16">
      <c r="G182" s="181"/>
      <c r="H182" s="207">
        <v>2023</v>
      </c>
      <c r="I182" s="157" t="s">
        <v>244</v>
      </c>
      <c r="J182" s="259" t="s">
        <v>175</v>
      </c>
      <c r="K182" s="12" t="s">
        <v>173</v>
      </c>
      <c r="L182" s="219" cm="1">
        <f t="array" ref="L182">_xlfn.XLOOKUP(H182&amp;I182&amp;J182,'Data input'!$I$400:$I$427&amp;'Data input'!$J$400:$J$427&amp;'Data input'!$K$400:$K$427,'Data input'!$L$400:$L$427)</f>
        <v>7.2999999999999995E-2</v>
      </c>
      <c r="M182" s="181">
        <f>'Data input'!$I$395</f>
        <v>25</v>
      </c>
      <c r="N182" s="145">
        <f>SUMIFS('Data input'!$M$269:$M$324,'Data input'!$I$269:$I$324,H182,'Data input'!$J$269:$J$324,J182,'Data input'!$K$269:$K$324,K182,'Data input'!$L$269:$L$324,I182)</f>
        <v>238</v>
      </c>
      <c r="O182" s="270">
        <f t="shared" si="11"/>
        <v>434.34999999999997</v>
      </c>
      <c r="P182" s="181"/>
    </row>
    <row r="183" spans="7:16">
      <c r="G183" s="181"/>
      <c r="H183" s="207">
        <v>2024</v>
      </c>
      <c r="I183" s="157" t="s">
        <v>244</v>
      </c>
      <c r="J183" s="259" t="s">
        <v>175</v>
      </c>
      <c r="K183" s="12" t="s">
        <v>173</v>
      </c>
      <c r="L183" s="219" cm="1">
        <f t="array" ref="L183">_xlfn.XLOOKUP(H183&amp;I183&amp;J183,'Data input'!$I$400:$I$427&amp;'Data input'!$J$400:$J$427&amp;'Data input'!$K$400:$K$427,'Data input'!$L$400:$L$427)</f>
        <v>7.3999999999999996E-2</v>
      </c>
      <c r="M183" s="181">
        <f>'Data input'!$I$395</f>
        <v>25</v>
      </c>
      <c r="N183" s="145">
        <f>SUMIFS('Data input'!$M$269:$M$324,'Data input'!$I$269:$I$324,H183,'Data input'!$J$269:$J$324,J183,'Data input'!$K$269:$K$324,K183,'Data input'!$L$269:$L$324,I183)</f>
        <v>239</v>
      </c>
      <c r="O183" s="270">
        <f t="shared" si="11"/>
        <v>442.15</v>
      </c>
      <c r="P183" s="181"/>
    </row>
    <row r="184" spans="7:16">
      <c r="G184" s="181"/>
      <c r="H184" s="207">
        <v>2025</v>
      </c>
      <c r="I184" s="157" t="s">
        <v>244</v>
      </c>
      <c r="J184" s="259" t="s">
        <v>175</v>
      </c>
      <c r="K184" s="12" t="s">
        <v>173</v>
      </c>
      <c r="L184" s="219" cm="1">
        <f t="array" ref="L184">_xlfn.XLOOKUP(H184&amp;I184&amp;J184,'Data input'!$I$400:$I$427&amp;'Data input'!$J$400:$J$427&amp;'Data input'!$K$400:$K$427,'Data input'!$L$400:$L$427)</f>
        <v>7.4999999999999997E-2</v>
      </c>
      <c r="M184" s="181">
        <f>'Data input'!$I$395</f>
        <v>25</v>
      </c>
      <c r="N184" s="145">
        <f>SUMIFS('Data input'!$M$269:$M$324,'Data input'!$I$269:$I$324,H184,'Data input'!$J$269:$J$324,J184,'Data input'!$K$269:$K$324,K184,'Data input'!$L$269:$L$324,I184)</f>
        <v>240</v>
      </c>
      <c r="O184" s="270">
        <f t="shared" si="11"/>
        <v>450</v>
      </c>
      <c r="P184" s="181"/>
    </row>
    <row r="185" spans="7:16">
      <c r="G185" s="181"/>
      <c r="H185" s="207">
        <v>2026</v>
      </c>
      <c r="I185" s="157" t="s">
        <v>244</v>
      </c>
      <c r="J185" s="259" t="s">
        <v>175</v>
      </c>
      <c r="K185" s="12" t="s">
        <v>173</v>
      </c>
      <c r="L185" s="219" cm="1">
        <f t="array" ref="L185">_xlfn.XLOOKUP(H185&amp;I185&amp;J185,'Data input'!$I$400:$I$427&amp;'Data input'!$J$400:$J$427&amp;'Data input'!$K$400:$K$427,'Data input'!$L$400:$L$427)</f>
        <v>7.5999999999999998E-2</v>
      </c>
      <c r="M185" s="181">
        <f>'Data input'!$I$395</f>
        <v>25</v>
      </c>
      <c r="N185" s="145">
        <f>SUMIFS('Data input'!$M$269:$M$324,'Data input'!$I$269:$I$324,H185,'Data input'!$J$269:$J$324,J185,'Data input'!$K$269:$K$324,K185,'Data input'!$L$269:$L$324,I185)</f>
        <v>241</v>
      </c>
      <c r="O185" s="270">
        <f t="shared" si="11"/>
        <v>457.9</v>
      </c>
      <c r="P185" s="181"/>
    </row>
    <row r="186" spans="7:16">
      <c r="G186" s="181"/>
      <c r="H186" s="207">
        <v>2020</v>
      </c>
      <c r="I186" s="157" t="s">
        <v>244</v>
      </c>
      <c r="J186" s="12" t="s">
        <v>172</v>
      </c>
      <c r="K186" s="12" t="s">
        <v>212</v>
      </c>
      <c r="L186" s="219" cm="1">
        <f t="array" ref="L186">_xlfn.XLOOKUP(H186&amp;I186&amp;J186,'Data input'!$I$400:$I$427&amp;'Data input'!$J$400:$J$427&amp;'Data input'!$K$400:$K$427,'Data input'!$L$400:$L$427)</f>
        <v>5.6000000000000001E-2</v>
      </c>
      <c r="M186" s="181">
        <f>'Data input'!$I$395</f>
        <v>25</v>
      </c>
      <c r="N186" s="145">
        <f>SUMIFS('Data input'!$M$269:$M$324,'Data input'!$I$269:$I$324,H186,'Data input'!$J$269:$J$324,J186,'Data input'!$K$269:$K$324,K186,'Data input'!$L$269:$L$324,I186)</f>
        <v>242</v>
      </c>
      <c r="O186" s="270">
        <f t="shared" si="11"/>
        <v>338.8</v>
      </c>
      <c r="P186" s="181"/>
    </row>
    <row r="187" spans="7:16">
      <c r="G187" s="181"/>
      <c r="H187" s="207">
        <v>2021</v>
      </c>
      <c r="I187" s="157" t="s">
        <v>244</v>
      </c>
      <c r="J187" s="12" t="s">
        <v>172</v>
      </c>
      <c r="K187" s="12" t="s">
        <v>212</v>
      </c>
      <c r="L187" s="219" cm="1">
        <f t="array" ref="L187">_xlfn.XLOOKUP(H187&amp;I187&amp;J187,'Data input'!$I$400:$I$427&amp;'Data input'!$J$400:$J$427&amp;'Data input'!$K$400:$K$427,'Data input'!$L$400:$L$427)</f>
        <v>5.7000000000000002E-2</v>
      </c>
      <c r="M187" s="181">
        <f>'Data input'!$I$395</f>
        <v>25</v>
      </c>
      <c r="N187" s="145">
        <f>SUMIFS('Data input'!$M$269:$M$324,'Data input'!$I$269:$I$324,H187,'Data input'!$J$269:$J$324,J187,'Data input'!$K$269:$K$324,K187,'Data input'!$L$269:$L$324,I187)</f>
        <v>243</v>
      </c>
      <c r="O187" s="270">
        <f t="shared" si="11"/>
        <v>346.27500000000003</v>
      </c>
      <c r="P187" s="181"/>
    </row>
    <row r="188" spans="7:16">
      <c r="G188" s="181"/>
      <c r="H188" s="207">
        <v>2022</v>
      </c>
      <c r="I188" s="157" t="s">
        <v>244</v>
      </c>
      <c r="J188" s="12" t="s">
        <v>172</v>
      </c>
      <c r="K188" s="12" t="s">
        <v>212</v>
      </c>
      <c r="L188" s="219" cm="1">
        <f t="array" ref="L188">_xlfn.XLOOKUP(H188&amp;I188&amp;J188,'Data input'!$I$400:$I$427&amp;'Data input'!$J$400:$J$427&amp;'Data input'!$K$400:$K$427,'Data input'!$L$400:$L$427)</f>
        <v>5.8000000000000003E-2</v>
      </c>
      <c r="M188" s="181">
        <f>'Data input'!$I$395</f>
        <v>25</v>
      </c>
      <c r="N188" s="145">
        <f>SUMIFS('Data input'!$M$269:$M$324,'Data input'!$I$269:$I$324,H188,'Data input'!$J$269:$J$324,J188,'Data input'!$K$269:$K$324,K188,'Data input'!$L$269:$L$324,I188)</f>
        <v>244</v>
      </c>
      <c r="O188" s="270">
        <f t="shared" si="11"/>
        <v>353.80000000000007</v>
      </c>
      <c r="P188" s="181"/>
    </row>
    <row r="189" spans="7:16">
      <c r="G189" s="181"/>
      <c r="H189" s="207">
        <v>2023</v>
      </c>
      <c r="I189" s="157" t="s">
        <v>244</v>
      </c>
      <c r="J189" s="12" t="s">
        <v>172</v>
      </c>
      <c r="K189" s="12" t="s">
        <v>212</v>
      </c>
      <c r="L189" s="219" cm="1">
        <f t="array" ref="L189">_xlfn.XLOOKUP(H189&amp;I189&amp;J189,'Data input'!$I$400:$I$427&amp;'Data input'!$J$400:$J$427&amp;'Data input'!$K$400:$K$427,'Data input'!$L$400:$L$427)</f>
        <v>5.8999999999999997E-2</v>
      </c>
      <c r="M189" s="181">
        <f>'Data input'!$I$395</f>
        <v>25</v>
      </c>
      <c r="N189" s="145">
        <f>SUMIFS('Data input'!$M$269:$M$324,'Data input'!$I$269:$I$324,H189,'Data input'!$J$269:$J$324,J189,'Data input'!$K$269:$K$324,K189,'Data input'!$L$269:$L$324,I189)</f>
        <v>245</v>
      </c>
      <c r="O189" s="270">
        <f t="shared" si="11"/>
        <v>361.37499999999994</v>
      </c>
      <c r="P189" s="181"/>
    </row>
    <row r="190" spans="7:16">
      <c r="G190" s="181"/>
      <c r="H190" s="207">
        <v>2024</v>
      </c>
      <c r="I190" s="157" t="s">
        <v>244</v>
      </c>
      <c r="J190" s="12" t="s">
        <v>172</v>
      </c>
      <c r="K190" s="12" t="s">
        <v>212</v>
      </c>
      <c r="L190" s="219" cm="1">
        <f t="array" ref="L190">_xlfn.XLOOKUP(H190&amp;I190&amp;J190,'Data input'!$I$400:$I$427&amp;'Data input'!$J$400:$J$427&amp;'Data input'!$K$400:$K$427,'Data input'!$L$400:$L$427)</f>
        <v>0.06</v>
      </c>
      <c r="M190" s="181">
        <f>'Data input'!$I$395</f>
        <v>25</v>
      </c>
      <c r="N190" s="145">
        <f>SUMIFS('Data input'!$M$269:$M$324,'Data input'!$I$269:$I$324,H190,'Data input'!$J$269:$J$324,J190,'Data input'!$K$269:$K$324,K190,'Data input'!$L$269:$L$324,I190)</f>
        <v>246</v>
      </c>
      <c r="O190" s="270">
        <f t="shared" si="11"/>
        <v>369</v>
      </c>
      <c r="P190" s="181"/>
    </row>
    <row r="191" spans="7:16">
      <c r="G191" s="181"/>
      <c r="H191" s="207">
        <v>2025</v>
      </c>
      <c r="I191" s="157" t="s">
        <v>244</v>
      </c>
      <c r="J191" s="12" t="s">
        <v>172</v>
      </c>
      <c r="K191" s="12" t="s">
        <v>212</v>
      </c>
      <c r="L191" s="219" cm="1">
        <f t="array" ref="L191">_xlfn.XLOOKUP(H191&amp;I191&amp;J191,'Data input'!$I$400:$I$427&amp;'Data input'!$J$400:$J$427&amp;'Data input'!$K$400:$K$427,'Data input'!$L$400:$L$427)</f>
        <v>6.0999999999999999E-2</v>
      </c>
      <c r="M191" s="181">
        <f>'Data input'!$I$395</f>
        <v>25</v>
      </c>
      <c r="N191" s="145">
        <f>SUMIFS('Data input'!$M$269:$M$324,'Data input'!$I$269:$I$324,H191,'Data input'!$J$269:$J$324,J191,'Data input'!$K$269:$K$324,K191,'Data input'!$L$269:$L$324,I191)</f>
        <v>247</v>
      </c>
      <c r="O191" s="270">
        <f t="shared" si="11"/>
        <v>376.67499999999995</v>
      </c>
      <c r="P191" s="181"/>
    </row>
    <row r="192" spans="7:16">
      <c r="G192" s="181"/>
      <c r="H192" s="207">
        <v>2026</v>
      </c>
      <c r="I192" s="157" t="s">
        <v>244</v>
      </c>
      <c r="J192" s="12" t="s">
        <v>172</v>
      </c>
      <c r="K192" s="12" t="s">
        <v>212</v>
      </c>
      <c r="L192" s="219" cm="1">
        <f t="array" ref="L192">_xlfn.XLOOKUP(H192&amp;I192&amp;J192,'Data input'!$I$400:$I$427&amp;'Data input'!$J$400:$J$427&amp;'Data input'!$K$400:$K$427,'Data input'!$L$400:$L$427)</f>
        <v>6.2E-2</v>
      </c>
      <c r="M192" s="181">
        <f>'Data input'!$I$395</f>
        <v>25</v>
      </c>
      <c r="N192" s="145">
        <f>SUMIFS('Data input'!$M$269:$M$324,'Data input'!$I$269:$I$324,H192,'Data input'!$J$269:$J$324,J192,'Data input'!$K$269:$K$324,K192,'Data input'!$L$269:$L$324,I192)</f>
        <v>248</v>
      </c>
      <c r="O192" s="270">
        <f t="shared" si="11"/>
        <v>384.40000000000003</v>
      </c>
      <c r="P192" s="181"/>
    </row>
    <row r="193" spans="7:16">
      <c r="G193" s="181"/>
      <c r="H193" s="207">
        <v>2020</v>
      </c>
      <c r="I193" s="157" t="s">
        <v>244</v>
      </c>
      <c r="J193" s="259" t="s">
        <v>175</v>
      </c>
      <c r="K193" s="12" t="s">
        <v>212</v>
      </c>
      <c r="L193" s="219" cm="1">
        <f t="array" ref="L193">_xlfn.XLOOKUP(H193&amp;I193&amp;J193,'Data input'!$I$400:$I$427&amp;'Data input'!$J$400:$J$427&amp;'Data input'!$K$400:$K$427,'Data input'!$L$400:$L$427)</f>
        <v>7.0000000000000007E-2</v>
      </c>
      <c r="M193" s="181">
        <f>'Data input'!$I$395</f>
        <v>25</v>
      </c>
      <c r="N193" s="145">
        <f>SUMIFS('Data input'!$M$269:$M$324,'Data input'!$I$269:$I$324,H193,'Data input'!$J$269:$J$324,J193,'Data input'!$K$269:$K$324,K193,'Data input'!$L$269:$L$324,I193)</f>
        <v>249</v>
      </c>
      <c r="O193" s="270">
        <f t="shared" si="11"/>
        <v>435.75000000000006</v>
      </c>
      <c r="P193" s="181"/>
    </row>
    <row r="194" spans="7:16">
      <c r="G194" s="181"/>
      <c r="H194" s="207">
        <v>2021</v>
      </c>
      <c r="I194" s="157" t="s">
        <v>244</v>
      </c>
      <c r="J194" s="259" t="s">
        <v>175</v>
      </c>
      <c r="K194" s="12" t="s">
        <v>212</v>
      </c>
      <c r="L194" s="219" cm="1">
        <f t="array" ref="L194">_xlfn.XLOOKUP(H194&amp;I194&amp;J194,'Data input'!$I$400:$I$427&amp;'Data input'!$J$400:$J$427&amp;'Data input'!$K$400:$K$427,'Data input'!$L$400:$L$427)</f>
        <v>7.0999999999999994E-2</v>
      </c>
      <c r="M194" s="181">
        <f>'Data input'!$I$395</f>
        <v>25</v>
      </c>
      <c r="N194" s="145">
        <f>SUMIFS('Data input'!$M$269:$M$324,'Data input'!$I$269:$I$324,H194,'Data input'!$J$269:$J$324,J194,'Data input'!$K$269:$K$324,K194,'Data input'!$L$269:$L$324,I194)</f>
        <v>250</v>
      </c>
      <c r="O194" s="270">
        <f t="shared" si="11"/>
        <v>443.75</v>
      </c>
      <c r="P194" s="181"/>
    </row>
    <row r="195" spans="7:16">
      <c r="G195" s="181"/>
      <c r="H195" s="207">
        <v>2022</v>
      </c>
      <c r="I195" s="157" t="s">
        <v>244</v>
      </c>
      <c r="J195" s="259" t="s">
        <v>175</v>
      </c>
      <c r="K195" s="12" t="s">
        <v>212</v>
      </c>
      <c r="L195" s="219" cm="1">
        <f t="array" ref="L195">_xlfn.XLOOKUP(H195&amp;I195&amp;J195,'Data input'!$I$400:$I$427&amp;'Data input'!$J$400:$J$427&amp;'Data input'!$K$400:$K$427,'Data input'!$L$400:$L$427)</f>
        <v>7.1999999999999995E-2</v>
      </c>
      <c r="M195" s="181">
        <f>'Data input'!$I$395</f>
        <v>25</v>
      </c>
      <c r="N195" s="145">
        <f>SUMIFS('Data input'!$M$269:$M$324,'Data input'!$I$269:$I$324,H195,'Data input'!$J$269:$J$324,J195,'Data input'!$K$269:$K$324,K195,'Data input'!$L$269:$L$324,I195)</f>
        <v>251</v>
      </c>
      <c r="O195" s="270">
        <f t="shared" si="11"/>
        <v>451.79999999999995</v>
      </c>
      <c r="P195" s="181"/>
    </row>
    <row r="196" spans="7:16">
      <c r="G196" s="181"/>
      <c r="H196" s="207">
        <v>2023</v>
      </c>
      <c r="I196" s="157" t="s">
        <v>244</v>
      </c>
      <c r="J196" s="259" t="s">
        <v>175</v>
      </c>
      <c r="K196" s="12" t="s">
        <v>212</v>
      </c>
      <c r="L196" s="219" cm="1">
        <f t="array" ref="L196">_xlfn.XLOOKUP(H196&amp;I196&amp;J196,'Data input'!$I$400:$I$427&amp;'Data input'!$J$400:$J$427&amp;'Data input'!$K$400:$K$427,'Data input'!$L$400:$L$427)</f>
        <v>7.2999999999999995E-2</v>
      </c>
      <c r="M196" s="181">
        <f>'Data input'!$I$395</f>
        <v>25</v>
      </c>
      <c r="N196" s="145">
        <f>SUMIFS('Data input'!$M$269:$M$324,'Data input'!$I$269:$I$324,H196,'Data input'!$J$269:$J$324,J196,'Data input'!$K$269:$K$324,K196,'Data input'!$L$269:$L$324,I196)</f>
        <v>252</v>
      </c>
      <c r="O196" s="270">
        <f t="shared" si="11"/>
        <v>459.9</v>
      </c>
      <c r="P196" s="181"/>
    </row>
    <row r="197" spans="7:16">
      <c r="G197" s="181"/>
      <c r="H197" s="207">
        <v>2024</v>
      </c>
      <c r="I197" s="157" t="s">
        <v>244</v>
      </c>
      <c r="J197" s="259" t="s">
        <v>175</v>
      </c>
      <c r="K197" s="12" t="s">
        <v>212</v>
      </c>
      <c r="L197" s="219" cm="1">
        <f t="array" ref="L197">_xlfn.XLOOKUP(H197&amp;I197&amp;J197,'Data input'!$I$400:$I$427&amp;'Data input'!$J$400:$J$427&amp;'Data input'!$K$400:$K$427,'Data input'!$L$400:$L$427)</f>
        <v>7.3999999999999996E-2</v>
      </c>
      <c r="M197" s="181">
        <f>'Data input'!$I$395</f>
        <v>25</v>
      </c>
      <c r="N197" s="145">
        <f>SUMIFS('Data input'!$M$269:$M$324,'Data input'!$I$269:$I$324,H197,'Data input'!$J$269:$J$324,J197,'Data input'!$K$269:$K$324,K197,'Data input'!$L$269:$L$324,I197)</f>
        <v>253</v>
      </c>
      <c r="O197" s="270">
        <f t="shared" si="11"/>
        <v>468.04999999999995</v>
      </c>
      <c r="P197" s="181"/>
    </row>
    <row r="198" spans="7:16">
      <c r="G198" s="181"/>
      <c r="H198" s="207">
        <v>2025</v>
      </c>
      <c r="I198" s="157" t="s">
        <v>244</v>
      </c>
      <c r="J198" s="259" t="s">
        <v>175</v>
      </c>
      <c r="K198" s="12" t="s">
        <v>212</v>
      </c>
      <c r="L198" s="219" cm="1">
        <f t="array" ref="L198">_xlfn.XLOOKUP(H198&amp;I198&amp;J198,'Data input'!$I$400:$I$427&amp;'Data input'!$J$400:$J$427&amp;'Data input'!$K$400:$K$427,'Data input'!$L$400:$L$427)</f>
        <v>7.4999999999999997E-2</v>
      </c>
      <c r="M198" s="181">
        <f>'Data input'!$I$395</f>
        <v>25</v>
      </c>
      <c r="N198" s="145">
        <f>SUMIFS('Data input'!$M$269:$M$324,'Data input'!$I$269:$I$324,H198,'Data input'!$J$269:$J$324,J198,'Data input'!$K$269:$K$324,K198,'Data input'!$L$269:$L$324,I198)</f>
        <v>254</v>
      </c>
      <c r="O198" s="270">
        <f t="shared" si="11"/>
        <v>476.25</v>
      </c>
      <c r="P198" s="181"/>
    </row>
    <row r="199" spans="7:16">
      <c r="G199" s="181"/>
      <c r="H199" s="208">
        <v>2026</v>
      </c>
      <c r="I199" s="211" t="s">
        <v>244</v>
      </c>
      <c r="J199" s="260" t="s">
        <v>175</v>
      </c>
      <c r="K199" s="210" t="s">
        <v>212</v>
      </c>
      <c r="L199" s="220" cm="1">
        <f t="array" ref="L199">_xlfn.XLOOKUP(H199&amp;I199&amp;J199,'Data input'!$I$400:$I$427&amp;'Data input'!$J$400:$J$427&amp;'Data input'!$K$400:$K$427,'Data input'!$L$400:$L$427)</f>
        <v>7.5999999999999998E-2</v>
      </c>
      <c r="M199" s="201">
        <f>'Data input'!$I$395</f>
        <v>25</v>
      </c>
      <c r="N199" s="268">
        <f>SUMIFS('Data input'!$M$269:$M$324,'Data input'!$I$269:$I$324,H199,'Data input'!$J$269:$J$324,J199,'Data input'!$K$269:$K$324,K199,'Data input'!$L$269:$L$324,I199)</f>
        <v>255</v>
      </c>
      <c r="O199" s="276">
        <f t="shared" si="11"/>
        <v>484.5</v>
      </c>
      <c r="P199" s="181"/>
    </row>
    <row r="200" spans="7:16">
      <c r="H200" s="181"/>
      <c r="I200" s="181"/>
      <c r="J200" s="181"/>
      <c r="K200" s="181"/>
      <c r="L200" s="181"/>
      <c r="M200" s="181"/>
      <c r="N200" s="181">
        <f>SUM(N144:N199)</f>
        <v>12740</v>
      </c>
      <c r="O200" s="284">
        <f>SUM(O144:O199)</f>
        <v>20014.750000000004</v>
      </c>
    </row>
    <row r="203" spans="7:16">
      <c r="H203" s="402" t="s">
        <v>269</v>
      </c>
      <c r="I203" s="402"/>
      <c r="J203" s="402"/>
      <c r="K203" s="402"/>
      <c r="L203" s="402"/>
      <c r="M203" s="402"/>
    </row>
    <row r="204" spans="7:16">
      <c r="H204" s="399" t="s">
        <v>270</v>
      </c>
      <c r="I204" s="399"/>
    </row>
    <row r="205" spans="7:16">
      <c r="H205" s="399" t="s">
        <v>255</v>
      </c>
      <c r="I205" s="399" t="s">
        <v>225</v>
      </c>
    </row>
    <row r="206" spans="7:16">
      <c r="H206" s="399" t="s">
        <v>256</v>
      </c>
      <c r="I206" s="399" t="s">
        <v>225</v>
      </c>
    </row>
    <row r="210" spans="2:14">
      <c r="C210" s="292" t="s">
        <v>268</v>
      </c>
      <c r="H210" s="159" t="s">
        <v>323</v>
      </c>
    </row>
    <row r="211" spans="2:14">
      <c r="H211" s="179"/>
      <c r="I211" s="172" t="s">
        <v>259</v>
      </c>
      <c r="J211" s="166" t="s">
        <v>260</v>
      </c>
      <c r="K211" s="167" t="s">
        <v>231</v>
      </c>
    </row>
    <row r="212" spans="2:14">
      <c r="H212" s="171"/>
      <c r="I212" s="173" t="s">
        <v>12</v>
      </c>
      <c r="J212" s="369" t="s">
        <v>12</v>
      </c>
      <c r="K212" s="168" t="s">
        <v>192</v>
      </c>
      <c r="L212" s="395" t="s">
        <v>324</v>
      </c>
      <c r="M212" s="386"/>
      <c r="N212" s="386"/>
    </row>
    <row r="213" spans="2:14" ht="17">
      <c r="H213" s="171" t="s">
        <v>129</v>
      </c>
      <c r="I213" s="371" t="s">
        <v>78</v>
      </c>
      <c r="J213" s="267" t="s">
        <v>274</v>
      </c>
      <c r="K213" s="168" t="s">
        <v>45</v>
      </c>
    </row>
    <row r="214" spans="2:14" ht="17">
      <c r="H214" s="175"/>
      <c r="I214" s="186" t="s">
        <v>11</v>
      </c>
      <c r="J214" s="169" t="s">
        <v>11</v>
      </c>
      <c r="K214" s="168" t="s">
        <v>11</v>
      </c>
    </row>
    <row r="215" spans="2:14">
      <c r="H215" s="171">
        <v>2020</v>
      </c>
      <c r="I215" s="354">
        <f>IF($I$205="applicable", SUMIFS('Tool 05 Calcs'!$G$71:$G$77, 'Tool 05 Calcs'!$E$71:$E$77, H215), 0)</f>
        <v>235.11745249999998</v>
      </c>
      <c r="J215" s="232">
        <f>IF($I$206="applicable", SUMIFS('Tool 03 Calcs'!$G$153:$G$159, 'Tool 03 Calcs'!$F$153:$F$159, H215), 0)</f>
        <v>1.3792608499999999E-2</v>
      </c>
      <c r="K215" s="231">
        <f>I215+J215</f>
        <v>235.1312451085</v>
      </c>
      <c r="L215" s="181"/>
    </row>
    <row r="216" spans="2:14">
      <c r="H216" s="171">
        <v>2021</v>
      </c>
      <c r="I216" s="355">
        <f>IF($I$205="applicable", SUMIFS('Tool 05 Calcs'!$G$71:$G$77, 'Tool 05 Calcs'!$E$71:$E$77, H216), 0)</f>
        <v>265.83561250000002</v>
      </c>
      <c r="J216" s="174">
        <f>IF($I$206="applicable", SUMIFS('Tool 03 Calcs'!$G$153:$G$159, 'Tool 03 Calcs'!$F$153:$F$159, H216), 0)</f>
        <v>1.09185054E-2</v>
      </c>
      <c r="K216" s="200">
        <f t="shared" ref="K216:K221" si="12">I216+J216</f>
        <v>265.84653100540004</v>
      </c>
      <c r="L216" s="181"/>
    </row>
    <row r="217" spans="2:14">
      <c r="H217" s="171">
        <v>2022</v>
      </c>
      <c r="I217" s="355">
        <f>IF($I$205="applicable", SUMIFS('Tool 05 Calcs'!$G$71:$G$77, 'Tool 05 Calcs'!$E$71:$E$77, H217), 0)</f>
        <v>298.4754575</v>
      </c>
      <c r="J217" s="174">
        <f>IF($I$206="applicable", SUMIFS('Tool 03 Calcs'!$G$153:$G$159, 'Tool 03 Calcs'!$F$153:$F$159, H217), 0)</f>
        <v>1.1470784599999999E-2</v>
      </c>
      <c r="K217" s="200">
        <f t="shared" si="12"/>
        <v>298.48692828460003</v>
      </c>
      <c r="L217" s="181"/>
    </row>
    <row r="218" spans="2:14">
      <c r="H218" s="171">
        <v>2023</v>
      </c>
      <c r="I218" s="355">
        <f>IF($I$205="applicable", SUMIFS('Tool 05 Calcs'!$G$71:$G$77, 'Tool 05 Calcs'!$E$71:$E$77, H218), 0)</f>
        <v>255.29808500000001</v>
      </c>
      <c r="J218" s="174">
        <f>IF($I$206="applicable", SUMIFS('Tool 03 Calcs'!$G$153:$G$159, 'Tool 03 Calcs'!$F$153:$F$159, H218), 0)</f>
        <v>1.2024286999999998E-2</v>
      </c>
      <c r="K218" s="200">
        <f t="shared" si="12"/>
        <v>255.31010928700002</v>
      </c>
      <c r="L218" s="181"/>
    </row>
    <row r="219" spans="2:14">
      <c r="H219" s="171">
        <v>2024</v>
      </c>
      <c r="I219" s="355">
        <f>IF($I$205="applicable", SUMIFS('Tool 05 Calcs'!$G$71:$G$77, 'Tool 05 Calcs'!$E$71:$E$77, H219), 0)</f>
        <v>196.49341687500018</v>
      </c>
      <c r="J219" s="174">
        <f>IF($I$206="applicable", SUMIFS('Tool 03 Calcs'!$G$153:$G$159, 'Tool 03 Calcs'!$F$153:$F$159, H219), 0)</f>
        <v>1.2858861399999998E-2</v>
      </c>
      <c r="K219" s="200">
        <f t="shared" si="12"/>
        <v>196.50627573640017</v>
      </c>
      <c r="L219" s="181"/>
    </row>
    <row r="220" spans="2:14">
      <c r="H220" s="171">
        <v>2025</v>
      </c>
      <c r="I220" s="355">
        <f>IF($I$205="applicable", SUMIFS('Tool 05 Calcs'!$G$71:$G$77, 'Tool 05 Calcs'!$E$71:$E$77, H220), 0)</f>
        <v>255.29556500000035</v>
      </c>
      <c r="J220" s="174">
        <f>IF($I$206="applicable", SUMIFS('Tool 03 Calcs'!$G$153:$G$159, 'Tool 03 Calcs'!$F$153:$F$159, H220), 0)</f>
        <v>1.34867249E-2</v>
      </c>
      <c r="K220" s="200">
        <f t="shared" si="12"/>
        <v>255.30905172490034</v>
      </c>
      <c r="L220" s="181"/>
    </row>
    <row r="221" spans="2:14">
      <c r="H221" s="175">
        <v>2026</v>
      </c>
      <c r="I221" s="410">
        <f>IF($I$205="applicable", SUMIFS('Tool 05 Calcs'!$G$71:$G$77, 'Tool 05 Calcs'!$E$71:$E$77, H221), 0)</f>
        <v>379.63149875000073</v>
      </c>
      <c r="J221" s="233">
        <f>IF($I$206="applicable", SUMIFS('Tool 03 Calcs'!$G$153:$G$159, 'Tool 03 Calcs'!$F$153:$F$159, H221), 0)</f>
        <v>1.4038870999999998E-2</v>
      </c>
      <c r="K221" s="202">
        <f t="shared" si="12"/>
        <v>379.64553762100076</v>
      </c>
      <c r="L221" s="181"/>
    </row>
    <row r="222" spans="2:14">
      <c r="I222" s="181"/>
      <c r="J222" s="181"/>
      <c r="K222" s="284">
        <f>SUM(K215:K221)</f>
        <v>1886.2356787678013</v>
      </c>
    </row>
    <row r="224" spans="2:14">
      <c r="B224" s="292" t="s">
        <v>325</v>
      </c>
      <c r="H224" s="159" t="s">
        <v>326</v>
      </c>
    </row>
    <row r="225" spans="8:13">
      <c r="H225" s="179"/>
      <c r="I225" s="172"/>
      <c r="J225" s="166"/>
      <c r="K225" s="167" t="s">
        <v>231</v>
      </c>
    </row>
    <row r="226" spans="8:13">
      <c r="H226" s="171"/>
      <c r="I226" s="173"/>
      <c r="J226" s="174"/>
      <c r="K226" s="168" t="s">
        <v>67</v>
      </c>
    </row>
    <row r="227" spans="8:13" ht="17">
      <c r="H227" s="171" t="s">
        <v>129</v>
      </c>
      <c r="I227" s="184" t="s">
        <v>66</v>
      </c>
      <c r="J227" s="185" t="s">
        <v>69</v>
      </c>
      <c r="K227" s="187" t="s">
        <v>277</v>
      </c>
    </row>
    <row r="228" spans="8:13" ht="17">
      <c r="H228" s="175"/>
      <c r="I228" s="188" t="s">
        <v>11</v>
      </c>
      <c r="J228" s="189" t="s">
        <v>11</v>
      </c>
      <c r="K228" s="178" t="s">
        <v>11</v>
      </c>
    </row>
    <row r="229" spans="8:13">
      <c r="H229" s="171">
        <v>2020</v>
      </c>
      <c r="I229" s="172">
        <f>SUMIFS($K$252:$K$258,$H$252:$H$258,H229)</f>
        <v>1210.0737854285712</v>
      </c>
      <c r="J229" s="166">
        <f>SUMIFS($I$267:$I$273,$H$267:$H$273,H229)</f>
        <v>0</v>
      </c>
      <c r="K229" s="167">
        <f>I229+J229</f>
        <v>1210.0737854285712</v>
      </c>
    </row>
    <row r="230" spans="8:13">
      <c r="H230" s="171">
        <v>2021</v>
      </c>
      <c r="I230" s="173">
        <f t="shared" ref="I230:I235" si="13">SUMIFS($K$252:$K$258,$H$252:$H$258,H230)</f>
        <v>1339.5478839010993</v>
      </c>
      <c r="J230" s="174">
        <f t="shared" ref="J230:J235" si="14">SUMIFS($I$267:$I$273,$H$267:$H$273,H230)</f>
        <v>0</v>
      </c>
      <c r="K230" s="168">
        <f t="shared" ref="K230:K235" si="15">I230+J230</f>
        <v>1339.5478839010993</v>
      </c>
    </row>
    <row r="231" spans="8:13">
      <c r="H231" s="171">
        <v>2022</v>
      </c>
      <c r="I231" s="173">
        <f t="shared" si="13"/>
        <v>1533.6932116666671</v>
      </c>
      <c r="J231" s="174">
        <f t="shared" si="14"/>
        <v>0</v>
      </c>
      <c r="K231" s="168">
        <f t="shared" si="15"/>
        <v>1533.6932116666671</v>
      </c>
    </row>
    <row r="232" spans="8:13">
      <c r="H232" s="171">
        <v>2023</v>
      </c>
      <c r="I232" s="173">
        <f t="shared" si="13"/>
        <v>1590.8837261172173</v>
      </c>
      <c r="J232" s="174">
        <f t="shared" si="14"/>
        <v>0</v>
      </c>
      <c r="K232" s="168">
        <f t="shared" si="15"/>
        <v>1590.8837261172173</v>
      </c>
    </row>
    <row r="233" spans="8:13">
      <c r="H233" s="171">
        <v>2024</v>
      </c>
      <c r="I233" s="173">
        <f t="shared" si="13"/>
        <v>1588.5595153205129</v>
      </c>
      <c r="J233" s="174">
        <f t="shared" si="14"/>
        <v>0</v>
      </c>
      <c r="K233" s="168">
        <f t="shared" si="15"/>
        <v>1588.5595153205129</v>
      </c>
    </row>
    <row r="234" spans="8:13">
      <c r="H234" s="171">
        <v>2025</v>
      </c>
      <c r="I234" s="173">
        <f t="shared" si="13"/>
        <v>1642.5635321703307</v>
      </c>
      <c r="J234" s="174">
        <f t="shared" si="14"/>
        <v>0</v>
      </c>
      <c r="K234" s="168">
        <f t="shared" si="15"/>
        <v>1642.5635321703307</v>
      </c>
    </row>
    <row r="235" spans="8:13">
      <c r="H235" s="175">
        <v>2026</v>
      </c>
      <c r="I235" s="176">
        <f t="shared" si="13"/>
        <v>1711.9199676153858</v>
      </c>
      <c r="J235" s="177">
        <f t="shared" si="14"/>
        <v>0</v>
      </c>
      <c r="K235" s="178">
        <f t="shared" si="15"/>
        <v>1711.9199676153858</v>
      </c>
    </row>
    <row r="239" spans="8:13">
      <c r="H239" s="402" t="s">
        <v>278</v>
      </c>
      <c r="I239" s="402"/>
      <c r="J239" s="402"/>
      <c r="K239" s="402"/>
      <c r="L239" s="402"/>
      <c r="M239" s="402"/>
    </row>
    <row r="240" spans="8:13">
      <c r="H240" s="403" t="s">
        <v>279</v>
      </c>
      <c r="I240" s="399"/>
    </row>
    <row r="241" spans="3:12">
      <c r="H241" s="399" t="s">
        <v>255</v>
      </c>
      <c r="I241" s="399" t="s">
        <v>225</v>
      </c>
    </row>
    <row r="242" spans="3:12">
      <c r="H242" s="399" t="s">
        <v>256</v>
      </c>
      <c r="I242" s="399" t="s">
        <v>225</v>
      </c>
    </row>
    <row r="247" spans="3:12">
      <c r="C247" s="292" t="s">
        <v>280</v>
      </c>
      <c r="H247" s="159" t="s">
        <v>327</v>
      </c>
    </row>
    <row r="248" spans="3:12">
      <c r="H248" s="160"/>
      <c r="I248" s="166"/>
      <c r="J248" s="166"/>
      <c r="K248" s="167" t="s">
        <v>231</v>
      </c>
    </row>
    <row r="249" spans="3:12">
      <c r="H249" s="162"/>
      <c r="I249" s="369"/>
      <c r="J249" s="369"/>
      <c r="K249" s="168" t="s">
        <v>72</v>
      </c>
    </row>
    <row r="250" spans="3:12" ht="17">
      <c r="H250" s="162" t="s">
        <v>129</v>
      </c>
      <c r="I250" s="588" t="s">
        <v>99</v>
      </c>
      <c r="J250" s="588" t="s">
        <v>104</v>
      </c>
      <c r="K250" s="253" t="s">
        <v>282</v>
      </c>
    </row>
    <row r="251" spans="3:12" ht="17">
      <c r="H251" s="165"/>
      <c r="I251" s="169" t="s">
        <v>11</v>
      </c>
      <c r="J251" s="169" t="s">
        <v>11</v>
      </c>
      <c r="K251" s="168" t="s">
        <v>11</v>
      </c>
    </row>
    <row r="252" spans="3:12">
      <c r="H252" s="171">
        <v>2020</v>
      </c>
      <c r="I252" s="354">
        <f>IF($I$241="applicable", SUMIFS('Tool 05 Calcs'!$G$130:$G$136, 'Tool 05 Calcs'!$E$130:$E$136, H252), 0)</f>
        <v>72.561399999999992</v>
      </c>
      <c r="J252" s="232">
        <f>IF($I$242="applicable", SUMIFS('Tool 03 Calcs'!$G$279:$G$285, 'Tool 03 Calcs'!$F$279:$F$285, H252), 0)</f>
        <v>1137.5123854285712</v>
      </c>
      <c r="K252" s="231">
        <f>I252+J252</f>
        <v>1210.0737854285712</v>
      </c>
      <c r="L252" s="181"/>
    </row>
    <row r="253" spans="3:12">
      <c r="H253" s="171">
        <v>2021</v>
      </c>
      <c r="I253" s="355">
        <f>IF($I$241="applicable", SUMIFS('Tool 05 Calcs'!$G$130:$G$136, 'Tool 05 Calcs'!$E$130:$E$136, H253), 0)</f>
        <v>80.754803571428738</v>
      </c>
      <c r="J253" s="174">
        <f>IF($I$242="applicable", SUMIFS('Tool 03 Calcs'!$G$279:$G$285, 'Tool 03 Calcs'!$F$279:$F$285, H253), 0)</f>
        <v>1258.7930803296706</v>
      </c>
      <c r="K253" s="200">
        <f t="shared" ref="K253:K258" si="16">I253+J253</f>
        <v>1339.5478839010993</v>
      </c>
      <c r="L253" s="181"/>
    </row>
    <row r="254" spans="3:12">
      <c r="H254" s="171">
        <v>2022</v>
      </c>
      <c r="I254" s="355">
        <f>IF($I$241="applicable", SUMIFS('Tool 05 Calcs'!$G$130:$G$136, 'Tool 05 Calcs'!$E$130:$E$136, H254), 0)</f>
        <v>50.737059523809492</v>
      </c>
      <c r="J254" s="174">
        <f>IF($I$242="applicable", SUMIFS('Tool 03 Calcs'!$G$279:$G$285, 'Tool 03 Calcs'!$F$279:$F$285, H254), 0)</f>
        <v>1482.9561521428577</v>
      </c>
      <c r="K254" s="200">
        <f t="shared" si="16"/>
        <v>1533.6932116666671</v>
      </c>
      <c r="L254" s="181"/>
    </row>
    <row r="255" spans="3:12">
      <c r="H255" s="171">
        <v>2023</v>
      </c>
      <c r="I255" s="355">
        <f>IF($I$241="applicable", SUMIFS('Tool 05 Calcs'!$G$130:$G$136, 'Tool 05 Calcs'!$E$130:$E$136, H255), 0)</f>
        <v>95.724653809523858</v>
      </c>
      <c r="J255" s="174">
        <f>IF($I$242="applicable", SUMIFS('Tool 03 Calcs'!$G$279:$G$285, 'Tool 03 Calcs'!$F$279:$F$285, H255), 0)</f>
        <v>1495.1590723076934</v>
      </c>
      <c r="K255" s="200">
        <f t="shared" si="16"/>
        <v>1590.8837261172173</v>
      </c>
      <c r="L255" s="181"/>
    </row>
    <row r="256" spans="3:12">
      <c r="H256" s="171">
        <v>2024</v>
      </c>
      <c r="I256" s="355">
        <f>IF($I$241="applicable", SUMIFS('Tool 05 Calcs'!$G$130:$G$136, 'Tool 05 Calcs'!$E$130:$E$136, H256), 0)</f>
        <v>85.735599166666816</v>
      </c>
      <c r="J256" s="174">
        <f>IF($I$242="applicable", SUMIFS('Tool 03 Calcs'!$G$279:$G$285, 'Tool 03 Calcs'!$F$279:$F$285, H256), 0)</f>
        <v>1502.8239161538461</v>
      </c>
      <c r="K256" s="200">
        <f t="shared" si="16"/>
        <v>1588.5595153205129</v>
      </c>
      <c r="L256" s="181"/>
    </row>
    <row r="257" spans="3:12">
      <c r="H257" s="171">
        <v>2025</v>
      </c>
      <c r="I257" s="355">
        <f>IF($I$241="applicable", SUMIFS('Tool 05 Calcs'!$G$130:$G$136, 'Tool 05 Calcs'!$E$130:$E$136, H257), 0)</f>
        <v>85.913456785714601</v>
      </c>
      <c r="J257" s="174">
        <f>IF($I$242="applicable", SUMIFS('Tool 03 Calcs'!$G$279:$G$285, 'Tool 03 Calcs'!$F$279:$F$285, H257), 0)</f>
        <v>1556.6500753846162</v>
      </c>
      <c r="K257" s="200">
        <f t="shared" si="16"/>
        <v>1642.5635321703307</v>
      </c>
      <c r="L257" s="181"/>
    </row>
    <row r="258" spans="3:12">
      <c r="H258" s="175">
        <v>2026</v>
      </c>
      <c r="I258" s="410">
        <f>IF($I$241="applicable", SUMIFS('Tool 05 Calcs'!$G$130:$G$136, 'Tool 05 Calcs'!$E$130:$E$136, H258), 0)</f>
        <v>106.51061999999993</v>
      </c>
      <c r="J258" s="233">
        <f>IF($I$242="applicable", SUMIFS('Tool 03 Calcs'!$G$279:$G$285, 'Tool 03 Calcs'!$F$279:$F$285, H258), 0)</f>
        <v>1605.4093476153857</v>
      </c>
      <c r="K258" s="202">
        <f t="shared" si="16"/>
        <v>1711.9199676153858</v>
      </c>
      <c r="L258" s="181"/>
    </row>
    <row r="259" spans="3:12">
      <c r="I259" s="181"/>
      <c r="J259" s="181"/>
      <c r="K259" s="181"/>
    </row>
    <row r="262" spans="3:12">
      <c r="C262" s="292" t="s">
        <v>283</v>
      </c>
      <c r="H262" s="159" t="s">
        <v>328</v>
      </c>
    </row>
    <row r="263" spans="3:12">
      <c r="H263" s="179"/>
      <c r="I263" s="160" t="s">
        <v>231</v>
      </c>
    </row>
    <row r="264" spans="3:12">
      <c r="H264" s="171"/>
      <c r="I264" s="162" t="s">
        <v>285</v>
      </c>
    </row>
    <row r="265" spans="3:12" ht="17">
      <c r="H265" s="171" t="s">
        <v>129</v>
      </c>
      <c r="I265" s="254" t="s">
        <v>329</v>
      </c>
    </row>
    <row r="266" spans="3:12" ht="17">
      <c r="H266" s="175"/>
      <c r="I266" s="246" t="s">
        <v>11</v>
      </c>
    </row>
    <row r="267" spans="3:12">
      <c r="H267" s="179">
        <v>2020</v>
      </c>
      <c r="I267" s="243">
        <f>SUMIFS('Data input'!$L$463:$L$490,'Data input'!$I$463:$I$490,H267)</f>
        <v>0</v>
      </c>
      <c r="J267" s="181"/>
    </row>
    <row r="268" spans="3:12">
      <c r="H268" s="171">
        <v>2021</v>
      </c>
      <c r="I268" s="244">
        <f>SUMIFS('Data input'!$L$463:$L$490,'Data input'!$I$463:$I$490,H268)</f>
        <v>0</v>
      </c>
      <c r="J268" s="181"/>
    </row>
    <row r="269" spans="3:12">
      <c r="H269" s="171">
        <v>2022</v>
      </c>
      <c r="I269" s="244">
        <f>SUMIFS('Data input'!$L$463:$L$490,'Data input'!$I$463:$I$490,H269)</f>
        <v>0</v>
      </c>
      <c r="J269" s="181"/>
    </row>
    <row r="270" spans="3:12">
      <c r="H270" s="171">
        <v>2023</v>
      </c>
      <c r="I270" s="244">
        <f>SUMIFS('Data input'!$L$463:$L$490,'Data input'!$I$463:$I$490,H270)</f>
        <v>0</v>
      </c>
      <c r="J270" s="181"/>
    </row>
    <row r="271" spans="3:12">
      <c r="H271" s="171">
        <v>2024</v>
      </c>
      <c r="I271" s="244">
        <f>SUMIFS('Data input'!$L$463:$L$490,'Data input'!$I$463:$I$490,H271)</f>
        <v>0</v>
      </c>
      <c r="J271" s="181"/>
    </row>
    <row r="272" spans="3:12">
      <c r="H272" s="171">
        <v>2025</v>
      </c>
      <c r="I272" s="244">
        <f>SUMIFS('Data input'!$L$463:$L$490,'Data input'!$I$463:$I$490,H272)</f>
        <v>0</v>
      </c>
      <c r="J272" s="181"/>
    </row>
    <row r="273" spans="2:18">
      <c r="H273" s="175">
        <v>2026</v>
      </c>
      <c r="I273" s="245">
        <f>SUMIFS('Data input'!$L$463:$L$490,'Data input'!$I$463:$I$490,H273)</f>
        <v>0</v>
      </c>
      <c r="J273" s="181"/>
    </row>
    <row r="274" spans="2:18">
      <c r="I274" s="181"/>
    </row>
    <row r="276" spans="2:18" s="391" customFormat="1">
      <c r="B276" s="390" t="s">
        <v>287</v>
      </c>
      <c r="C276" s="394"/>
      <c r="D276" s="393"/>
      <c r="E276" s="393"/>
      <c r="F276" s="393"/>
      <c r="G276" s="393"/>
      <c r="H276" s="393"/>
      <c r="I276" s="393"/>
      <c r="J276" s="393"/>
      <c r="K276" s="393"/>
      <c r="L276" s="393"/>
      <c r="M276" s="393"/>
      <c r="N276" s="393"/>
      <c r="O276" s="393"/>
      <c r="P276" s="393"/>
      <c r="Q276" s="393"/>
      <c r="R276" s="393"/>
    </row>
    <row r="279" spans="2:18">
      <c r="H279" s="402" t="s">
        <v>288</v>
      </c>
      <c r="I279" s="402"/>
      <c r="J279" s="402"/>
    </row>
    <row r="280" spans="2:18">
      <c r="H280" s="399" t="s">
        <v>289</v>
      </c>
      <c r="I280" s="399"/>
      <c r="J280" s="399"/>
    </row>
    <row r="281" spans="2:18" ht="17">
      <c r="H281" s="399" t="s">
        <v>290</v>
      </c>
      <c r="I281" s="591" t="s">
        <v>52</v>
      </c>
      <c r="J281" s="399" t="s">
        <v>225</v>
      </c>
    </row>
    <row r="282" spans="2:18" ht="17">
      <c r="H282" s="399" t="s">
        <v>291</v>
      </c>
      <c r="I282" s="591" t="s">
        <v>55</v>
      </c>
      <c r="J282" s="399" t="s">
        <v>225</v>
      </c>
    </row>
    <row r="283" spans="2:18" ht="17">
      <c r="H283" s="399" t="s">
        <v>292</v>
      </c>
      <c r="I283" s="591" t="s">
        <v>60</v>
      </c>
      <c r="J283" s="399" t="s">
        <v>225</v>
      </c>
    </row>
    <row r="284" spans="2:18" ht="17">
      <c r="H284" s="399" t="s">
        <v>293</v>
      </c>
      <c r="I284" s="591" t="s">
        <v>57</v>
      </c>
      <c r="J284" s="399" t="s">
        <v>225</v>
      </c>
    </row>
    <row r="288" spans="2:18">
      <c r="H288" s="191" t="s">
        <v>330</v>
      </c>
    </row>
    <row r="289" spans="2:17">
      <c r="H289" s="179"/>
      <c r="I289" s="179"/>
      <c r="J289" s="180"/>
      <c r="K289" s="180"/>
      <c r="L289" s="180"/>
      <c r="M289" s="192" t="s">
        <v>231</v>
      </c>
    </row>
    <row r="290" spans="2:17">
      <c r="H290" s="171"/>
      <c r="I290" s="171"/>
      <c r="J290" s="181"/>
      <c r="K290" s="181"/>
      <c r="L290" s="181"/>
      <c r="M290" s="187" t="s">
        <v>53</v>
      </c>
    </row>
    <row r="291" spans="2:17" ht="17">
      <c r="H291" s="171" t="s">
        <v>129</v>
      </c>
      <c r="I291" s="182" t="s">
        <v>52</v>
      </c>
      <c r="J291" s="145" t="s">
        <v>55</v>
      </c>
      <c r="K291" s="145" t="s">
        <v>60</v>
      </c>
      <c r="L291" s="145" t="s">
        <v>57</v>
      </c>
      <c r="M291" s="168" t="s">
        <v>81</v>
      </c>
    </row>
    <row r="292" spans="2:17" ht="17">
      <c r="H292" s="175"/>
      <c r="I292" s="234" t="s">
        <v>11</v>
      </c>
      <c r="J292" s="190" t="s">
        <v>11</v>
      </c>
      <c r="K292" s="190" t="s">
        <v>11</v>
      </c>
      <c r="L292" s="190" t="s">
        <v>11</v>
      </c>
      <c r="M292" s="168" t="s">
        <v>11</v>
      </c>
    </row>
    <row r="293" spans="2:17">
      <c r="H293" s="179">
        <v>2020</v>
      </c>
      <c r="I293" s="221">
        <f>IF($J$281="applicable", SUMIFS('Data input'!$J$505:$J$511, 'Data input'!$I$505:$I$511, H293), 0)</f>
        <v>5</v>
      </c>
      <c r="J293" s="195">
        <f>IF($J$282="applicable", SUMIFS('Data input'!$J$516:$J$522, 'Data input'!$I$505:$I$511, H293), 0)</f>
        <v>3</v>
      </c>
      <c r="K293" s="195">
        <f>IF($J$283="applicable", SUMIFS('Data input'!$J$527:$J$533, 'Data input'!$I$505:$I$511, H293), 0)</f>
        <v>0</v>
      </c>
      <c r="L293" s="195">
        <f>IF($J$284="applicable", SUMIFS('Data input'!$J$538:$J$544, 'Data input'!$I$505:$I$511, H293), 0)</f>
        <v>1.321012458</v>
      </c>
      <c r="M293" s="231">
        <f>I293+J293+K293+L293</f>
        <v>9.3210124580000002</v>
      </c>
      <c r="N293" s="181"/>
    </row>
    <row r="294" spans="2:17">
      <c r="H294" s="171">
        <v>2021</v>
      </c>
      <c r="I294" s="219">
        <f>IF($J$281="applicable", SUMIFS('Data input'!$J$505:$J$511, 'Data input'!$I$505:$I$511, H294), 0)</f>
        <v>2.0314000000000001</v>
      </c>
      <c r="J294" s="181">
        <f>IF($J$282="applicable", SUMIFS('Data input'!$J$516:$J$522, 'Data input'!$I$505:$I$511, H294), 0)</f>
        <v>4</v>
      </c>
      <c r="K294" s="181">
        <f>IF($J$283="applicable", SUMIFS('Data input'!$J$527:$J$533, 'Data input'!$I$505:$I$511, H294), 0)</f>
        <v>100.2325</v>
      </c>
      <c r="L294" s="181">
        <f>IF($J$284="applicable", SUMIFS('Data input'!$J$538:$J$544, 'Data input'!$I$505:$I$511, H294), 0)</f>
        <v>4</v>
      </c>
      <c r="M294" s="200">
        <f t="shared" ref="M294:M299" si="17">I294+J294+K294+L294</f>
        <v>110.26390000000001</v>
      </c>
      <c r="N294" s="181"/>
    </row>
    <row r="295" spans="2:17">
      <c r="H295" s="171">
        <v>2022</v>
      </c>
      <c r="I295" s="219">
        <f>IF($J$281="applicable", SUMIFS('Data input'!$J$505:$J$511, 'Data input'!$I$505:$I$511, H295), 0)</f>
        <v>6</v>
      </c>
      <c r="J295" s="181">
        <f>IF($J$282="applicable", SUMIFS('Data input'!$J$516:$J$522, 'Data input'!$I$505:$I$511, H295), 0)</f>
        <v>5.0324</v>
      </c>
      <c r="K295" s="181">
        <f>IF($J$283="applicable", SUMIFS('Data input'!$J$527:$J$533, 'Data input'!$I$505:$I$511, H295), 0)</f>
        <v>2</v>
      </c>
      <c r="L295" s="181">
        <f>IF($J$284="applicable", SUMIFS('Data input'!$J$538:$J$544, 'Data input'!$I$505:$I$511, H295), 0)</f>
        <v>5</v>
      </c>
      <c r="M295" s="200">
        <f t="shared" si="17"/>
        <v>18.032399999999999</v>
      </c>
      <c r="N295" s="181"/>
    </row>
    <row r="296" spans="2:17">
      <c r="H296" s="171">
        <v>2023</v>
      </c>
      <c r="I296" s="219">
        <f>IF($J$281="applicable", SUMIFS('Data input'!$J$505:$J$511, 'Data input'!$I$505:$I$511, H296), 0)</f>
        <v>6.3213999999999997</v>
      </c>
      <c r="J296" s="181">
        <f>IF($J$282="applicable", SUMIFS('Data input'!$J$516:$J$522, 'Data input'!$I$505:$I$511, H296), 0)</f>
        <v>6</v>
      </c>
      <c r="K296" s="181">
        <f>IF($J$283="applicable", SUMIFS('Data input'!$J$527:$J$533, 'Data input'!$I$505:$I$511, H296), 0)</f>
        <v>3</v>
      </c>
      <c r="L296" s="181">
        <f>IF($J$284="applicable", SUMIFS('Data input'!$J$538:$J$544, 'Data input'!$I$505:$I$511, H296), 0)</f>
        <v>3</v>
      </c>
      <c r="M296" s="200">
        <f t="shared" si="17"/>
        <v>18.321400000000001</v>
      </c>
      <c r="N296" s="181"/>
    </row>
    <row r="297" spans="2:17">
      <c r="H297" s="171">
        <v>2024</v>
      </c>
      <c r="I297" s="219">
        <f>IF($J$281="applicable", SUMIFS('Data input'!$J$505:$J$511, 'Data input'!$I$505:$I$511, H297), 0)</f>
        <v>2</v>
      </c>
      <c r="J297" s="181">
        <f>IF($J$282="applicable", SUMIFS('Data input'!$J$516:$J$522, 'Data input'!$I$505:$I$511, H297), 0)</f>
        <v>1</v>
      </c>
      <c r="K297" s="181">
        <f>IF($J$283="applicable", SUMIFS('Data input'!$J$527:$J$533, 'Data input'!$I$505:$I$511, H297), 0)</f>
        <v>1</v>
      </c>
      <c r="L297" s="181">
        <f>IF($J$284="applicable", SUMIFS('Data input'!$J$538:$J$544, 'Data input'!$I$505:$I$511, H297), 0)</f>
        <v>5</v>
      </c>
      <c r="M297" s="200">
        <f t="shared" si="17"/>
        <v>9</v>
      </c>
      <c r="N297" s="181"/>
    </row>
    <row r="298" spans="2:17">
      <c r="H298" s="171">
        <v>2025</v>
      </c>
      <c r="I298" s="219">
        <f>IF($J$281="applicable", SUMIFS('Data input'!$J$505:$J$511, 'Data input'!$I$505:$I$511, H298), 0)</f>
        <v>0.21354000000000001</v>
      </c>
      <c r="J298" s="181">
        <f>IF($J$282="applicable", SUMIFS('Data input'!$J$516:$J$522, 'Data input'!$I$505:$I$511, H298), 0)</f>
        <v>3</v>
      </c>
      <c r="K298" s="181">
        <f>IF($J$283="applicable", SUMIFS('Data input'!$J$527:$J$533, 'Data input'!$I$505:$I$511, H298), 0)</f>
        <v>0</v>
      </c>
      <c r="L298" s="181">
        <f>IF($J$284="applicable", SUMIFS('Data input'!$J$538:$J$544, 'Data input'!$I$505:$I$511, H298), 0)</f>
        <v>2.32145</v>
      </c>
      <c r="M298" s="200">
        <f t="shared" si="17"/>
        <v>5.5349900000000005</v>
      </c>
      <c r="N298" s="181"/>
    </row>
    <row r="299" spans="2:17">
      <c r="H299" s="175">
        <v>2026</v>
      </c>
      <c r="I299" s="220">
        <f>IF($J$281="applicable", SUMIFS('Data input'!$J$505:$J$511, 'Data input'!$I$505:$I$511, H299), 0)</f>
        <v>4</v>
      </c>
      <c r="J299" s="201">
        <f>IF($J$282="applicable", SUMIFS('Data input'!$J$516:$J$522, 'Data input'!$I$505:$I$511, H299), 0)</f>
        <v>1.0254000000000001</v>
      </c>
      <c r="K299" s="201">
        <f>IF($J$283="applicable", SUMIFS('Data input'!$J$527:$J$533, 'Data input'!$I$505:$I$511, H299), 0)</f>
        <v>1</v>
      </c>
      <c r="L299" s="201">
        <f>IF($J$284="applicable", SUMIFS('Data input'!$J$538:$J$544, 'Data input'!$I$505:$I$511, H299), 0)</f>
        <v>4</v>
      </c>
      <c r="M299" s="202">
        <f t="shared" si="17"/>
        <v>10.025400000000001</v>
      </c>
      <c r="N299" s="181"/>
    </row>
    <row r="300" spans="2:17">
      <c r="I300" s="181"/>
      <c r="J300" s="181"/>
      <c r="K300" s="181"/>
      <c r="L300" s="181"/>
      <c r="M300" s="181">
        <f>SUM(M293:M299)</f>
        <v>180.49910245800001</v>
      </c>
    </row>
    <row r="302" spans="2:17" s="391" customFormat="1">
      <c r="B302" s="390" t="s">
        <v>295</v>
      </c>
      <c r="C302" s="394"/>
      <c r="D302" s="393"/>
      <c r="E302" s="393"/>
      <c r="F302" s="393"/>
      <c r="G302" s="393"/>
      <c r="H302" s="393"/>
      <c r="I302" s="393"/>
      <c r="J302" s="393"/>
      <c r="K302" s="393"/>
      <c r="L302" s="393"/>
      <c r="M302" s="393"/>
      <c r="N302" s="393"/>
      <c r="O302" s="393"/>
      <c r="P302" s="393"/>
      <c r="Q302" s="393"/>
    </row>
    <row r="305" spans="8:12">
      <c r="H305" s="191" t="s">
        <v>331</v>
      </c>
    </row>
    <row r="306" spans="8:12">
      <c r="H306" s="179"/>
      <c r="I306" s="194" t="s">
        <v>231</v>
      </c>
      <c r="J306" s="195" t="s">
        <v>231</v>
      </c>
      <c r="K306" s="196" t="s">
        <v>231</v>
      </c>
    </row>
    <row r="307" spans="8:12">
      <c r="H307" s="171"/>
      <c r="I307" s="197" t="s">
        <v>232</v>
      </c>
      <c r="J307" s="181" t="s">
        <v>297</v>
      </c>
      <c r="K307" s="198" t="s">
        <v>95</v>
      </c>
    </row>
    <row r="308" spans="8:12" ht="17">
      <c r="H308" s="171" t="s">
        <v>129</v>
      </c>
      <c r="I308" s="199" t="s">
        <v>97</v>
      </c>
      <c r="J308" s="145" t="s">
        <v>110</v>
      </c>
      <c r="K308" s="198" t="s">
        <v>94</v>
      </c>
    </row>
    <row r="309" spans="8:12" ht="17">
      <c r="H309" s="175"/>
      <c r="I309" s="265" t="s">
        <v>11</v>
      </c>
      <c r="J309" s="190" t="s">
        <v>11</v>
      </c>
      <c r="K309" s="200" t="s">
        <v>11</v>
      </c>
    </row>
    <row r="310" spans="8:12">
      <c r="H310" s="179">
        <v>2020</v>
      </c>
      <c r="I310" s="172">
        <f>SUMIFS($I$9:$I$15,$H$9:$H$15,H310)</f>
        <v>0</v>
      </c>
      <c r="J310" s="180">
        <f>SUMIFS('Data input'!$J$556:$J$562,'Data input'!$I$556:$I$562,H310)</f>
        <v>0</v>
      </c>
      <c r="K310" s="167">
        <f>I310-J310</f>
        <v>0</v>
      </c>
      <c r="L310" s="181"/>
    </row>
    <row r="311" spans="8:12">
      <c r="H311" s="171">
        <v>2021</v>
      </c>
      <c r="I311" s="173">
        <f t="shared" ref="I311:I316" si="18">SUMIFS($I$9:$I$15,$H$9:$H$15,H311)</f>
        <v>0</v>
      </c>
      <c r="J311" s="181">
        <f>SUMIFS('Data input'!$J$556:$J$562,'Data input'!$I$556:$I$562,H311)</f>
        <v>0</v>
      </c>
      <c r="K311" s="168">
        <f t="shared" ref="K311:K316" si="19">I311-J311</f>
        <v>0</v>
      </c>
      <c r="L311" s="181"/>
    </row>
    <row r="312" spans="8:12">
      <c r="H312" s="171">
        <v>2022</v>
      </c>
      <c r="I312" s="173">
        <f t="shared" si="18"/>
        <v>0</v>
      </c>
      <c r="J312" s="181">
        <f>SUMIFS('Data input'!$J$556:$J$562,'Data input'!$I$556:$I$562,H312)</f>
        <v>0</v>
      </c>
      <c r="K312" s="168">
        <f t="shared" si="19"/>
        <v>0</v>
      </c>
      <c r="L312" s="181"/>
    </row>
    <row r="313" spans="8:12">
      <c r="H313" s="171">
        <v>2023</v>
      </c>
      <c r="I313" s="173">
        <f t="shared" si="18"/>
        <v>0</v>
      </c>
      <c r="J313" s="181">
        <f>SUMIFS('Data input'!$J$556:$J$562,'Data input'!$I$556:$I$562,H313)</f>
        <v>0</v>
      </c>
      <c r="K313" s="168">
        <f t="shared" si="19"/>
        <v>0</v>
      </c>
      <c r="L313" s="181"/>
    </row>
    <row r="314" spans="8:12">
      <c r="H314" s="171">
        <v>2024</v>
      </c>
      <c r="I314" s="173">
        <f t="shared" si="18"/>
        <v>0</v>
      </c>
      <c r="J314" s="181">
        <f>SUMIFS('Data input'!$J$556:$J$562,'Data input'!$I$556:$I$562,H314)</f>
        <v>0</v>
      </c>
      <c r="K314" s="168">
        <f t="shared" si="19"/>
        <v>0</v>
      </c>
      <c r="L314" s="181"/>
    </row>
    <row r="315" spans="8:12">
      <c r="H315" s="171">
        <v>2025</v>
      </c>
      <c r="I315" s="173">
        <f t="shared" si="18"/>
        <v>0</v>
      </c>
      <c r="J315" s="181">
        <f>SUMIFS('Data input'!$J$556:$J$562,'Data input'!$I$556:$I$562,H315)</f>
        <v>0</v>
      </c>
      <c r="K315" s="168">
        <f t="shared" si="19"/>
        <v>0</v>
      </c>
      <c r="L315" s="181"/>
    </row>
    <row r="316" spans="8:12">
      <c r="H316" s="175">
        <v>2026</v>
      </c>
      <c r="I316" s="176">
        <f t="shared" si="18"/>
        <v>0</v>
      </c>
      <c r="J316" s="295">
        <f>SUMIFS('Data input'!$J$556:$J$562,'Data input'!$I$556:$I$562,H316)</f>
        <v>0</v>
      </c>
      <c r="K316" s="178">
        <f t="shared" si="19"/>
        <v>0</v>
      </c>
      <c r="L316" s="181"/>
    </row>
    <row r="317" spans="8:12">
      <c r="I317" s="181">
        <f>SUM(I310:I316)</f>
        <v>0</v>
      </c>
      <c r="J317" s="181"/>
      <c r="K317" s="181">
        <f>SUM(K310:K316)</f>
        <v>0</v>
      </c>
    </row>
    <row r="320" spans="8:12">
      <c r="H320" s="191" t="s">
        <v>332</v>
      </c>
    </row>
    <row r="321" spans="8:13">
      <c r="H321" s="179"/>
      <c r="I321" s="172"/>
      <c r="J321" s="166"/>
      <c r="K321" s="166"/>
      <c r="L321" s="166"/>
      <c r="M321" s="192" t="s">
        <v>231</v>
      </c>
    </row>
    <row r="322" spans="8:13">
      <c r="H322" s="171"/>
      <c r="I322" s="173"/>
      <c r="J322" s="174"/>
      <c r="K322" s="174"/>
      <c r="L322" s="174"/>
      <c r="M322" s="187" t="s">
        <v>102</v>
      </c>
    </row>
    <row r="323" spans="8:13" ht="17">
      <c r="H323" s="171" t="s">
        <v>129</v>
      </c>
      <c r="I323" s="193" t="s">
        <v>94</v>
      </c>
      <c r="J323" s="158" t="s">
        <v>237</v>
      </c>
      <c r="K323" s="592" t="s">
        <v>277</v>
      </c>
      <c r="L323" s="174" t="s">
        <v>81</v>
      </c>
      <c r="M323" s="187" t="s">
        <v>333</v>
      </c>
    </row>
    <row r="324" spans="8:13" ht="17">
      <c r="H324" s="175"/>
      <c r="I324" s="176" t="s">
        <v>11</v>
      </c>
      <c r="J324" s="189" t="s">
        <v>11</v>
      </c>
      <c r="K324" s="177"/>
      <c r="L324" s="177" t="s">
        <v>11</v>
      </c>
      <c r="M324" s="178" t="s">
        <v>11</v>
      </c>
    </row>
    <row r="325" spans="8:13">
      <c r="H325" s="179">
        <v>2020</v>
      </c>
      <c r="I325" s="236">
        <f>SUMIFS($K$310:$K$316,$H$310:$H$316,H325)</f>
        <v>0</v>
      </c>
      <c r="J325" s="237">
        <f>SUMIFS($K$25:$K$31,$H$25:$H$31,H325)</f>
        <v>-240.1351806418329</v>
      </c>
      <c r="K325" s="237">
        <f>SUMIFS($K$229:$K$235,$H$229:$H$235,H325)</f>
        <v>1210.0737854285712</v>
      </c>
      <c r="L325" s="237">
        <f>SUMIFS($M$293:$M$299,$H$293:$H$299,H325)</f>
        <v>9.3210124580000002</v>
      </c>
      <c r="M325" s="238">
        <f>I325+J325-K325-L325</f>
        <v>-1459.5299785284042</v>
      </c>
    </row>
    <row r="326" spans="8:13">
      <c r="H326" s="171">
        <v>2021</v>
      </c>
      <c r="I326" s="236">
        <f t="shared" ref="I326:I331" si="20">SUMIFS($K$310:$K$316,$H$310:$H$316,H326)</f>
        <v>0</v>
      </c>
      <c r="J326" s="237">
        <f t="shared" ref="J326:J331" si="21">SUMIFS($K$25:$K$31,$H$25:$H$31,H326)</f>
        <v>-247.03611107206689</v>
      </c>
      <c r="K326" s="237">
        <f t="shared" ref="K326:K331" si="22">SUMIFS($K$229:$K$235,$H$229:$H$235,H326)</f>
        <v>1339.5478839010993</v>
      </c>
      <c r="L326" s="237">
        <f t="shared" ref="L326:L331" si="23">SUMIFS($M$293:$M$299,$H$293:$H$299,H326)</f>
        <v>110.26390000000001</v>
      </c>
      <c r="M326" s="238">
        <f t="shared" ref="M326:M331" si="24">I326+J326-K326-L326</f>
        <v>-1696.8478949731661</v>
      </c>
    </row>
    <row r="327" spans="8:13">
      <c r="H327" s="171">
        <v>2022</v>
      </c>
      <c r="I327" s="236">
        <f t="shared" si="20"/>
        <v>0</v>
      </c>
      <c r="J327" s="237">
        <f t="shared" si="21"/>
        <v>-267.77307168459993</v>
      </c>
      <c r="K327" s="237">
        <f t="shared" si="22"/>
        <v>1533.6932116666671</v>
      </c>
      <c r="L327" s="237">
        <f t="shared" si="23"/>
        <v>18.032399999999999</v>
      </c>
      <c r="M327" s="238">
        <f t="shared" si="24"/>
        <v>-1819.4986833512671</v>
      </c>
    </row>
    <row r="328" spans="8:13">
      <c r="H328" s="171">
        <v>2023</v>
      </c>
      <c r="I328" s="236">
        <f t="shared" si="20"/>
        <v>0</v>
      </c>
      <c r="J328" s="237">
        <f t="shared" si="21"/>
        <v>-217.46116422033356</v>
      </c>
      <c r="K328" s="237">
        <f t="shared" si="22"/>
        <v>1590.8837261172173</v>
      </c>
      <c r="L328" s="237">
        <f t="shared" si="23"/>
        <v>18.321400000000001</v>
      </c>
      <c r="M328" s="238">
        <f t="shared" si="24"/>
        <v>-1826.6662903375509</v>
      </c>
    </row>
    <row r="329" spans="8:13">
      <c r="H329" s="171">
        <v>2024</v>
      </c>
      <c r="I329" s="236">
        <f t="shared" si="20"/>
        <v>0</v>
      </c>
      <c r="J329" s="237">
        <f t="shared" si="21"/>
        <v>-140.90734780306684</v>
      </c>
      <c r="K329" s="237">
        <f t="shared" si="22"/>
        <v>1588.5595153205129</v>
      </c>
      <c r="L329" s="237">
        <f t="shared" si="23"/>
        <v>9</v>
      </c>
      <c r="M329" s="238">
        <f t="shared" si="24"/>
        <v>-1738.4668631235797</v>
      </c>
    </row>
    <row r="330" spans="8:13">
      <c r="H330" s="171">
        <v>2025</v>
      </c>
      <c r="I330" s="236">
        <f t="shared" si="20"/>
        <v>0</v>
      </c>
      <c r="J330" s="237">
        <f t="shared" si="21"/>
        <v>-184.15175192490005</v>
      </c>
      <c r="K330" s="237">
        <f t="shared" si="22"/>
        <v>1642.5635321703307</v>
      </c>
      <c r="L330" s="237">
        <f t="shared" si="23"/>
        <v>5.5349900000000005</v>
      </c>
      <c r="M330" s="238">
        <f t="shared" si="24"/>
        <v>-1832.2502740952309</v>
      </c>
    </row>
    <row r="331" spans="8:13">
      <c r="H331" s="175">
        <v>2026</v>
      </c>
      <c r="I331" s="239">
        <f t="shared" si="20"/>
        <v>0</v>
      </c>
      <c r="J331" s="240">
        <f t="shared" si="21"/>
        <v>-300.2354426210004</v>
      </c>
      <c r="K331" s="240">
        <f t="shared" si="22"/>
        <v>1711.9199676153858</v>
      </c>
      <c r="L331" s="240">
        <f t="shared" si="23"/>
        <v>10.025400000000001</v>
      </c>
      <c r="M331" s="241">
        <f t="shared" si="24"/>
        <v>-2022.1808102363862</v>
      </c>
    </row>
    <row r="332" spans="8:13">
      <c r="I332" s="247">
        <f>SUM(I325:I331)</f>
        <v>0</v>
      </c>
      <c r="J332" s="247">
        <f>SUM(J325:J331)</f>
        <v>-1597.7000699678006</v>
      </c>
      <c r="K332" s="247">
        <f>SUM(K325:K331)</f>
        <v>10617.241622219784</v>
      </c>
      <c r="L332" s="247">
        <f>SUM(L325:L331)</f>
        <v>180.49910245800001</v>
      </c>
      <c r="M332" s="247">
        <f>SUM(M325:M331)</f>
        <v>-12395.440794645587</v>
      </c>
    </row>
  </sheetData>
  <dataValidations count="2">
    <dataValidation type="list" allowBlank="1" showInputMessage="1" showErrorMessage="1" sqref="I22:J22" xr:uid="{EA0D6AAD-7D6E-44EB-8EB3-25AFC3E64465}">
      <formula1>$M$21:$M$22</formula1>
    </dataValidation>
    <dataValidation type="list" allowBlank="1" showInputMessage="1" showErrorMessage="1" sqref="J100:J102 I122:I123 I205:I206 I241:I242 J281:J284" xr:uid="{7F3EEC4C-4074-451C-9E7A-AC4E75F88588}">
      <formula1>$O$97:$O$98</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D0DAC-EA9B-4939-A118-D639388AFA53}">
  <dimension ref="D2:L173"/>
  <sheetViews>
    <sheetView workbookViewId="0">
      <selection activeCell="J12" sqref="J12"/>
    </sheetView>
  </sheetViews>
  <sheetFormatPr baseColWidth="10" defaultColWidth="8.83203125" defaultRowHeight="15"/>
  <cols>
    <col min="5" max="5" width="20.6640625" customWidth="1"/>
    <col min="6" max="6" width="21.5" customWidth="1"/>
    <col min="7" max="7" width="26" customWidth="1"/>
    <col min="8" max="8" width="35" customWidth="1"/>
    <col min="9" max="9" width="23.83203125" customWidth="1"/>
    <col min="10" max="10" width="26" customWidth="1"/>
    <col min="11" max="11" width="32.83203125" customWidth="1"/>
    <col min="14" max="14" width="16.5" customWidth="1"/>
  </cols>
  <sheetData>
    <row r="2" spans="4:8" s="380" customFormat="1" ht="32">
      <c r="E2" s="613" t="s">
        <v>247</v>
      </c>
    </row>
    <row r="6" spans="4:8">
      <c r="E6" s="292"/>
      <c r="F6" s="330"/>
      <c r="G6" s="330"/>
    </row>
    <row r="7" spans="4:8">
      <c r="E7" s="344" t="s">
        <v>334</v>
      </c>
      <c r="F7" s="606" t="s">
        <v>79</v>
      </c>
      <c r="G7" s="607"/>
      <c r="H7" s="330"/>
    </row>
    <row r="8" spans="4:8">
      <c r="E8" s="348" t="s">
        <v>334</v>
      </c>
      <c r="F8" s="608" t="s">
        <v>12</v>
      </c>
      <c r="G8" s="609"/>
      <c r="H8" s="330"/>
    </row>
    <row r="9" spans="4:8" ht="17">
      <c r="E9" s="348" t="s">
        <v>335</v>
      </c>
      <c r="F9" s="608" t="s">
        <v>336</v>
      </c>
      <c r="G9" s="609" t="s">
        <v>337</v>
      </c>
      <c r="H9" s="330"/>
    </row>
    <row r="10" spans="4:8" ht="17">
      <c r="E10" s="348" t="s">
        <v>334</v>
      </c>
      <c r="F10" s="608" t="s">
        <v>338</v>
      </c>
      <c r="G10" s="609" t="s">
        <v>338</v>
      </c>
      <c r="H10" s="330"/>
    </row>
    <row r="11" spans="4:8">
      <c r="D11" s="330"/>
      <c r="E11" s="344">
        <v>2020</v>
      </c>
      <c r="F11" s="605">
        <f>SUMIFS(K27:K54,E27:E54,E11)</f>
        <v>22.013102200000041</v>
      </c>
      <c r="G11" s="328">
        <f t="shared" ref="G11:G17" si="0">SUM(F11:F11)</f>
        <v>22.013102200000041</v>
      </c>
      <c r="H11" s="330"/>
    </row>
    <row r="12" spans="4:8">
      <c r="D12" s="330"/>
      <c r="E12" s="348">
        <v>2021</v>
      </c>
      <c r="F12" s="610">
        <f>SUMIFS(K28:K55,E28:E55,E12)</f>
        <v>23.531913400000047</v>
      </c>
      <c r="G12" s="332">
        <f t="shared" si="0"/>
        <v>23.531913400000047</v>
      </c>
      <c r="H12" s="330"/>
    </row>
    <row r="13" spans="4:8">
      <c r="D13" s="330"/>
      <c r="E13" s="348">
        <v>2022</v>
      </c>
      <c r="F13" s="610">
        <f>SUMIFS(K29:K56,E29:E56,E13)</f>
        <v>24.870843400000087</v>
      </c>
      <c r="G13" s="332">
        <f t="shared" si="0"/>
        <v>24.870843400000087</v>
      </c>
      <c r="H13" s="330"/>
    </row>
    <row r="14" spans="4:8">
      <c r="D14" s="330"/>
      <c r="E14" s="348">
        <v>2023</v>
      </c>
      <c r="F14" s="610">
        <f>SUMIFS(K30:K57,E30:E57,E14)</f>
        <v>26.230921600000087</v>
      </c>
      <c r="G14" s="332">
        <f t="shared" si="0"/>
        <v>26.230921600000087</v>
      </c>
      <c r="H14" s="330"/>
    </row>
    <row r="15" spans="4:8">
      <c r="D15" s="330"/>
      <c r="E15" s="348">
        <v>2024</v>
      </c>
      <c r="F15" s="610">
        <f>SUMIFS(K31:K79,E31:E79,E15)</f>
        <v>27.716905400000094</v>
      </c>
      <c r="G15" s="332">
        <f t="shared" si="0"/>
        <v>27.716905400000094</v>
      </c>
      <c r="H15" s="330"/>
    </row>
    <row r="16" spans="4:8">
      <c r="D16" s="330"/>
      <c r="E16" s="348">
        <v>2025</v>
      </c>
      <c r="F16" s="610">
        <f>SUMIFS(K32:K80,E32:E80,E16)</f>
        <v>29.183900200000103</v>
      </c>
      <c r="G16" s="332">
        <f t="shared" si="0"/>
        <v>29.183900200000103</v>
      </c>
      <c r="H16" s="330"/>
    </row>
    <row r="17" spans="4:12">
      <c r="D17" s="330"/>
      <c r="E17" s="352">
        <v>2026</v>
      </c>
      <c r="F17" s="611">
        <f>SUMIFS(K33:K81,E33:E81,E17)</f>
        <v>30.673405000000102</v>
      </c>
      <c r="G17" s="612">
        <f t="shared" si="0"/>
        <v>30.673405000000102</v>
      </c>
      <c r="H17" s="330"/>
    </row>
    <row r="18" spans="4:12">
      <c r="E18" s="330"/>
      <c r="F18" s="617">
        <f>SUM(F11:F17)</f>
        <v>184.22099120000053</v>
      </c>
      <c r="G18" s="617">
        <f>SUM(G11:G17)</f>
        <v>184.22099120000053</v>
      </c>
    </row>
    <row r="22" spans="4:12">
      <c r="E22" s="285" t="s">
        <v>339</v>
      </c>
      <c r="F22" s="330"/>
      <c r="G22" s="330"/>
    </row>
    <row r="23" spans="4:12">
      <c r="D23" s="330"/>
      <c r="E23" s="344" t="s">
        <v>334</v>
      </c>
      <c r="F23" s="346" t="s">
        <v>334</v>
      </c>
      <c r="G23" s="345" t="s">
        <v>334</v>
      </c>
      <c r="H23" s="346"/>
      <c r="I23" s="346" t="s">
        <v>334</v>
      </c>
      <c r="J23" s="346" t="s">
        <v>334</v>
      </c>
      <c r="K23" s="347" t="s">
        <v>79</v>
      </c>
    </row>
    <row r="24" spans="4:12">
      <c r="D24" s="330"/>
      <c r="E24" s="348" t="s">
        <v>334</v>
      </c>
      <c r="F24" s="350"/>
      <c r="G24" s="349"/>
      <c r="H24" s="350"/>
      <c r="I24" s="350"/>
      <c r="J24" s="350"/>
      <c r="K24" s="351" t="s">
        <v>12</v>
      </c>
    </row>
    <row r="25" spans="4:12" ht="17">
      <c r="D25" s="330"/>
      <c r="E25" s="348" t="s">
        <v>335</v>
      </c>
      <c r="F25" s="350" t="s">
        <v>340</v>
      </c>
      <c r="G25" s="229" t="s">
        <v>242</v>
      </c>
      <c r="H25" s="350" t="s">
        <v>341</v>
      </c>
      <c r="I25" s="350" t="s">
        <v>342</v>
      </c>
      <c r="J25" s="350" t="s">
        <v>343</v>
      </c>
      <c r="K25" s="389" t="s">
        <v>336</v>
      </c>
    </row>
    <row r="26" spans="4:12" ht="17">
      <c r="D26" s="330"/>
      <c r="E26" s="348" t="s">
        <v>334</v>
      </c>
      <c r="F26" s="350" t="s">
        <v>344</v>
      </c>
      <c r="G26" s="349" t="s">
        <v>334</v>
      </c>
      <c r="H26" s="350" t="s">
        <v>345</v>
      </c>
      <c r="I26" s="350" t="s">
        <v>346</v>
      </c>
      <c r="J26" s="350" t="s">
        <v>347</v>
      </c>
      <c r="K26" s="351" t="s">
        <v>338</v>
      </c>
    </row>
    <row r="27" spans="4:12">
      <c r="D27" s="330"/>
      <c r="E27" s="344">
        <v>2020</v>
      </c>
      <c r="F27" s="346" t="s">
        <v>348</v>
      </c>
      <c r="G27" s="346" t="s">
        <v>243</v>
      </c>
      <c r="H27" s="413" cm="1">
        <f t="array" ref="H27">_xlfn.XLOOKUP(E27&amp;F27&amp;G27,'Data input'!$I$572:$I$599&amp;'Data input'!$J$572:$J$599&amp;'Data input'!$K$572:$K$599,'Data input'!$L$572:$L$599)</f>
        <v>2.0099999999999998</v>
      </c>
      <c r="I27" s="414">
        <f>SUMIFS('Data input'!$L$604:$L$631,'Data input'!$I$604:$I$631,E27,'Data input'!$J$604:$J$631,F27,'Data input'!$K$604:$K$631,G27)</f>
        <v>100</v>
      </c>
      <c r="J27" s="414" cm="1">
        <f t="array" ref="J27">_xlfn.XLOOKUP(E27&amp;F27&amp;G27,'Data input'!$I$637:$I$664&amp;'Data input'!$J$637:$J$664&amp;'Data input'!$K$637:$K$664,'Data input'!$L$637:$L$664)</f>
        <v>0.01</v>
      </c>
      <c r="K27" s="415">
        <f t="shared" ref="K27:K54" si="1">I27*H27*J27</f>
        <v>2.0099999999999998</v>
      </c>
      <c r="L27" s="330"/>
    </row>
    <row r="28" spans="4:12">
      <c r="D28" s="330"/>
      <c r="E28" s="348">
        <v>2021</v>
      </c>
      <c r="F28" s="350" t="s">
        <v>348</v>
      </c>
      <c r="G28" s="350" t="s">
        <v>243</v>
      </c>
      <c r="H28" s="416" cm="1">
        <f t="array" ref="H28">_xlfn.XLOOKUP(E28&amp;F28&amp;G28,'Data input'!$I$572:$I$599&amp;'Data input'!$J$572:$J$599&amp;'Data input'!$K$572:$K$599,'Data input'!$L$572:$L$599)</f>
        <v>2.0110000000000001</v>
      </c>
      <c r="I28" s="350">
        <f>SUMIFS('Data input'!$L$604:$L$631,'Data input'!$I$604:$I$631,E28,'Data input'!$J$604:$J$631,F28,'Data input'!$K$604:$K$631,G28)</f>
        <v>101</v>
      </c>
      <c r="J28" s="350" cm="1">
        <f t="array" ref="J28">_xlfn.XLOOKUP(E28&amp;F28&amp;G28,'Data input'!$I$637:$I$664&amp;'Data input'!$J$637:$J$664&amp;'Data input'!$K$637:$K$664,'Data input'!$L$637:$L$664)</f>
        <v>1.2E-2</v>
      </c>
      <c r="K28" s="417">
        <f t="shared" si="1"/>
        <v>2.4373320000000001</v>
      </c>
      <c r="L28" s="330"/>
    </row>
    <row r="29" spans="4:12">
      <c r="D29" s="330"/>
      <c r="E29" s="348">
        <v>2022</v>
      </c>
      <c r="F29" s="350" t="s">
        <v>348</v>
      </c>
      <c r="G29" s="350" t="s">
        <v>243</v>
      </c>
      <c r="H29" s="416" cm="1">
        <f t="array" ref="H29">_xlfn.XLOOKUP(E29&amp;F29&amp;G29,'Data input'!$I$572:$I$599&amp;'Data input'!$J$572:$J$599&amp;'Data input'!$K$572:$K$599,'Data input'!$L$572:$L$599)</f>
        <v>2.012</v>
      </c>
      <c r="I29" s="350">
        <f>SUMIFS('Data input'!$L$604:$L$631,'Data input'!$I$604:$I$631,E29,'Data input'!$J$604:$J$631,F29,'Data input'!$K$604:$K$631,G29)</f>
        <v>102</v>
      </c>
      <c r="J29" s="350" cm="1">
        <f t="array" ref="J29">_xlfn.XLOOKUP(E29&amp;F29&amp;G29,'Data input'!$I$637:$I$664&amp;'Data input'!$J$637:$J$664&amp;'Data input'!$K$637:$K$664,'Data input'!$L$637:$L$664)</f>
        <v>1.2999999999999999E-2</v>
      </c>
      <c r="K29" s="417">
        <f t="shared" si="1"/>
        <v>2.6679119999999998</v>
      </c>
      <c r="L29" s="330"/>
    </row>
    <row r="30" spans="4:12">
      <c r="D30" s="330"/>
      <c r="E30" s="348">
        <v>2023</v>
      </c>
      <c r="F30" s="350" t="s">
        <v>348</v>
      </c>
      <c r="G30" s="350" t="s">
        <v>243</v>
      </c>
      <c r="H30" s="416" cm="1">
        <f t="array" ref="H30">_xlfn.XLOOKUP(E30&amp;F30&amp;G30,'Data input'!$I$572:$I$599&amp;'Data input'!$J$572:$J$599&amp;'Data input'!$K$572:$K$599,'Data input'!$L$572:$L$599)</f>
        <v>2.0129999999999999</v>
      </c>
      <c r="I30" s="350">
        <f>SUMIFS('Data input'!$L$604:$L$631,'Data input'!$I$604:$I$631,E30,'Data input'!$J$604:$J$631,F30,'Data input'!$K$604:$K$631,G30)</f>
        <v>103</v>
      </c>
      <c r="J30" s="350" cm="1">
        <f t="array" ref="J30">_xlfn.XLOOKUP(E30&amp;F30&amp;G30,'Data input'!$I$637:$I$664&amp;'Data input'!$J$637:$J$664&amp;'Data input'!$K$637:$K$664,'Data input'!$L$637:$L$664)</f>
        <v>1.4E-2</v>
      </c>
      <c r="K30" s="417">
        <f t="shared" si="1"/>
        <v>2.902746</v>
      </c>
      <c r="L30" s="330"/>
    </row>
    <row r="31" spans="4:12">
      <c r="D31" s="330"/>
      <c r="E31" s="348">
        <v>2024</v>
      </c>
      <c r="F31" s="350" t="s">
        <v>348</v>
      </c>
      <c r="G31" s="350" t="s">
        <v>243</v>
      </c>
      <c r="H31" s="416" cm="1">
        <f t="array" ref="H31">_xlfn.XLOOKUP(E31&amp;F31&amp;G31,'Data input'!$I$572:$I$599&amp;'Data input'!$J$572:$J$599&amp;'Data input'!$K$572:$K$599,'Data input'!$L$572:$L$599)</f>
        <v>2.0139999999999998</v>
      </c>
      <c r="I31" s="350">
        <f>SUMIFS('Data input'!$L$604:$L$631,'Data input'!$I$604:$I$631,E31,'Data input'!$J$604:$J$631,F31,'Data input'!$K$604:$K$631,G31)</f>
        <v>104</v>
      </c>
      <c r="J31" s="350" cm="1">
        <f t="array" ref="J31">_xlfn.XLOOKUP(E31&amp;F31&amp;G31,'Data input'!$I$637:$I$664&amp;'Data input'!$J$637:$J$664&amp;'Data input'!$K$637:$K$664,'Data input'!$L$637:$L$664)</f>
        <v>1.55E-2</v>
      </c>
      <c r="K31" s="417">
        <f t="shared" si="1"/>
        <v>3.2465679999999999</v>
      </c>
      <c r="L31" s="330"/>
    </row>
    <row r="32" spans="4:12">
      <c r="D32" s="330"/>
      <c r="E32" s="348">
        <v>2025</v>
      </c>
      <c r="F32" s="350" t="s">
        <v>348</v>
      </c>
      <c r="G32" s="350" t="s">
        <v>243</v>
      </c>
      <c r="H32" s="416" cm="1">
        <f t="array" ref="H32">_xlfn.XLOOKUP(E32&amp;F32&amp;G32,'Data input'!$I$572:$I$599&amp;'Data input'!$J$572:$J$599&amp;'Data input'!$K$572:$K$599,'Data input'!$L$572:$L$599)</f>
        <v>2.0150000000000001</v>
      </c>
      <c r="I32" s="350">
        <f>SUMIFS('Data input'!$L$604:$L$631,'Data input'!$I$604:$I$631,E32,'Data input'!$J$604:$J$631,F32,'Data input'!$K$604:$K$631,G32)</f>
        <v>105</v>
      </c>
      <c r="J32" s="350" cm="1">
        <f t="array" ref="J32">_xlfn.XLOOKUP(E32&amp;F32&amp;G32,'Data input'!$I$637:$I$664&amp;'Data input'!$J$637:$J$664&amp;'Data input'!$K$637:$K$664,'Data input'!$L$637:$L$664)</f>
        <v>1.6799999999999999E-2</v>
      </c>
      <c r="K32" s="417">
        <f t="shared" si="1"/>
        <v>3.5544600000000002</v>
      </c>
      <c r="L32" s="330"/>
    </row>
    <row r="33" spans="4:12">
      <c r="D33" s="330"/>
      <c r="E33" s="348">
        <v>2026</v>
      </c>
      <c r="F33" s="350" t="s">
        <v>348</v>
      </c>
      <c r="G33" s="350" t="s">
        <v>243</v>
      </c>
      <c r="H33" s="416" cm="1">
        <f t="array" ref="H33">_xlfn.XLOOKUP(E33&amp;F33&amp;G33,'Data input'!$I$572:$I$599&amp;'Data input'!$J$572:$J$599&amp;'Data input'!$K$572:$K$599,'Data input'!$L$572:$L$599)</f>
        <v>2.016</v>
      </c>
      <c r="I33" s="350">
        <f>SUMIFS('Data input'!$L$604:$L$631,'Data input'!$I$604:$I$631,E33,'Data input'!$J$604:$J$631,F33,'Data input'!$K$604:$K$631,G33)</f>
        <v>106</v>
      </c>
      <c r="J33" s="350" cm="1">
        <f t="array" ref="J33">_xlfn.XLOOKUP(E33&amp;F33&amp;G33,'Data input'!$I$637:$I$664&amp;'Data input'!$J$637:$J$664&amp;'Data input'!$K$637:$K$664,'Data input'!$L$637:$L$664)</f>
        <v>1.8100000000000002E-2</v>
      </c>
      <c r="K33" s="417">
        <f t="shared" si="1"/>
        <v>3.8678976000000005</v>
      </c>
      <c r="L33" s="330"/>
    </row>
    <row r="34" spans="4:12">
      <c r="D34" s="330"/>
      <c r="E34" s="348">
        <v>2020</v>
      </c>
      <c r="F34" s="350" t="s">
        <v>349</v>
      </c>
      <c r="G34" s="350" t="s">
        <v>243</v>
      </c>
      <c r="H34" s="416" cm="1">
        <f t="array" ref="H34">_xlfn.XLOOKUP(E34&amp;F34&amp;G34,'Data input'!$I$572:$I$599&amp;'Data input'!$J$572:$J$599&amp;'Data input'!$K$572:$K$599,'Data input'!$L$572:$L$599)</f>
        <v>2.0169999999999999</v>
      </c>
      <c r="I34" s="350">
        <f>SUMIFS('Data input'!$L$604:$L$631,'Data input'!$I$604:$I$631,E34,'Data input'!$J$604:$J$631,F34,'Data input'!$K$604:$K$631,G34)</f>
        <v>107</v>
      </c>
      <c r="J34" s="350" cm="1">
        <f t="array" ref="J34">_xlfn.XLOOKUP(E34&amp;F34&amp;G34,'Data input'!$I$637:$I$664&amp;'Data input'!$J$637:$J$664&amp;'Data input'!$K$637:$K$664,'Data input'!$L$637:$L$664)</f>
        <v>1.9400000000000001E-2</v>
      </c>
      <c r="K34" s="417">
        <f t="shared" si="1"/>
        <v>4.1868885999999996</v>
      </c>
      <c r="L34" s="330"/>
    </row>
    <row r="35" spans="4:12">
      <c r="D35" s="330"/>
      <c r="E35" s="348">
        <v>2021</v>
      </c>
      <c r="F35" s="350" t="s">
        <v>349</v>
      </c>
      <c r="G35" s="350" t="s">
        <v>243</v>
      </c>
      <c r="H35" s="416" cm="1">
        <f t="array" ref="H35">_xlfn.XLOOKUP(E35&amp;F35&amp;G35,'Data input'!$I$572:$I$599&amp;'Data input'!$J$572:$J$599&amp;'Data input'!$K$572:$K$599,'Data input'!$L$572:$L$599)</f>
        <v>2.0179999999999998</v>
      </c>
      <c r="I35" s="350">
        <f>SUMIFS('Data input'!$L$604:$L$631,'Data input'!$I$604:$I$631,E35,'Data input'!$J$604:$J$631,F35,'Data input'!$K$604:$K$631,G35)</f>
        <v>108</v>
      </c>
      <c r="J35" s="350" cm="1">
        <f t="array" ref="J35">_xlfn.XLOOKUP(E35&amp;F35&amp;G35,'Data input'!$I$637:$I$664&amp;'Data input'!$J$637:$J$664&amp;'Data input'!$K$637:$K$664,'Data input'!$L$637:$L$664)</f>
        <v>2.07E-2</v>
      </c>
      <c r="K35" s="417">
        <f t="shared" si="1"/>
        <v>4.5114407999999999</v>
      </c>
      <c r="L35" s="330"/>
    </row>
    <row r="36" spans="4:12">
      <c r="D36" s="330"/>
      <c r="E36" s="348">
        <v>2022</v>
      </c>
      <c r="F36" s="350" t="s">
        <v>349</v>
      </c>
      <c r="G36" s="350" t="s">
        <v>243</v>
      </c>
      <c r="H36" s="416" cm="1">
        <f t="array" ref="H36">_xlfn.XLOOKUP(E36&amp;F36&amp;G36,'Data input'!$I$572:$I$599&amp;'Data input'!$J$572:$J$599&amp;'Data input'!$K$572:$K$599,'Data input'!$L$572:$L$599)</f>
        <v>2.0190000000000001</v>
      </c>
      <c r="I36" s="350">
        <f>SUMIFS('Data input'!$L$604:$L$631,'Data input'!$I$604:$I$631,E36,'Data input'!$J$604:$J$631,F36,'Data input'!$K$604:$K$631,G36)</f>
        <v>109</v>
      </c>
      <c r="J36" s="350" cm="1">
        <f t="array" ref="J36">_xlfn.XLOOKUP(E36&amp;F36&amp;G36,'Data input'!$I$637:$I$664&amp;'Data input'!$J$637:$J$664&amp;'Data input'!$K$637:$K$664,'Data input'!$L$637:$L$664)</f>
        <v>2.1999999999999999E-2</v>
      </c>
      <c r="K36" s="417">
        <f t="shared" si="1"/>
        <v>4.8415620000000006</v>
      </c>
      <c r="L36" s="330"/>
    </row>
    <row r="37" spans="4:12">
      <c r="D37" s="330"/>
      <c r="E37" s="348">
        <v>2023</v>
      </c>
      <c r="F37" s="350" t="s">
        <v>349</v>
      </c>
      <c r="G37" s="350" t="s">
        <v>243</v>
      </c>
      <c r="H37" s="416" cm="1">
        <f t="array" ref="H37">_xlfn.XLOOKUP(E37&amp;F37&amp;G37,'Data input'!$I$572:$I$599&amp;'Data input'!$J$572:$J$599&amp;'Data input'!$K$572:$K$599,'Data input'!$L$572:$L$599)</f>
        <v>2.02</v>
      </c>
      <c r="I37" s="350">
        <f>SUMIFS('Data input'!$L$604:$L$631,'Data input'!$I$604:$I$631,E37,'Data input'!$J$604:$J$631,F37,'Data input'!$K$604:$K$631,G37)</f>
        <v>110</v>
      </c>
      <c r="J37" s="350" cm="1">
        <f t="array" ref="J37">_xlfn.XLOOKUP(E37&amp;F37&amp;G37,'Data input'!$I$637:$I$664&amp;'Data input'!$J$637:$J$664&amp;'Data input'!$K$637:$K$664,'Data input'!$L$637:$L$664)</f>
        <v>2.3300000000000001E-2</v>
      </c>
      <c r="K37" s="417">
        <f t="shared" si="1"/>
        <v>5.1772600000000004</v>
      </c>
      <c r="L37" s="330"/>
    </row>
    <row r="38" spans="4:12">
      <c r="D38" s="330"/>
      <c r="E38" s="348">
        <v>2024</v>
      </c>
      <c r="F38" s="350" t="s">
        <v>349</v>
      </c>
      <c r="G38" s="350" t="s">
        <v>243</v>
      </c>
      <c r="H38" s="416" cm="1">
        <f t="array" ref="H38">_xlfn.XLOOKUP(E38&amp;F38&amp;G38,'Data input'!$I$572:$I$599&amp;'Data input'!$J$572:$J$599&amp;'Data input'!$K$572:$K$599,'Data input'!$L$572:$L$599)</f>
        <v>2.0209999999999999</v>
      </c>
      <c r="I38" s="350">
        <f>SUMIFS('Data input'!$L$604:$L$631,'Data input'!$I$604:$I$631,E38,'Data input'!$J$604:$J$631,F38,'Data input'!$K$604:$K$631,G38)</f>
        <v>111</v>
      </c>
      <c r="J38" s="350" cm="1">
        <f t="array" ref="J38">_xlfn.XLOOKUP(E38&amp;F38&amp;G38,'Data input'!$I$637:$I$664&amp;'Data input'!$J$637:$J$664&amp;'Data input'!$K$637:$K$664,'Data input'!$L$637:$L$664)</f>
        <v>2.46E-2</v>
      </c>
      <c r="K38" s="417">
        <f t="shared" si="1"/>
        <v>5.5185426</v>
      </c>
      <c r="L38" s="330"/>
    </row>
    <row r="39" spans="4:12">
      <c r="D39" s="330"/>
      <c r="E39" s="348">
        <v>2025</v>
      </c>
      <c r="F39" s="350" t="s">
        <v>349</v>
      </c>
      <c r="G39" s="350" t="s">
        <v>243</v>
      </c>
      <c r="H39" s="416" cm="1">
        <f t="array" ref="H39">_xlfn.XLOOKUP(E39&amp;F39&amp;G39,'Data input'!$I$572:$I$599&amp;'Data input'!$J$572:$J$599&amp;'Data input'!$K$572:$K$599,'Data input'!$L$572:$L$599)</f>
        <v>2.0219999999999998</v>
      </c>
      <c r="I39" s="350">
        <f>SUMIFS('Data input'!$L$604:$L$631,'Data input'!$I$604:$I$631,E39,'Data input'!$J$604:$J$631,F39,'Data input'!$K$604:$K$631,G39)</f>
        <v>112</v>
      </c>
      <c r="J39" s="350" cm="1">
        <f t="array" ref="J39">_xlfn.XLOOKUP(E39&amp;F39&amp;G39,'Data input'!$I$637:$I$664&amp;'Data input'!$J$637:$J$664&amp;'Data input'!$K$637:$K$664,'Data input'!$L$637:$L$664)</f>
        <v>2.5899999999999999E-2</v>
      </c>
      <c r="K39" s="417">
        <f t="shared" si="1"/>
        <v>5.8654175999999989</v>
      </c>
      <c r="L39" s="330"/>
    </row>
    <row r="40" spans="4:12">
      <c r="D40" s="330"/>
      <c r="E40" s="348">
        <v>2026</v>
      </c>
      <c r="F40" s="350" t="s">
        <v>349</v>
      </c>
      <c r="G40" s="350" t="s">
        <v>243</v>
      </c>
      <c r="H40" s="416" cm="1">
        <f t="array" ref="H40">_xlfn.XLOOKUP(E40&amp;F40&amp;G40,'Data input'!$I$572:$I$599&amp;'Data input'!$J$572:$J$599&amp;'Data input'!$K$572:$K$599,'Data input'!$L$572:$L$599)</f>
        <v>2.0230000000000001</v>
      </c>
      <c r="I40" s="350">
        <f>SUMIFS('Data input'!$L$604:$L$631,'Data input'!$I$604:$I$631,E40,'Data input'!$J$604:$J$631,F40,'Data input'!$K$604:$K$631,G40)</f>
        <v>113</v>
      </c>
      <c r="J40" s="350" cm="1">
        <f t="array" ref="J40">_xlfn.XLOOKUP(E40&amp;F40&amp;G40,'Data input'!$I$637:$I$664&amp;'Data input'!$J$637:$J$664&amp;'Data input'!$K$637:$K$664,'Data input'!$L$637:$L$664)</f>
        <v>2.7199999999999998E-2</v>
      </c>
      <c r="K40" s="417">
        <f t="shared" si="1"/>
        <v>6.2178928000000004</v>
      </c>
      <c r="L40" s="330"/>
    </row>
    <row r="41" spans="4:12">
      <c r="D41" s="330"/>
      <c r="E41" s="348">
        <v>2020</v>
      </c>
      <c r="F41" s="350" t="s">
        <v>348</v>
      </c>
      <c r="G41" s="350" t="s">
        <v>244</v>
      </c>
      <c r="H41" s="416" cm="1">
        <f t="array" ref="H41">_xlfn.XLOOKUP(E41&amp;F41&amp;G41,'Data input'!$I$572:$I$599&amp;'Data input'!$J$572:$J$599&amp;'Data input'!$K$572:$K$599,'Data input'!$L$572:$L$599)</f>
        <v>2.024</v>
      </c>
      <c r="I41" s="350">
        <f>SUMIFS('Data input'!$L$604:$L$631,'Data input'!$I$604:$I$631,E41,'Data input'!$J$604:$J$631,F41,'Data input'!$K$604:$K$631,G41)</f>
        <v>114</v>
      </c>
      <c r="J41" s="350" cm="1">
        <f t="array" ref="J41">_xlfn.XLOOKUP(E41&amp;F41&amp;G41,'Data input'!$I$637:$I$664&amp;'Data input'!$J$637:$J$664&amp;'Data input'!$K$637:$K$664,'Data input'!$L$637:$L$664)</f>
        <v>2.8500000000000001E-2</v>
      </c>
      <c r="K41" s="417">
        <f t="shared" si="1"/>
        <v>6.5759759999999998</v>
      </c>
      <c r="L41" s="330"/>
    </row>
    <row r="42" spans="4:12">
      <c r="D42" s="330"/>
      <c r="E42" s="348">
        <v>2021</v>
      </c>
      <c r="F42" s="350" t="s">
        <v>348</v>
      </c>
      <c r="G42" s="350" t="s">
        <v>244</v>
      </c>
      <c r="H42" s="416" cm="1">
        <f t="array" ref="H42">_xlfn.XLOOKUP(E42&amp;F42&amp;G42,'Data input'!$I$572:$I$599&amp;'Data input'!$J$572:$J$599&amp;'Data input'!$K$572:$K$599,'Data input'!$L$572:$L$599)</f>
        <v>2.0249999999999999</v>
      </c>
      <c r="I42" s="350">
        <f>SUMIFS('Data input'!$L$604:$L$631,'Data input'!$I$604:$I$631,E42,'Data input'!$J$604:$J$631,F42,'Data input'!$K$604:$K$631,G42)</f>
        <v>115</v>
      </c>
      <c r="J42" s="350" cm="1">
        <f t="array" ref="J42">_xlfn.XLOOKUP(E42&amp;F42&amp;G42,'Data input'!$I$637:$I$664&amp;'Data input'!$J$637:$J$664&amp;'Data input'!$K$637:$K$664,'Data input'!$L$637:$L$664)</f>
        <v>2.98E-2</v>
      </c>
      <c r="K42" s="417">
        <f t="shared" si="1"/>
        <v>6.9396750000000003</v>
      </c>
      <c r="L42" s="330"/>
    </row>
    <row r="43" spans="4:12">
      <c r="D43" s="330"/>
      <c r="E43" s="348">
        <v>2022</v>
      </c>
      <c r="F43" s="350" t="s">
        <v>348</v>
      </c>
      <c r="G43" s="350" t="s">
        <v>244</v>
      </c>
      <c r="H43" s="416" cm="1">
        <f t="array" ref="H43">_xlfn.XLOOKUP(E43&amp;F43&amp;G43,'Data input'!$I$572:$I$599&amp;'Data input'!$J$572:$J$599&amp;'Data input'!$K$572:$K$599,'Data input'!$L$572:$L$599)</f>
        <v>2.02600000000001</v>
      </c>
      <c r="I43" s="350">
        <f>SUMIFS('Data input'!$L$604:$L$631,'Data input'!$I$604:$I$631,E43,'Data input'!$J$604:$J$631,F43,'Data input'!$K$604:$K$631,G43)</f>
        <v>116</v>
      </c>
      <c r="J43" s="350" cm="1">
        <f t="array" ref="J43">_xlfn.XLOOKUP(E43&amp;F43&amp;G43,'Data input'!$I$637:$I$664&amp;'Data input'!$J$637:$J$664&amp;'Data input'!$K$637:$K$664,'Data input'!$L$637:$L$664)</f>
        <v>3.1099999999999999E-2</v>
      </c>
      <c r="K43" s="417">
        <f t="shared" si="1"/>
        <v>7.3089976000000361</v>
      </c>
      <c r="L43" s="330"/>
    </row>
    <row r="44" spans="4:12">
      <c r="D44" s="330"/>
      <c r="E44" s="348">
        <v>2023</v>
      </c>
      <c r="F44" s="350" t="s">
        <v>348</v>
      </c>
      <c r="G44" s="350" t="s">
        <v>244</v>
      </c>
      <c r="H44" s="416" cm="1">
        <f t="array" ref="H44">_xlfn.XLOOKUP(E44&amp;F44&amp;G44,'Data input'!$I$572:$I$599&amp;'Data input'!$J$572:$J$599&amp;'Data input'!$K$572:$K$599,'Data input'!$L$572:$L$599)</f>
        <v>2.0270000000000099</v>
      </c>
      <c r="I44" s="350">
        <f>SUMIFS('Data input'!$L$604:$L$631,'Data input'!$I$604:$I$631,E44,'Data input'!$J$604:$J$631,F44,'Data input'!$K$604:$K$631,G44)</f>
        <v>117</v>
      </c>
      <c r="J44" s="350" cm="1">
        <f t="array" ref="J44">_xlfn.XLOOKUP(E44&amp;F44&amp;G44,'Data input'!$I$637:$I$664&amp;'Data input'!$J$637:$J$664&amp;'Data input'!$K$637:$K$664,'Data input'!$L$637:$L$664)</f>
        <v>3.2399999999999998E-2</v>
      </c>
      <c r="K44" s="417">
        <f t="shared" si="1"/>
        <v>7.6839516000000367</v>
      </c>
      <c r="L44" s="330"/>
    </row>
    <row r="45" spans="4:12">
      <c r="D45" s="330"/>
      <c r="E45" s="348">
        <v>2024</v>
      </c>
      <c r="F45" s="350" t="s">
        <v>348</v>
      </c>
      <c r="G45" s="350" t="s">
        <v>244</v>
      </c>
      <c r="H45" s="416" cm="1">
        <f t="array" ref="H45">_xlfn.XLOOKUP(E45&amp;F45&amp;G45,'Data input'!$I$572:$I$599&amp;'Data input'!$J$572:$J$599&amp;'Data input'!$K$572:$K$599,'Data input'!$L$572:$L$599)</f>
        <v>2.0280000000000098</v>
      </c>
      <c r="I45" s="350">
        <f>SUMIFS('Data input'!$L$604:$L$631,'Data input'!$I$604:$I$631,E45,'Data input'!$J$604:$J$631,F45,'Data input'!$K$604:$K$631,G45)</f>
        <v>118</v>
      </c>
      <c r="J45" s="350" cm="1">
        <f t="array" ref="J45">_xlfn.XLOOKUP(E45&amp;F45&amp;G45,'Data input'!$I$637:$I$664&amp;'Data input'!$J$637:$J$664&amp;'Data input'!$K$637:$K$664,'Data input'!$L$637:$L$664)</f>
        <v>3.3700000000000001E-2</v>
      </c>
      <c r="K45" s="417">
        <f t="shared" si="1"/>
        <v>8.0645448000000393</v>
      </c>
      <c r="L45" s="330"/>
    </row>
    <row r="46" spans="4:12">
      <c r="D46" s="330"/>
      <c r="E46" s="348">
        <v>2025</v>
      </c>
      <c r="F46" s="350" t="s">
        <v>348</v>
      </c>
      <c r="G46" s="350" t="s">
        <v>244</v>
      </c>
      <c r="H46" s="416" cm="1">
        <f t="array" ref="H46">_xlfn.XLOOKUP(E46&amp;F46&amp;G46,'Data input'!$I$572:$I$599&amp;'Data input'!$J$572:$J$599&amp;'Data input'!$K$572:$K$599,'Data input'!$L$572:$L$599)</f>
        <v>2.0290000000000101</v>
      </c>
      <c r="I46" s="350">
        <f>SUMIFS('Data input'!$L$604:$L$631,'Data input'!$I$604:$I$631,E46,'Data input'!$J$604:$J$631,F46,'Data input'!$K$604:$K$631,G46)</f>
        <v>119</v>
      </c>
      <c r="J46" s="350" cm="1">
        <f t="array" ref="J46">_xlfn.XLOOKUP(E46&amp;F46&amp;G46,'Data input'!$I$637:$I$664&amp;'Data input'!$J$637:$J$664&amp;'Data input'!$K$637:$K$664,'Data input'!$L$637:$L$664)</f>
        <v>3.5000000000000003E-2</v>
      </c>
      <c r="K46" s="417">
        <f t="shared" si="1"/>
        <v>8.4507850000000442</v>
      </c>
      <c r="L46" s="330"/>
    </row>
    <row r="47" spans="4:12">
      <c r="D47" s="330"/>
      <c r="E47" s="348">
        <v>2026</v>
      </c>
      <c r="F47" s="350" t="s">
        <v>348</v>
      </c>
      <c r="G47" s="350" t="s">
        <v>244</v>
      </c>
      <c r="H47" s="416" cm="1">
        <f t="array" ref="H47">_xlfn.XLOOKUP(E47&amp;F47&amp;G47,'Data input'!$I$572:$I$599&amp;'Data input'!$J$572:$J$599&amp;'Data input'!$K$572:$K$599,'Data input'!$L$572:$L$599)</f>
        <v>2.03000000000001</v>
      </c>
      <c r="I47" s="350">
        <f>SUMIFS('Data input'!$L$604:$L$631,'Data input'!$I$604:$I$631,E47,'Data input'!$J$604:$J$631,F47,'Data input'!$K$604:$K$631,G47)</f>
        <v>120</v>
      </c>
      <c r="J47" s="350" cm="1">
        <f t="array" ref="J47">_xlfn.XLOOKUP(E47&amp;F47&amp;G47,'Data input'!$I$637:$I$664&amp;'Data input'!$J$637:$J$664&amp;'Data input'!$K$637:$K$664,'Data input'!$L$637:$L$664)</f>
        <v>3.6299999999999999E-2</v>
      </c>
      <c r="K47" s="417">
        <f t="shared" si="1"/>
        <v>8.8426800000000441</v>
      </c>
      <c r="L47" s="330"/>
    </row>
    <row r="48" spans="4:12">
      <c r="D48" s="330"/>
      <c r="E48" s="348">
        <v>2020</v>
      </c>
      <c r="F48" s="350" t="s">
        <v>349</v>
      </c>
      <c r="G48" s="350" t="s">
        <v>244</v>
      </c>
      <c r="H48" s="416" cm="1">
        <f t="array" ref="H48">_xlfn.XLOOKUP(E48&amp;F48&amp;G48,'Data input'!$I$572:$I$599&amp;'Data input'!$J$572:$J$599&amp;'Data input'!$K$572:$K$599,'Data input'!$L$572:$L$599)</f>
        <v>2.0310000000000099</v>
      </c>
      <c r="I48" s="350">
        <f>SUMIFS('Data input'!$L$604:$L$631,'Data input'!$I$604:$I$631,E48,'Data input'!$J$604:$J$631,F48,'Data input'!$K$604:$K$631,G48)</f>
        <v>121</v>
      </c>
      <c r="J48" s="350" cm="1">
        <f t="array" ref="J48">_xlfn.XLOOKUP(E48&amp;F48&amp;G48,'Data input'!$I$637:$I$664&amp;'Data input'!$J$637:$J$664&amp;'Data input'!$K$637:$K$664,'Data input'!$L$637:$L$664)</f>
        <v>3.7600000000000001E-2</v>
      </c>
      <c r="K48" s="417">
        <f t="shared" si="1"/>
        <v>9.2402376000000448</v>
      </c>
      <c r="L48" s="330"/>
    </row>
    <row r="49" spans="4:12">
      <c r="D49" s="330"/>
      <c r="E49" s="348">
        <v>2021</v>
      </c>
      <c r="F49" s="350" t="s">
        <v>349</v>
      </c>
      <c r="G49" s="350" t="s">
        <v>244</v>
      </c>
      <c r="H49" s="416" cm="1">
        <f t="array" ref="H49">_xlfn.XLOOKUP(E49&amp;F49&amp;G49,'Data input'!$I$572:$I$599&amp;'Data input'!$J$572:$J$599&amp;'Data input'!$K$572:$K$599,'Data input'!$L$572:$L$599)</f>
        <v>2.0320000000000098</v>
      </c>
      <c r="I49" s="350">
        <f>SUMIFS('Data input'!$L$604:$L$631,'Data input'!$I$604:$I$631,E49,'Data input'!$J$604:$J$631,F49,'Data input'!$K$604:$K$631,G49)</f>
        <v>122</v>
      </c>
      <c r="J49" s="350" cm="1">
        <f t="array" ref="J49">_xlfn.XLOOKUP(E49&amp;F49&amp;G49,'Data input'!$I$637:$I$664&amp;'Data input'!$J$637:$J$664&amp;'Data input'!$K$637:$K$664,'Data input'!$L$637:$L$664)</f>
        <v>3.8899999999999997E-2</v>
      </c>
      <c r="K49" s="417">
        <f t="shared" si="1"/>
        <v>9.6434656000000452</v>
      </c>
      <c r="L49" s="330"/>
    </row>
    <row r="50" spans="4:12">
      <c r="D50" s="330"/>
      <c r="E50" s="348">
        <v>2022</v>
      </c>
      <c r="F50" s="350" t="s">
        <v>349</v>
      </c>
      <c r="G50" s="350" t="s">
        <v>244</v>
      </c>
      <c r="H50" s="416" cm="1">
        <f t="array" ref="H50">_xlfn.XLOOKUP(E50&amp;F50&amp;G50,'Data input'!$I$572:$I$599&amp;'Data input'!$J$572:$J$599&amp;'Data input'!$K$572:$K$599,'Data input'!$L$572:$L$599)</f>
        <v>2.0330000000000101</v>
      </c>
      <c r="I50" s="350">
        <f>SUMIFS('Data input'!$L$604:$L$631,'Data input'!$I$604:$I$631,E50,'Data input'!$J$604:$J$631,F50,'Data input'!$K$604:$K$631,G50)</f>
        <v>123</v>
      </c>
      <c r="J50" s="350" cm="1">
        <f t="array" ref="J50">_xlfn.XLOOKUP(E50&amp;F50&amp;G50,'Data input'!$I$637:$I$664&amp;'Data input'!$J$637:$J$664&amp;'Data input'!$K$637:$K$664,'Data input'!$L$637:$L$664)</f>
        <v>4.02E-2</v>
      </c>
      <c r="K50" s="417">
        <f t="shared" si="1"/>
        <v>10.052371800000049</v>
      </c>
      <c r="L50" s="330"/>
    </row>
    <row r="51" spans="4:12">
      <c r="D51" s="330"/>
      <c r="E51" s="348">
        <v>2023</v>
      </c>
      <c r="F51" s="350" t="s">
        <v>349</v>
      </c>
      <c r="G51" s="350" t="s">
        <v>244</v>
      </c>
      <c r="H51" s="416" cm="1">
        <f t="array" ref="H51">_xlfn.XLOOKUP(E51&amp;F51&amp;G51,'Data input'!$I$572:$I$599&amp;'Data input'!$J$572:$J$599&amp;'Data input'!$K$572:$K$599,'Data input'!$L$572:$L$599)</f>
        <v>2.03400000000001</v>
      </c>
      <c r="I51" s="350">
        <f>SUMIFS('Data input'!$L$604:$L$631,'Data input'!$I$604:$I$631,E51,'Data input'!$J$604:$J$631,F51,'Data input'!$K$604:$K$631,G51)</f>
        <v>124</v>
      </c>
      <c r="J51" s="350" cm="1">
        <f t="array" ref="J51">_xlfn.XLOOKUP(E51&amp;F51&amp;G51,'Data input'!$I$637:$I$664&amp;'Data input'!$J$637:$J$664&amp;'Data input'!$K$637:$K$664,'Data input'!$L$637:$L$664)</f>
        <v>4.1500000000000002E-2</v>
      </c>
      <c r="K51" s="417">
        <f t="shared" si="1"/>
        <v>10.466964000000052</v>
      </c>
      <c r="L51" s="330"/>
    </row>
    <row r="52" spans="4:12">
      <c r="D52" s="330"/>
      <c r="E52" s="348">
        <v>2024</v>
      </c>
      <c r="F52" s="350" t="s">
        <v>349</v>
      </c>
      <c r="G52" s="350" t="s">
        <v>244</v>
      </c>
      <c r="H52" s="416" cm="1">
        <f t="array" ref="H52">_xlfn.XLOOKUP(E52&amp;F52&amp;G52,'Data input'!$I$572:$I$599&amp;'Data input'!$J$572:$J$599&amp;'Data input'!$K$572:$K$599,'Data input'!$L$572:$L$599)</f>
        <v>2.0350000000000099</v>
      </c>
      <c r="I52" s="350">
        <f>SUMIFS('Data input'!$L$604:$L$631,'Data input'!$I$604:$I$631,E52,'Data input'!$J$604:$J$631,F52,'Data input'!$K$604:$K$631,G52)</f>
        <v>125</v>
      </c>
      <c r="J52" s="350" cm="1">
        <f t="array" ref="J52">_xlfn.XLOOKUP(E52&amp;F52&amp;G52,'Data input'!$I$637:$I$664&amp;'Data input'!$J$637:$J$664&amp;'Data input'!$K$637:$K$664,'Data input'!$L$637:$L$664)</f>
        <v>4.2799999999999998E-2</v>
      </c>
      <c r="K52" s="417">
        <f t="shared" si="1"/>
        <v>10.887250000000053</v>
      </c>
      <c r="L52" s="330"/>
    </row>
    <row r="53" spans="4:12">
      <c r="D53" s="330"/>
      <c r="E53" s="348">
        <v>2025</v>
      </c>
      <c r="F53" s="350" t="s">
        <v>349</v>
      </c>
      <c r="G53" s="350" t="s">
        <v>244</v>
      </c>
      <c r="H53" s="416" cm="1">
        <f t="array" ref="H53">_xlfn.XLOOKUP(E53&amp;F53&amp;G53,'Data input'!$I$572:$I$599&amp;'Data input'!$J$572:$J$599&amp;'Data input'!$K$572:$K$599,'Data input'!$L$572:$L$599)</f>
        <v>2.0360000000000098</v>
      </c>
      <c r="I53" s="350">
        <f>SUMIFS('Data input'!$L$604:$L$631,'Data input'!$I$604:$I$631,E53,'Data input'!$J$604:$J$631,F53,'Data input'!$K$604:$K$631,G53)</f>
        <v>126</v>
      </c>
      <c r="J53" s="350" cm="1">
        <f t="array" ref="J53">_xlfn.XLOOKUP(E53&amp;F53&amp;G53,'Data input'!$I$637:$I$664&amp;'Data input'!$J$637:$J$664&amp;'Data input'!$K$637:$K$664,'Data input'!$L$637:$L$664)</f>
        <v>4.41E-2</v>
      </c>
      <c r="K53" s="417">
        <f t="shared" si="1"/>
        <v>11.313237600000056</v>
      </c>
      <c r="L53" s="330"/>
    </row>
    <row r="54" spans="4:12">
      <c r="D54" s="330"/>
      <c r="E54" s="352">
        <v>2026</v>
      </c>
      <c r="F54" s="353" t="s">
        <v>349</v>
      </c>
      <c r="G54" s="353" t="s">
        <v>244</v>
      </c>
      <c r="H54" s="418" cm="1">
        <f t="array" ref="H54">_xlfn.XLOOKUP(E54&amp;F54&amp;G54,'Data input'!$I$572:$I$599&amp;'Data input'!$J$572:$J$599&amp;'Data input'!$K$572:$K$599,'Data input'!$L$572:$L$599)</f>
        <v>2.0370000000000101</v>
      </c>
      <c r="I54" s="419">
        <f>SUMIFS('Data input'!$L$604:$L$631,'Data input'!$I$604:$I$631,E54,'Data input'!$J$604:$J$631,F54,'Data input'!$K$604:$K$631,G54)</f>
        <v>127</v>
      </c>
      <c r="J54" s="419" cm="1">
        <f t="array" ref="J54">_xlfn.XLOOKUP(E54&amp;F54&amp;G54,'Data input'!$I$637:$I$664&amp;'Data input'!$J$637:$J$664&amp;'Data input'!$K$637:$K$664,'Data input'!$L$637:$L$664)</f>
        <v>4.5400000000000003E-2</v>
      </c>
      <c r="K54" s="420">
        <f t="shared" si="1"/>
        <v>11.744934600000057</v>
      </c>
      <c r="L54" s="330"/>
    </row>
    <row r="55" spans="4:12">
      <c r="E55" s="330"/>
      <c r="F55" s="330"/>
      <c r="G55" s="330"/>
      <c r="H55" s="330"/>
      <c r="I55" s="330"/>
      <c r="J55" s="330"/>
      <c r="K55" s="421">
        <f>SUM(K27:K54)</f>
        <v>184.22099120000055</v>
      </c>
    </row>
    <row r="62" spans="4:12" s="380" customFormat="1" ht="45.75" customHeight="1">
      <c r="E62" s="613" t="s">
        <v>350</v>
      </c>
    </row>
    <row r="66" spans="5:8">
      <c r="E66" s="292"/>
    </row>
    <row r="67" spans="5:8">
      <c r="E67" s="344" t="s">
        <v>334</v>
      </c>
      <c r="F67" s="606" t="s">
        <v>79</v>
      </c>
      <c r="G67" s="607"/>
    </row>
    <row r="68" spans="5:8">
      <c r="E68" s="348" t="s">
        <v>334</v>
      </c>
      <c r="F68" s="608" t="s">
        <v>12</v>
      </c>
      <c r="G68" s="609"/>
    </row>
    <row r="69" spans="5:8" ht="17">
      <c r="E69" s="348" t="s">
        <v>335</v>
      </c>
      <c r="F69" s="614" t="s">
        <v>336</v>
      </c>
      <c r="G69" s="609" t="s">
        <v>351</v>
      </c>
    </row>
    <row r="70" spans="5:8" ht="17">
      <c r="E70" s="348" t="s">
        <v>334</v>
      </c>
      <c r="F70" s="608" t="s">
        <v>338</v>
      </c>
      <c r="G70" s="609" t="s">
        <v>338</v>
      </c>
    </row>
    <row r="71" spans="5:8">
      <c r="E71" s="344">
        <v>2020</v>
      </c>
      <c r="F71" s="605">
        <f>SUMIFS('Tool 05 Calcs'!$K$88:$K$115,'Tool 05 Calcs'!$E$88:$E$115,E71)</f>
        <v>235.11745249999998</v>
      </c>
      <c r="G71" s="328">
        <f t="shared" ref="G71:G77" si="2">SUM(F71:F71)</f>
        <v>235.11745249999998</v>
      </c>
      <c r="H71" s="330"/>
    </row>
    <row r="72" spans="5:8">
      <c r="E72" s="348">
        <v>2021</v>
      </c>
      <c r="F72" s="610">
        <f>SUMIFS('Tool 05 Calcs'!$K$88:$K$115,'Tool 05 Calcs'!$E$88:$E$115,E72)</f>
        <v>265.83561250000002</v>
      </c>
      <c r="G72" s="332">
        <f t="shared" si="2"/>
        <v>265.83561250000002</v>
      </c>
      <c r="H72" s="330"/>
    </row>
    <row r="73" spans="5:8">
      <c r="E73" s="348">
        <v>2022</v>
      </c>
      <c r="F73" s="610">
        <f>SUMIFS('Tool 05 Calcs'!$K$88:$K$115,'Tool 05 Calcs'!$E$88:$E$115,E73)</f>
        <v>298.4754575</v>
      </c>
      <c r="G73" s="332">
        <f t="shared" si="2"/>
        <v>298.4754575</v>
      </c>
      <c r="H73" s="330"/>
    </row>
    <row r="74" spans="5:8">
      <c r="E74" s="348">
        <v>2023</v>
      </c>
      <c r="F74" s="610">
        <f>SUMIFS('Tool 05 Calcs'!$K$88:$K$115,'Tool 05 Calcs'!$E$88:$E$115,E74)</f>
        <v>255.29808500000001</v>
      </c>
      <c r="G74" s="332">
        <f t="shared" si="2"/>
        <v>255.29808500000001</v>
      </c>
      <c r="H74" s="330"/>
    </row>
    <row r="75" spans="5:8">
      <c r="E75" s="348">
        <v>2024</v>
      </c>
      <c r="F75" s="610">
        <f>SUMIFS('Tool 05 Calcs'!$K$88:$K$115,'Tool 05 Calcs'!$E$88:$E$115,E75)</f>
        <v>196.49341687500018</v>
      </c>
      <c r="G75" s="332">
        <f t="shared" si="2"/>
        <v>196.49341687500018</v>
      </c>
      <c r="H75" s="330"/>
    </row>
    <row r="76" spans="5:8">
      <c r="E76" s="348">
        <v>2025</v>
      </c>
      <c r="F76" s="610">
        <f>SUMIFS('Tool 05 Calcs'!$K$88:$K$115,'Tool 05 Calcs'!$E$88:$E$115,E76)</f>
        <v>255.29556500000035</v>
      </c>
      <c r="G76" s="332">
        <f t="shared" si="2"/>
        <v>255.29556500000035</v>
      </c>
      <c r="H76" s="330"/>
    </row>
    <row r="77" spans="5:8">
      <c r="E77" s="352">
        <v>2026</v>
      </c>
      <c r="F77" s="611">
        <f>SUMIFS('Tool 05 Calcs'!$K$88:$K$115,'Tool 05 Calcs'!$E$88:$E$115,E77)</f>
        <v>379.63149875000073</v>
      </c>
      <c r="G77" s="612">
        <f t="shared" si="2"/>
        <v>379.63149875000073</v>
      </c>
      <c r="H77" s="330"/>
    </row>
    <row r="78" spans="5:8">
      <c r="F78" s="617">
        <f>SUM(F71:F77)</f>
        <v>1886.1470881250013</v>
      </c>
      <c r="G78" s="617">
        <f>SUM(G71:G77)</f>
        <v>1886.1470881250013</v>
      </c>
    </row>
    <row r="83" spans="5:12">
      <c r="E83" s="292" t="s">
        <v>352</v>
      </c>
    </row>
    <row r="84" spans="5:12">
      <c r="E84" s="344" t="s">
        <v>334</v>
      </c>
      <c r="F84" s="346" t="s">
        <v>334</v>
      </c>
      <c r="G84" s="345" t="s">
        <v>334</v>
      </c>
      <c r="H84" s="346"/>
      <c r="I84" s="346" t="s">
        <v>334</v>
      </c>
      <c r="J84" s="346" t="s">
        <v>334</v>
      </c>
      <c r="K84" s="607" t="s">
        <v>79</v>
      </c>
    </row>
    <row r="85" spans="5:12">
      <c r="E85" s="348" t="s">
        <v>334</v>
      </c>
      <c r="F85" s="370"/>
      <c r="G85" s="349"/>
      <c r="H85" s="370"/>
      <c r="I85" s="370"/>
      <c r="J85" s="370"/>
      <c r="K85" s="609" t="s">
        <v>12</v>
      </c>
    </row>
    <row r="86" spans="5:12" ht="17">
      <c r="E86" s="348" t="s">
        <v>335</v>
      </c>
      <c r="F86" s="370" t="s">
        <v>340</v>
      </c>
      <c r="G86" s="229" t="s">
        <v>242</v>
      </c>
      <c r="H86" s="370" t="s">
        <v>341</v>
      </c>
      <c r="I86" s="370" t="s">
        <v>342</v>
      </c>
      <c r="J86" s="370" t="s">
        <v>343</v>
      </c>
      <c r="K86" s="615" t="s">
        <v>353</v>
      </c>
    </row>
    <row r="87" spans="5:12" ht="17">
      <c r="E87" s="348" t="s">
        <v>334</v>
      </c>
      <c r="F87" s="370" t="s">
        <v>344</v>
      </c>
      <c r="G87" s="349" t="s">
        <v>334</v>
      </c>
      <c r="H87" s="350" t="s">
        <v>345</v>
      </c>
      <c r="I87" s="350" t="s">
        <v>346</v>
      </c>
      <c r="J87" s="350" t="s">
        <v>347</v>
      </c>
      <c r="K87" s="609" t="s">
        <v>338</v>
      </c>
    </row>
    <row r="88" spans="5:12">
      <c r="E88" s="344">
        <v>2020</v>
      </c>
      <c r="F88" s="346" t="s">
        <v>348</v>
      </c>
      <c r="G88" s="346" t="s">
        <v>243</v>
      </c>
      <c r="H88" s="344" cm="1">
        <f t="array" ref="H88">_xlfn.XLOOKUP(E88&amp;F88&amp;G88,'Data input'!$I$675:$I$702&amp;'Data input'!$J$675:$J$702&amp;'Data input'!$K$675:$K$702,'Data input'!$L$675:$L$702)</f>
        <v>2.3976562499999998</v>
      </c>
      <c r="I88" s="346">
        <f>SUMIFS('Data input'!$L$707:$L$734,'Data input'!$I$707:$I$734,E88,'Data input'!$J$707:$J$734,F88,'Data input'!$K$707:$K$734,G88)</f>
        <v>100</v>
      </c>
      <c r="J88" s="346" cm="1">
        <f t="array" ref="J88">_xlfn.XLOOKUP(E88&amp;F88&amp;G88,'Data input'!$I$740:$I$767&amp;'Data input'!$J$740:$J$767&amp;'Data input'!$K$740:$K$767,'Data input'!$L$740:$L$767)</f>
        <v>0.03</v>
      </c>
      <c r="K88" s="607">
        <f t="shared" ref="K88:K115" si="3">I88*H88*J88</f>
        <v>7.1929687499999986</v>
      </c>
      <c r="L88" s="330"/>
    </row>
    <row r="89" spans="5:12">
      <c r="E89" s="348">
        <v>2021</v>
      </c>
      <c r="F89" s="370" t="s">
        <v>348</v>
      </c>
      <c r="G89" s="350" t="s">
        <v>243</v>
      </c>
      <c r="H89" s="348" cm="1">
        <f t="array" ref="H89">_xlfn.XLOOKUP(E89&amp;F89&amp;G89,'Data input'!$I$675:$I$702&amp;'Data input'!$J$675:$J$702&amp;'Data input'!$K$675:$K$702,'Data input'!$L$675:$L$702)</f>
        <v>2.39775625</v>
      </c>
      <c r="I89" s="350">
        <f>SUMIFS('Data input'!$L$707:$L$734,'Data input'!$I$707:$I$734,E89,'Data input'!$J$707:$J$734,F89,'Data input'!$K$707:$K$734,G89)</f>
        <v>110</v>
      </c>
      <c r="J89" s="350" cm="1">
        <f t="array" ref="J89">_xlfn.XLOOKUP(E89&amp;F89&amp;G89,'Data input'!$I$740:$I$767&amp;'Data input'!$J$740:$J$767&amp;'Data input'!$K$740:$K$767,'Data input'!$L$740:$L$767)</f>
        <v>0.04</v>
      </c>
      <c r="K89" s="609">
        <f t="shared" si="3"/>
        <v>10.5501275</v>
      </c>
      <c r="L89" s="330"/>
    </row>
    <row r="90" spans="5:12">
      <c r="E90" s="348">
        <v>2022</v>
      </c>
      <c r="F90" s="370" t="s">
        <v>348</v>
      </c>
      <c r="G90" s="350" t="s">
        <v>243</v>
      </c>
      <c r="H90" s="348" cm="1">
        <f t="array" ref="H90">_xlfn.XLOOKUP(E90&amp;F90&amp;G90,'Data input'!$I$675:$I$702&amp;'Data input'!$J$675:$J$702&amp;'Data input'!$K$675:$K$702,'Data input'!$L$675:$L$702)</f>
        <v>2.3978562499999998</v>
      </c>
      <c r="I90" s="350">
        <f>SUMIFS('Data input'!$L$707:$L$734,'Data input'!$I$707:$I$734,E90,'Data input'!$J$707:$J$734,F90,'Data input'!$K$707:$K$734,G90)</f>
        <v>120</v>
      </c>
      <c r="J90" s="350" cm="1">
        <f t="array" ref="J90">_xlfn.XLOOKUP(E90&amp;F90&amp;G90,'Data input'!$I$740:$I$767&amp;'Data input'!$J$740:$J$767&amp;'Data input'!$K$740:$K$767,'Data input'!$L$740:$L$767)</f>
        <v>0.05</v>
      </c>
      <c r="K90" s="609">
        <f t="shared" si="3"/>
        <v>14.387137500000001</v>
      </c>
      <c r="L90" s="330"/>
    </row>
    <row r="91" spans="5:12">
      <c r="E91" s="348">
        <v>2023</v>
      </c>
      <c r="F91" s="370" t="s">
        <v>348</v>
      </c>
      <c r="G91" s="350" t="s">
        <v>243</v>
      </c>
      <c r="H91" s="348" cm="1">
        <f t="array" ref="H91">_xlfn.XLOOKUP(E91&amp;F91&amp;G91,'Data input'!$I$675:$I$702&amp;'Data input'!$J$675:$J$702&amp;'Data input'!$K$675:$K$702,'Data input'!$L$675:$L$702)</f>
        <v>2.39795625</v>
      </c>
      <c r="I91" s="350">
        <f>SUMIFS('Data input'!$L$707:$L$734,'Data input'!$I$707:$I$734,E91,'Data input'!$J$707:$J$734,F91,'Data input'!$K$707:$K$734,G91)</f>
        <v>130</v>
      </c>
      <c r="J91" s="350" cm="1">
        <f t="array" ref="J91">_xlfn.XLOOKUP(E91&amp;F91&amp;G91,'Data input'!$I$740:$I$767&amp;'Data input'!$J$740:$J$767&amp;'Data input'!$K$740:$K$767,'Data input'!$L$740:$L$767)</f>
        <v>0.06</v>
      </c>
      <c r="K91" s="609">
        <f t="shared" si="3"/>
        <v>18.704058749999998</v>
      </c>
      <c r="L91" s="330"/>
    </row>
    <row r="92" spans="5:12">
      <c r="E92" s="348">
        <v>2024</v>
      </c>
      <c r="F92" s="370" t="s">
        <v>348</v>
      </c>
      <c r="G92" s="350" t="s">
        <v>243</v>
      </c>
      <c r="H92" s="348" cm="1">
        <f t="array" ref="H92">_xlfn.XLOOKUP(E92&amp;F92&amp;G92,'Data input'!$I$675:$I$702&amp;'Data input'!$J$675:$J$702&amp;'Data input'!$K$675:$K$702,'Data input'!$L$675:$L$702)</f>
        <v>2.3980562499999998</v>
      </c>
      <c r="I92" s="350">
        <f>SUMIFS('Data input'!$L$707:$L$734,'Data input'!$I$707:$I$734,E92,'Data input'!$J$707:$J$734,F92,'Data input'!$K$707:$K$734,G92)</f>
        <v>140</v>
      </c>
      <c r="J92" s="350" cm="1">
        <f t="array" ref="J92">_xlfn.XLOOKUP(E92&amp;F92&amp;G92,'Data input'!$I$740:$I$767&amp;'Data input'!$J$740:$J$767&amp;'Data input'!$K$740:$K$767,'Data input'!$L$740:$L$767)</f>
        <v>7.0000000000000007E-2</v>
      </c>
      <c r="K92" s="609">
        <f t="shared" si="3"/>
        <v>23.50095125</v>
      </c>
      <c r="L92" s="330"/>
    </row>
    <row r="93" spans="5:12">
      <c r="E93" s="348">
        <v>2025</v>
      </c>
      <c r="F93" s="370" t="s">
        <v>348</v>
      </c>
      <c r="G93" s="350" t="s">
        <v>243</v>
      </c>
      <c r="H93" s="348" cm="1">
        <f t="array" ref="H93">_xlfn.XLOOKUP(E93&amp;F93&amp;G93,'Data input'!$I$675:$I$702&amp;'Data input'!$J$675:$J$702&amp;'Data input'!$K$675:$K$702,'Data input'!$L$675:$L$702)</f>
        <v>2.39815625</v>
      </c>
      <c r="I93" s="350">
        <f>SUMIFS('Data input'!$L$707:$L$734,'Data input'!$I$707:$I$734,E93,'Data input'!$J$707:$J$734,F93,'Data input'!$K$707:$K$734,G93)</f>
        <v>150</v>
      </c>
      <c r="J93" s="350" cm="1">
        <f t="array" ref="J93">_xlfn.XLOOKUP(E93&amp;F93&amp;G93,'Data input'!$I$740:$I$767&amp;'Data input'!$J$740:$J$767&amp;'Data input'!$K$740:$K$767,'Data input'!$L$740:$L$767)</f>
        <v>0.08</v>
      </c>
      <c r="K93" s="609">
        <f t="shared" si="3"/>
        <v>28.777874999999998</v>
      </c>
      <c r="L93" s="330"/>
    </row>
    <row r="94" spans="5:12">
      <c r="E94" s="348">
        <v>2026</v>
      </c>
      <c r="F94" s="370" t="s">
        <v>348</v>
      </c>
      <c r="G94" s="350" t="s">
        <v>243</v>
      </c>
      <c r="H94" s="348" cm="1">
        <f t="array" ref="H94">_xlfn.XLOOKUP(E94&amp;F94&amp;G94,'Data input'!$I$675:$I$702&amp;'Data input'!$J$675:$J$702&amp;'Data input'!$K$675:$K$702,'Data input'!$L$675:$L$702)</f>
        <v>2.3982562500000002</v>
      </c>
      <c r="I94" s="350">
        <f>SUMIFS('Data input'!$L$707:$L$734,'Data input'!$I$707:$I$734,E94,'Data input'!$J$707:$J$734,F94,'Data input'!$K$707:$K$734,G94)</f>
        <v>160</v>
      </c>
      <c r="J94" s="350" cm="1">
        <f t="array" ref="J94">_xlfn.XLOOKUP(E94&amp;F94&amp;G94,'Data input'!$I$740:$I$767&amp;'Data input'!$J$740:$J$767&amp;'Data input'!$K$740:$K$767,'Data input'!$L$740:$L$767)</f>
        <v>0.09</v>
      </c>
      <c r="K94" s="609">
        <f t="shared" si="3"/>
        <v>34.534889999999997</v>
      </c>
      <c r="L94" s="330"/>
    </row>
    <row r="95" spans="5:12">
      <c r="E95" s="348">
        <v>2020</v>
      </c>
      <c r="F95" s="370" t="s">
        <v>349</v>
      </c>
      <c r="G95" s="350" t="s">
        <v>243</v>
      </c>
      <c r="H95" s="348" cm="1">
        <f t="array" ref="H95">_xlfn.XLOOKUP(E95&amp;F95&amp;G95,'Data input'!$I$675:$I$702&amp;'Data input'!$J$675:$J$702&amp;'Data input'!$K$675:$K$702,'Data input'!$L$675:$L$702)</f>
        <v>2.39835625</v>
      </c>
      <c r="I95" s="350">
        <f>SUMIFS('Data input'!$L$707:$L$734,'Data input'!$I$707:$I$734,E95,'Data input'!$J$707:$J$734,F95,'Data input'!$K$707:$K$734,G95)</f>
        <v>170</v>
      </c>
      <c r="J95" s="350" cm="1">
        <f t="array" ref="J95">_xlfn.XLOOKUP(E95&amp;F95&amp;G95,'Data input'!$I$740:$I$767&amp;'Data input'!$J$740:$J$767&amp;'Data input'!$K$740:$K$767,'Data input'!$L$740:$L$767)</f>
        <v>0.1</v>
      </c>
      <c r="K95" s="609">
        <f t="shared" si="3"/>
        <v>40.772056249999999</v>
      </c>
      <c r="L95" s="330"/>
    </row>
    <row r="96" spans="5:12">
      <c r="E96" s="348">
        <v>2021</v>
      </c>
      <c r="F96" s="370" t="s">
        <v>349</v>
      </c>
      <c r="G96" s="350" t="s">
        <v>243</v>
      </c>
      <c r="H96" s="348" cm="1">
        <f t="array" ref="H96">_xlfn.XLOOKUP(E96&amp;F96&amp;G96,'Data input'!$I$675:$I$702&amp;'Data input'!$J$675:$J$702&amp;'Data input'!$K$675:$K$702,'Data input'!$L$675:$L$702)</f>
        <v>2.3984562500000002</v>
      </c>
      <c r="I96" s="350">
        <f>SUMIFS('Data input'!$L$707:$L$734,'Data input'!$I$707:$I$734,E96,'Data input'!$J$707:$J$734,F96,'Data input'!$K$707:$K$734,G96)</f>
        <v>180</v>
      </c>
      <c r="J96" s="350" cm="1">
        <f t="array" ref="J96">_xlfn.XLOOKUP(E96&amp;F96&amp;G96,'Data input'!$I$740:$I$767&amp;'Data input'!$J$740:$J$767&amp;'Data input'!$K$740:$K$767,'Data input'!$L$740:$L$767)</f>
        <v>0.11</v>
      </c>
      <c r="K96" s="609">
        <f t="shared" si="3"/>
        <v>47.489433750000003</v>
      </c>
      <c r="L96" s="330"/>
    </row>
    <row r="97" spans="5:12">
      <c r="E97" s="348">
        <v>2022</v>
      </c>
      <c r="F97" s="370" t="s">
        <v>349</v>
      </c>
      <c r="G97" s="350" t="s">
        <v>243</v>
      </c>
      <c r="H97" s="348" cm="1">
        <f t="array" ref="H97">_xlfn.XLOOKUP(E97&amp;F97&amp;G97,'Data input'!$I$675:$I$702&amp;'Data input'!$J$675:$J$702&amp;'Data input'!$K$675:$K$702,'Data input'!$L$675:$L$702)</f>
        <v>2.3985562499999999</v>
      </c>
      <c r="I97" s="350">
        <f>SUMIFS('Data input'!$L$707:$L$734,'Data input'!$I$707:$I$734,E97,'Data input'!$J$707:$J$734,F97,'Data input'!$K$707:$K$734,G97)</f>
        <v>190</v>
      </c>
      <c r="J97" s="350" cm="1">
        <f t="array" ref="J97">_xlfn.XLOOKUP(E97&amp;F97&amp;G97,'Data input'!$I$740:$I$767&amp;'Data input'!$J$740:$J$767&amp;'Data input'!$K$740:$K$767,'Data input'!$L$740:$L$767)</f>
        <v>0.12</v>
      </c>
      <c r="K97" s="609">
        <f t="shared" si="3"/>
        <v>54.687082499999995</v>
      </c>
      <c r="L97" s="330"/>
    </row>
    <row r="98" spans="5:12">
      <c r="E98" s="348">
        <v>2023</v>
      </c>
      <c r="F98" s="370" t="s">
        <v>349</v>
      </c>
      <c r="G98" s="350" t="s">
        <v>243</v>
      </c>
      <c r="H98" s="348" cm="1">
        <f t="array" ref="H98">_xlfn.XLOOKUP(E98&amp;F98&amp;G98,'Data input'!$I$675:$I$702&amp;'Data input'!$J$675:$J$702&amp;'Data input'!$K$675:$K$702,'Data input'!$L$675:$L$702)</f>
        <v>2.3986562500000002</v>
      </c>
      <c r="I98" s="350">
        <f>SUMIFS('Data input'!$L$707:$L$734,'Data input'!$I$707:$I$734,E98,'Data input'!$J$707:$J$734,F98,'Data input'!$K$707:$K$734,G98)</f>
        <v>200</v>
      </c>
      <c r="J98" s="350" cm="1">
        <f t="array" ref="J98">_xlfn.XLOOKUP(E98&amp;F98&amp;G98,'Data input'!$I$740:$I$767&amp;'Data input'!$J$740:$J$767&amp;'Data input'!$K$740:$K$767,'Data input'!$L$740:$L$767)</f>
        <v>0.13</v>
      </c>
      <c r="K98" s="609">
        <f t="shared" si="3"/>
        <v>62.365062500000008</v>
      </c>
      <c r="L98" s="330"/>
    </row>
    <row r="99" spans="5:12">
      <c r="E99" s="348">
        <v>2024</v>
      </c>
      <c r="F99" s="370" t="s">
        <v>349</v>
      </c>
      <c r="G99" s="350" t="s">
        <v>243</v>
      </c>
      <c r="H99" s="348" cm="1">
        <f t="array" ref="H99">_xlfn.XLOOKUP(E99&amp;F99&amp;G99,'Data input'!$I$675:$I$702&amp;'Data input'!$J$675:$J$702&amp;'Data input'!$K$675:$K$702,'Data input'!$L$675:$L$702)</f>
        <v>2.3987562499999999</v>
      </c>
      <c r="I99" s="350">
        <f>SUMIFS('Data input'!$L$707:$L$734,'Data input'!$I$707:$I$734,E99,'Data input'!$J$707:$J$734,F99,'Data input'!$K$707:$K$734,G99)</f>
        <v>210</v>
      </c>
      <c r="J99" s="350" cm="1">
        <f t="array" ref="J99">_xlfn.XLOOKUP(E99&amp;F99&amp;G99,'Data input'!$I$740:$I$767&amp;'Data input'!$J$740:$J$767&amp;'Data input'!$K$740:$K$767,'Data input'!$L$740:$L$767)</f>
        <v>0.14000000000000001</v>
      </c>
      <c r="K99" s="609">
        <f t="shared" si="3"/>
        <v>70.523433750000009</v>
      </c>
      <c r="L99" s="330"/>
    </row>
    <row r="100" spans="5:12">
      <c r="E100" s="348">
        <v>2025</v>
      </c>
      <c r="F100" s="370" t="s">
        <v>349</v>
      </c>
      <c r="G100" s="350" t="s">
        <v>243</v>
      </c>
      <c r="H100" s="348" cm="1">
        <f t="array" ref="H100">_xlfn.XLOOKUP(E100&amp;F100&amp;G100,'Data input'!$I$675:$I$702&amp;'Data input'!$J$675:$J$702&amp;'Data input'!$K$675:$K$702,'Data input'!$L$675:$L$702)</f>
        <v>2.3988562500000001</v>
      </c>
      <c r="I100" s="350">
        <f>SUMIFS('Data input'!$L$707:$L$734,'Data input'!$I$707:$I$734,E100,'Data input'!$J$707:$J$734,F100,'Data input'!$K$707:$K$734,G100)</f>
        <v>220</v>
      </c>
      <c r="J100" s="350" cm="1">
        <f t="array" ref="J100">_xlfn.XLOOKUP(E100&amp;F100&amp;G100,'Data input'!$I$740:$I$767&amp;'Data input'!$J$740:$J$767&amp;'Data input'!$K$740:$K$767,'Data input'!$L$740:$L$767)</f>
        <v>0.15</v>
      </c>
      <c r="K100" s="609">
        <f t="shared" si="3"/>
        <v>79.162256249999999</v>
      </c>
      <c r="L100" s="330"/>
    </row>
    <row r="101" spans="5:12">
      <c r="E101" s="348">
        <v>2026</v>
      </c>
      <c r="F101" s="370" t="s">
        <v>349</v>
      </c>
      <c r="G101" s="350" t="s">
        <v>243</v>
      </c>
      <c r="H101" s="348" cm="1">
        <f t="array" ref="H101">_xlfn.XLOOKUP(E101&amp;F101&amp;G101,'Data input'!$I$675:$I$702&amp;'Data input'!$J$675:$J$702&amp;'Data input'!$K$675:$K$702,'Data input'!$L$675:$L$702)</f>
        <v>2.3989562499999999</v>
      </c>
      <c r="I101" s="350">
        <f>SUMIFS('Data input'!$L$707:$L$734,'Data input'!$I$707:$I$734,E101,'Data input'!$J$707:$J$734,F101,'Data input'!$K$707:$K$734,G101)</f>
        <v>230</v>
      </c>
      <c r="J101" s="350" cm="1">
        <f t="array" ref="J101">_xlfn.XLOOKUP(E101&amp;F101&amp;G101,'Data input'!$I$740:$I$767&amp;'Data input'!$J$740:$J$767&amp;'Data input'!$K$740:$K$767,'Data input'!$L$740:$L$767)</f>
        <v>0.16</v>
      </c>
      <c r="K101" s="609">
        <f t="shared" si="3"/>
        <v>88.281589999999994</v>
      </c>
      <c r="L101" s="330"/>
    </row>
    <row r="102" spans="5:12">
      <c r="E102" s="348">
        <v>2020</v>
      </c>
      <c r="F102" s="370" t="s">
        <v>348</v>
      </c>
      <c r="G102" s="350" t="s">
        <v>244</v>
      </c>
      <c r="H102" s="348" cm="1">
        <f t="array" ref="H102">_xlfn.XLOOKUP(E102&amp;F102&amp;G102,'Data input'!$I$675:$I$702&amp;'Data input'!$J$675:$J$702&amp;'Data input'!$K$675:$K$702,'Data input'!$L$675:$L$702)</f>
        <v>2.3990562500000001</v>
      </c>
      <c r="I102" s="350">
        <f>SUMIFS('Data input'!$L$707:$L$734,'Data input'!$I$707:$I$734,E102,'Data input'!$J$707:$J$734,F102,'Data input'!$K$707:$K$734,G102)</f>
        <v>240</v>
      </c>
      <c r="J102" s="350" cm="1">
        <f t="array" ref="J102">_xlfn.XLOOKUP(E102&amp;F102&amp;G102,'Data input'!$I$740:$I$767&amp;'Data input'!$J$740:$J$767&amp;'Data input'!$K$740:$K$767,'Data input'!$L$740:$L$767)</f>
        <v>0.17</v>
      </c>
      <c r="K102" s="609">
        <f t="shared" si="3"/>
        <v>97.881495000000015</v>
      </c>
      <c r="L102" s="330"/>
    </row>
    <row r="103" spans="5:12">
      <c r="E103" s="348">
        <v>2021</v>
      </c>
      <c r="F103" s="370" t="s">
        <v>348</v>
      </c>
      <c r="G103" s="350" t="s">
        <v>244</v>
      </c>
      <c r="H103" s="348" cm="1">
        <f t="array" ref="H103">_xlfn.XLOOKUP(E103&amp;F103&amp;G103,'Data input'!$I$675:$I$702&amp;'Data input'!$J$675:$J$702&amp;'Data input'!$K$675:$K$702,'Data input'!$L$675:$L$702)</f>
        <v>2.3991562499999999</v>
      </c>
      <c r="I103" s="350">
        <f>SUMIFS('Data input'!$L$707:$L$734,'Data input'!$I$707:$I$734,E103,'Data input'!$J$707:$J$734,F103,'Data input'!$K$707:$K$734,G103)</f>
        <v>250</v>
      </c>
      <c r="J103" s="350" cm="1">
        <f t="array" ref="J103">_xlfn.XLOOKUP(E103&amp;F103&amp;G103,'Data input'!$I$740:$I$767&amp;'Data input'!$J$740:$J$767&amp;'Data input'!$K$740:$K$767,'Data input'!$L$740:$L$767)</f>
        <v>0.18</v>
      </c>
      <c r="K103" s="609">
        <f t="shared" si="3"/>
        <v>107.96203125</v>
      </c>
      <c r="L103" s="330"/>
    </row>
    <row r="104" spans="5:12">
      <c r="E104" s="348">
        <v>2022</v>
      </c>
      <c r="F104" s="370" t="s">
        <v>348</v>
      </c>
      <c r="G104" s="350" t="s">
        <v>244</v>
      </c>
      <c r="H104" s="348" cm="1">
        <f t="array" ref="H104">_xlfn.XLOOKUP(E104&amp;F104&amp;G104,'Data input'!$I$675:$I$702&amp;'Data input'!$J$675:$J$702&amp;'Data input'!$K$675:$K$702,'Data input'!$L$675:$L$702)</f>
        <v>2.3992562500000001</v>
      </c>
      <c r="I104" s="350">
        <f>SUMIFS('Data input'!$L$707:$L$734,'Data input'!$I$707:$I$734,E104,'Data input'!$J$707:$J$734,F104,'Data input'!$K$707:$K$734,G104)</f>
        <v>260</v>
      </c>
      <c r="J104" s="350" cm="1">
        <f t="array" ref="J104">_xlfn.XLOOKUP(E104&amp;F104&amp;G104,'Data input'!$I$740:$I$767&amp;'Data input'!$J$740:$J$767&amp;'Data input'!$K$740:$K$767,'Data input'!$L$740:$L$767)</f>
        <v>0.19</v>
      </c>
      <c r="K104" s="609">
        <f t="shared" si="3"/>
        <v>118.52325875000001</v>
      </c>
      <c r="L104" s="330"/>
    </row>
    <row r="105" spans="5:12">
      <c r="E105" s="348">
        <v>2023</v>
      </c>
      <c r="F105" s="370" t="s">
        <v>348</v>
      </c>
      <c r="G105" s="350" t="s">
        <v>244</v>
      </c>
      <c r="H105" s="348" cm="1">
        <f t="array" ref="H105">_xlfn.XLOOKUP(E105&amp;F105&amp;G105,'Data input'!$I$675:$I$702&amp;'Data input'!$J$675:$J$702&amp;'Data input'!$K$675:$K$702,'Data input'!$L$675:$L$702)</f>
        <v>2.3993562499999999</v>
      </c>
      <c r="I105" s="350">
        <f>SUMIFS('Data input'!$L$707:$L$734,'Data input'!$I$707:$I$734,E105,'Data input'!$J$707:$J$734,F105,'Data input'!$K$707:$K$734,G105)</f>
        <v>270</v>
      </c>
      <c r="J105" s="350" cm="1">
        <f t="array" ref="J105">_xlfn.XLOOKUP(E105&amp;F105&amp;G105,'Data input'!$I$740:$I$767&amp;'Data input'!$J$740:$J$767&amp;'Data input'!$K$740:$K$767,'Data input'!$L$740:$L$767)</f>
        <v>0.08</v>
      </c>
      <c r="K105" s="609">
        <f t="shared" si="3"/>
        <v>51.826094999999995</v>
      </c>
      <c r="L105" s="330"/>
    </row>
    <row r="106" spans="5:12">
      <c r="E106" s="348">
        <v>2024</v>
      </c>
      <c r="F106" s="370" t="s">
        <v>348</v>
      </c>
      <c r="G106" s="350" t="s">
        <v>244</v>
      </c>
      <c r="H106" s="348" cm="1">
        <f t="array" ref="H106">_xlfn.XLOOKUP(E106&amp;F106&amp;G106,'Data input'!$I$675:$I$702&amp;'Data input'!$J$675:$J$702&amp;'Data input'!$K$675:$K$702,'Data input'!$L$675:$L$702)</f>
        <v>2.3994562500000001</v>
      </c>
      <c r="I106" s="350">
        <f>SUMIFS('Data input'!$L$707:$L$734,'Data input'!$I$707:$I$734,E106,'Data input'!$J$707:$J$734,F106,'Data input'!$K$707:$K$734,G106)</f>
        <v>280</v>
      </c>
      <c r="J106" s="350" cm="1">
        <f t="array" ref="J106">_xlfn.XLOOKUP(E106&amp;F106&amp;G106,'Data input'!$I$740:$I$767&amp;'Data input'!$J$740:$J$767&amp;'Data input'!$K$740:$K$767,'Data input'!$L$740:$L$767)</f>
        <v>0.09</v>
      </c>
      <c r="K106" s="609">
        <f t="shared" si="3"/>
        <v>60.466297499999996</v>
      </c>
      <c r="L106" s="330"/>
    </row>
    <row r="107" spans="5:12">
      <c r="E107" s="348">
        <v>2025</v>
      </c>
      <c r="F107" s="370" t="s">
        <v>348</v>
      </c>
      <c r="G107" s="350" t="s">
        <v>244</v>
      </c>
      <c r="H107" s="348" cm="1">
        <f t="array" ref="H107">_xlfn.XLOOKUP(E107&amp;F107&amp;G107,'Data input'!$I$675:$I$702&amp;'Data input'!$J$675:$J$702&amp;'Data input'!$K$675:$K$702,'Data input'!$L$675:$L$702)</f>
        <v>2.3995562499999998</v>
      </c>
      <c r="I107" s="350">
        <f>SUMIFS('Data input'!$L$707:$L$734,'Data input'!$I$707:$I$734,E107,'Data input'!$J$707:$J$734,F107,'Data input'!$K$707:$K$734,G107)</f>
        <v>290</v>
      </c>
      <c r="J107" s="350" cm="1">
        <f t="array" ref="J107">_xlfn.XLOOKUP(E107&amp;F107&amp;G107,'Data input'!$I$740:$I$767&amp;'Data input'!$J$740:$J$767&amp;'Data input'!$K$740:$K$767,'Data input'!$L$740:$L$767)</f>
        <v>0.1</v>
      </c>
      <c r="K107" s="609">
        <f t="shared" si="3"/>
        <v>69.587131249999999</v>
      </c>
      <c r="L107" s="330"/>
    </row>
    <row r="108" spans="5:12">
      <c r="E108" s="348">
        <v>2026</v>
      </c>
      <c r="F108" s="370" t="s">
        <v>348</v>
      </c>
      <c r="G108" s="350" t="s">
        <v>244</v>
      </c>
      <c r="H108" s="348" cm="1">
        <f t="array" ref="H108">_xlfn.XLOOKUP(E108&amp;F108&amp;G108,'Data input'!$I$675:$I$702&amp;'Data input'!$J$675:$J$702&amp;'Data input'!$K$675:$K$702,'Data input'!$L$675:$L$702)</f>
        <v>2.39965625</v>
      </c>
      <c r="I108" s="350">
        <f>SUMIFS('Data input'!$L$707:$L$734,'Data input'!$I$707:$I$734,E108,'Data input'!$J$707:$J$734,F108,'Data input'!$K$707:$K$734,G108)</f>
        <v>300</v>
      </c>
      <c r="J108" s="350" cm="1">
        <f t="array" ref="J108">_xlfn.XLOOKUP(E108&amp;F108&amp;G108,'Data input'!$I$740:$I$767&amp;'Data input'!$J$740:$J$767&amp;'Data input'!$K$740:$K$767,'Data input'!$L$740:$L$767)</f>
        <v>0.11</v>
      </c>
      <c r="K108" s="609">
        <f t="shared" si="3"/>
        <v>79.188656250000008</v>
      </c>
      <c r="L108" s="330"/>
    </row>
    <row r="109" spans="5:12">
      <c r="E109" s="348">
        <v>2020</v>
      </c>
      <c r="F109" s="370" t="s">
        <v>349</v>
      </c>
      <c r="G109" s="350" t="s">
        <v>244</v>
      </c>
      <c r="H109" s="348" cm="1">
        <f t="array" ref="H109">_xlfn.XLOOKUP(E109&amp;F109&amp;G109,'Data input'!$I$675:$I$702&amp;'Data input'!$J$675:$J$702&amp;'Data input'!$K$675:$K$702,'Data input'!$L$675:$L$702)</f>
        <v>2.3997562499999998</v>
      </c>
      <c r="I109" s="350">
        <f>SUMIFS('Data input'!$L$707:$L$734,'Data input'!$I$707:$I$734,E109,'Data input'!$J$707:$J$734,F109,'Data input'!$K$707:$K$734,G109)</f>
        <v>310</v>
      </c>
      <c r="J109" s="350" cm="1">
        <f t="array" ref="J109">_xlfn.XLOOKUP(E109&amp;F109&amp;G109,'Data input'!$I$740:$I$767&amp;'Data input'!$J$740:$J$767&amp;'Data input'!$K$740:$K$767,'Data input'!$L$740:$L$767)</f>
        <v>0.12</v>
      </c>
      <c r="K109" s="609">
        <f t="shared" si="3"/>
        <v>89.270932499999986</v>
      </c>
      <c r="L109" s="330"/>
    </row>
    <row r="110" spans="5:12">
      <c r="E110" s="348">
        <v>2021</v>
      </c>
      <c r="F110" s="370" t="s">
        <v>349</v>
      </c>
      <c r="G110" s="350" t="s">
        <v>244</v>
      </c>
      <c r="H110" s="348" cm="1">
        <f t="array" ref="H110">_xlfn.XLOOKUP(E110&amp;F110&amp;G110,'Data input'!$I$675:$I$702&amp;'Data input'!$J$675:$J$702&amp;'Data input'!$K$675:$K$702,'Data input'!$L$675:$L$702)</f>
        <v>2.39985625</v>
      </c>
      <c r="I110" s="350">
        <f>SUMIFS('Data input'!$L$707:$L$734,'Data input'!$I$707:$I$734,E110,'Data input'!$J$707:$J$734,F110,'Data input'!$K$707:$K$734,G110)</f>
        <v>320</v>
      </c>
      <c r="J110" s="350" cm="1">
        <f t="array" ref="J110">_xlfn.XLOOKUP(E110&amp;F110&amp;G110,'Data input'!$I$740:$I$767&amp;'Data input'!$J$740:$J$767&amp;'Data input'!$K$740:$K$767,'Data input'!$L$740:$L$767)</f>
        <v>0.13</v>
      </c>
      <c r="K110" s="609">
        <f t="shared" si="3"/>
        <v>99.834019999999995</v>
      </c>
      <c r="L110" s="330"/>
    </row>
    <row r="111" spans="5:12">
      <c r="E111" s="348">
        <v>2022</v>
      </c>
      <c r="F111" s="370" t="s">
        <v>349</v>
      </c>
      <c r="G111" s="350" t="s">
        <v>244</v>
      </c>
      <c r="H111" s="348" cm="1">
        <f t="array" ref="H111">_xlfn.XLOOKUP(E111&amp;F111&amp;G111,'Data input'!$I$675:$I$702&amp;'Data input'!$J$675:$J$702&amp;'Data input'!$K$675:$K$702,'Data input'!$L$675:$L$702)</f>
        <v>2.3999562499999998</v>
      </c>
      <c r="I111" s="350">
        <f>SUMIFS('Data input'!$L$707:$L$734,'Data input'!$I$707:$I$734,E111,'Data input'!$J$707:$J$734,F111,'Data input'!$K$707:$K$734,G111)</f>
        <v>330</v>
      </c>
      <c r="J111" s="350" cm="1">
        <f t="array" ref="J111">_xlfn.XLOOKUP(E111&amp;F111&amp;G111,'Data input'!$I$740:$I$767&amp;'Data input'!$J$740:$J$767&amp;'Data input'!$K$740:$K$767,'Data input'!$L$740:$L$767)</f>
        <v>0.14000000000000001</v>
      </c>
      <c r="K111" s="609">
        <f t="shared" si="3"/>
        <v>110.87797875</v>
      </c>
      <c r="L111" s="330"/>
    </row>
    <row r="112" spans="5:12">
      <c r="E112" s="348">
        <v>2023</v>
      </c>
      <c r="F112" s="370" t="s">
        <v>349</v>
      </c>
      <c r="G112" s="350" t="s">
        <v>244</v>
      </c>
      <c r="H112" s="348" cm="1">
        <f t="array" ref="H112">_xlfn.XLOOKUP(E112&amp;F112&amp;G112,'Data input'!$I$675:$I$702&amp;'Data input'!$J$675:$J$702&amp;'Data input'!$K$675:$K$702,'Data input'!$L$675:$L$702)</f>
        <v>2.40005625</v>
      </c>
      <c r="I112" s="350">
        <f>SUMIFS('Data input'!$L$707:$L$734,'Data input'!$I$707:$I$734,E112,'Data input'!$J$707:$J$734,F112,'Data input'!$K$707:$K$734,G112)</f>
        <v>340</v>
      </c>
      <c r="J112" s="350" cm="1">
        <f t="array" ref="J112">_xlfn.XLOOKUP(E112&amp;F112&amp;G112,'Data input'!$I$740:$I$767&amp;'Data input'!$J$740:$J$767&amp;'Data input'!$K$740:$K$767,'Data input'!$L$740:$L$767)</f>
        <v>0.15</v>
      </c>
      <c r="K112" s="609">
        <f t="shared" si="3"/>
        <v>122.40286875</v>
      </c>
      <c r="L112" s="330"/>
    </row>
    <row r="113" spans="5:12">
      <c r="E113" s="348">
        <v>2024</v>
      </c>
      <c r="F113" s="370" t="s">
        <v>349</v>
      </c>
      <c r="G113" s="350" t="s">
        <v>244</v>
      </c>
      <c r="H113" s="348" cm="1">
        <f t="array" ref="H113">_xlfn.XLOOKUP(E113&amp;F113&amp;G113,'Data input'!$I$675:$I$702&amp;'Data input'!$J$675:$J$702&amp;'Data input'!$K$675:$K$702,'Data input'!$L$675:$L$702)</f>
        <v>2.40015625000001</v>
      </c>
      <c r="I113" s="350">
        <f>SUMIFS('Data input'!$L$707:$L$734,'Data input'!$I$707:$I$734,E113,'Data input'!$J$707:$J$734,F113,'Data input'!$K$707:$K$734,G113)</f>
        <v>350</v>
      </c>
      <c r="J113" s="350" cm="1">
        <f t="array" ref="J113">_xlfn.XLOOKUP(E113&amp;F113&amp;G113,'Data input'!$I$740:$I$767&amp;'Data input'!$J$740:$J$767&amp;'Data input'!$K$740:$K$767,'Data input'!$L$740:$L$767)</f>
        <v>0.05</v>
      </c>
      <c r="K113" s="609">
        <f t="shared" si="3"/>
        <v>42.00273437500018</v>
      </c>
      <c r="L113" s="330"/>
    </row>
    <row r="114" spans="5:12">
      <c r="E114" s="348">
        <v>2025</v>
      </c>
      <c r="F114" s="370" t="s">
        <v>349</v>
      </c>
      <c r="G114" s="350" t="s">
        <v>244</v>
      </c>
      <c r="H114" s="348" cm="1">
        <f t="array" ref="H114">_xlfn.XLOOKUP(E114&amp;F114&amp;G114,'Data input'!$I$675:$I$702&amp;'Data input'!$J$675:$J$702&amp;'Data input'!$K$675:$K$702,'Data input'!$L$675:$L$702)</f>
        <v>2.4002562500000102</v>
      </c>
      <c r="I114" s="350">
        <f>SUMIFS('Data input'!$L$707:$L$734,'Data input'!$I$707:$I$734,E114,'Data input'!$J$707:$J$734,F114,'Data input'!$K$707:$K$734,G114)</f>
        <v>360</v>
      </c>
      <c r="J114" s="350" cm="1">
        <f t="array" ref="J114">_xlfn.XLOOKUP(E114&amp;F114&amp;G114,'Data input'!$I$740:$I$767&amp;'Data input'!$J$740:$J$767&amp;'Data input'!$K$740:$K$767,'Data input'!$L$740:$L$767)</f>
        <v>0.09</v>
      </c>
      <c r="K114" s="609">
        <f t="shared" si="3"/>
        <v>77.768302500000331</v>
      </c>
      <c r="L114" s="330"/>
    </row>
    <row r="115" spans="5:12">
      <c r="E115" s="352">
        <v>2026</v>
      </c>
      <c r="F115" s="353" t="s">
        <v>349</v>
      </c>
      <c r="G115" s="353" t="s">
        <v>244</v>
      </c>
      <c r="H115" s="352" cm="1">
        <f t="array" ref="H115">_xlfn.XLOOKUP(E115&amp;F115&amp;G115,'Data input'!$I$675:$I$702&amp;'Data input'!$J$675:$J$702&amp;'Data input'!$K$675:$K$702,'Data input'!$L$675:$L$702)</f>
        <v>2.40035625000001</v>
      </c>
      <c r="I115" s="353">
        <f>SUMIFS('Data input'!$L$707:$L$734,'Data input'!$I$707:$I$734,E115,'Data input'!$J$707:$J$734,F115,'Data input'!$K$707:$K$734,G115)</f>
        <v>370</v>
      </c>
      <c r="J115" s="353" cm="1">
        <f t="array" ref="J115">_xlfn.XLOOKUP(E115&amp;F115&amp;G115,'Data input'!$I$740:$I$767&amp;'Data input'!$J$740:$J$767&amp;'Data input'!$K$740:$K$767,'Data input'!$L$740:$L$767)</f>
        <v>0.2</v>
      </c>
      <c r="K115" s="616">
        <f t="shared" si="3"/>
        <v>177.62636250000074</v>
      </c>
      <c r="L115" s="330"/>
    </row>
    <row r="116" spans="5:12">
      <c r="H116" s="330"/>
      <c r="I116" s="330"/>
      <c r="J116" s="350"/>
      <c r="K116" s="421">
        <f>SUM(K88:K115)</f>
        <v>1886.1470881250016</v>
      </c>
    </row>
    <row r="122" spans="5:12" s="380" customFormat="1" ht="62.25" customHeight="1">
      <c r="E122" s="613" t="s">
        <v>354</v>
      </c>
    </row>
    <row r="125" spans="5:12">
      <c r="E125" s="292"/>
      <c r="F125" s="330"/>
      <c r="G125" s="330"/>
    </row>
    <row r="126" spans="5:12">
      <c r="E126" s="344" t="s">
        <v>334</v>
      </c>
      <c r="F126" s="606" t="s">
        <v>79</v>
      </c>
      <c r="G126" s="607"/>
      <c r="H126" s="330"/>
    </row>
    <row r="127" spans="5:12">
      <c r="E127" s="348" t="s">
        <v>334</v>
      </c>
      <c r="F127" s="608" t="s">
        <v>12</v>
      </c>
      <c r="G127" s="609"/>
      <c r="H127" s="330"/>
    </row>
    <row r="128" spans="5:12" ht="17">
      <c r="E128" s="348" t="s">
        <v>335</v>
      </c>
      <c r="F128" s="614" t="s">
        <v>336</v>
      </c>
      <c r="G128" s="618" t="s">
        <v>99</v>
      </c>
      <c r="H128" s="330"/>
    </row>
    <row r="129" spans="5:11" ht="17">
      <c r="E129" s="348" t="s">
        <v>334</v>
      </c>
      <c r="F129" s="619" t="s">
        <v>338</v>
      </c>
      <c r="G129" s="616" t="s">
        <v>338</v>
      </c>
      <c r="H129" s="330"/>
    </row>
    <row r="130" spans="5:11">
      <c r="E130" s="344">
        <v>2020</v>
      </c>
      <c r="F130" s="610">
        <f>SUMIFS('Tool 05 Calcs'!$K$145:$K$172,'Tool 05 Calcs'!$E$145:$E$172,E130)</f>
        <v>72.561399999999992</v>
      </c>
      <c r="G130" s="332">
        <f t="shared" ref="G130:G136" si="4">SUM(F130:F130)</f>
        <v>72.561399999999992</v>
      </c>
      <c r="H130" s="330"/>
    </row>
    <row r="131" spans="5:11">
      <c r="E131" s="348">
        <v>2021</v>
      </c>
      <c r="F131" s="610">
        <f>SUMIFS('Tool 05 Calcs'!$K$145:$K$172,'Tool 05 Calcs'!$E$145:$E$172,E131)</f>
        <v>80.754803571428738</v>
      </c>
      <c r="G131" s="332">
        <f t="shared" si="4"/>
        <v>80.754803571428738</v>
      </c>
      <c r="H131" s="330"/>
    </row>
    <row r="132" spans="5:11">
      <c r="E132" s="348">
        <v>2022</v>
      </c>
      <c r="F132" s="610">
        <f>SUMIFS('Tool 05 Calcs'!$K$145:$K$172,'Tool 05 Calcs'!$E$145:$E$172,E132)</f>
        <v>50.737059523809492</v>
      </c>
      <c r="G132" s="332">
        <f t="shared" si="4"/>
        <v>50.737059523809492</v>
      </c>
      <c r="H132" s="330"/>
    </row>
    <row r="133" spans="5:11">
      <c r="E133" s="348">
        <v>2023</v>
      </c>
      <c r="F133" s="610">
        <f>SUMIFS('Tool 05 Calcs'!$K$145:$K$172,'Tool 05 Calcs'!$E$145:$E$172,E133)</f>
        <v>95.724653809523858</v>
      </c>
      <c r="G133" s="332">
        <f t="shared" si="4"/>
        <v>95.724653809523858</v>
      </c>
      <c r="H133" s="330"/>
    </row>
    <row r="134" spans="5:11">
      <c r="E134" s="348">
        <v>2024</v>
      </c>
      <c r="F134" s="610">
        <f>SUMIFS('Tool 05 Calcs'!$K$145:$K$172,'Tool 05 Calcs'!$E$145:$E$172,E134)</f>
        <v>85.735599166666816</v>
      </c>
      <c r="G134" s="332">
        <f t="shared" si="4"/>
        <v>85.735599166666816</v>
      </c>
      <c r="H134" s="330"/>
    </row>
    <row r="135" spans="5:11">
      <c r="E135" s="348">
        <v>2025</v>
      </c>
      <c r="F135" s="610">
        <f>SUMIFS('Tool 05 Calcs'!$K$145:$K$172,'Tool 05 Calcs'!$E$145:$E$172,E135)</f>
        <v>85.913456785714601</v>
      </c>
      <c r="G135" s="332">
        <f t="shared" si="4"/>
        <v>85.913456785714601</v>
      </c>
      <c r="H135" s="330"/>
    </row>
    <row r="136" spans="5:11">
      <c r="E136" s="352">
        <v>2026</v>
      </c>
      <c r="F136" s="611">
        <f>SUMIFS('Tool 05 Calcs'!$K$145:$K$172,'Tool 05 Calcs'!$E$145:$E$172,E136)</f>
        <v>106.51061999999993</v>
      </c>
      <c r="G136" s="612">
        <f t="shared" si="4"/>
        <v>106.51061999999993</v>
      </c>
      <c r="H136" s="330"/>
    </row>
    <row r="137" spans="5:11">
      <c r="F137" s="617">
        <f>SUM(F130:F136)</f>
        <v>577.93759285714339</v>
      </c>
      <c r="G137" s="617">
        <f>SUM(G130:G136)</f>
        <v>577.93759285714339</v>
      </c>
    </row>
    <row r="140" spans="5:11">
      <c r="E140" s="292" t="s">
        <v>355</v>
      </c>
    </row>
    <row r="141" spans="5:11">
      <c r="E141" s="344" t="s">
        <v>334</v>
      </c>
      <c r="F141" s="346" t="s">
        <v>334</v>
      </c>
      <c r="G141" s="345" t="s">
        <v>334</v>
      </c>
      <c r="H141" s="346"/>
      <c r="I141" s="346" t="s">
        <v>334</v>
      </c>
      <c r="J141" s="346" t="s">
        <v>334</v>
      </c>
      <c r="K141" s="607" t="s">
        <v>79</v>
      </c>
    </row>
    <row r="142" spans="5:11">
      <c r="E142" s="348" t="s">
        <v>334</v>
      </c>
      <c r="F142" s="370"/>
      <c r="G142" s="349"/>
      <c r="H142" s="370"/>
      <c r="I142" s="370"/>
      <c r="J142" s="370"/>
      <c r="K142" s="609" t="s">
        <v>12</v>
      </c>
    </row>
    <row r="143" spans="5:11" ht="17">
      <c r="E143" s="348" t="s">
        <v>335</v>
      </c>
      <c r="F143" s="370" t="s">
        <v>340</v>
      </c>
      <c r="G143" s="229" t="s">
        <v>241</v>
      </c>
      <c r="H143" s="370" t="s">
        <v>341</v>
      </c>
      <c r="I143" s="370" t="s">
        <v>342</v>
      </c>
      <c r="J143" s="370" t="s">
        <v>343</v>
      </c>
      <c r="K143" s="615" t="s">
        <v>336</v>
      </c>
    </row>
    <row r="144" spans="5:11" ht="17">
      <c r="E144" s="348" t="s">
        <v>334</v>
      </c>
      <c r="F144" s="370" t="s">
        <v>344</v>
      </c>
      <c r="G144" s="349" t="s">
        <v>334</v>
      </c>
      <c r="H144" s="350" t="s">
        <v>345</v>
      </c>
      <c r="I144" s="350" t="s">
        <v>346</v>
      </c>
      <c r="J144" s="350" t="s">
        <v>347</v>
      </c>
      <c r="K144" s="609" t="s">
        <v>338</v>
      </c>
    </row>
    <row r="145" spans="5:12">
      <c r="E145" s="344">
        <v>2020</v>
      </c>
      <c r="F145" s="346" t="s">
        <v>348</v>
      </c>
      <c r="G145" s="346" t="s">
        <v>243</v>
      </c>
      <c r="H145" s="344" cm="1">
        <f t="array" ref="H145">_xlfn.XLOOKUP(E145&amp;F145&amp;G145,'Data input'!$I$779:$I$806&amp;'Data input'!$J$779:$J$806&amp;'Data input'!$K$779:$K$806,'Data input'!$L$779:$L$806)</f>
        <v>2.11</v>
      </c>
      <c r="I145" s="346">
        <f>SUMIFS('Data input'!$L$811:$L$838,'Data input'!$I$811:$I$838,E145,'Data input'!$J$811:$J$838,F145,'Data input'!$K$811:$K$838,G145)</f>
        <v>59</v>
      </c>
      <c r="J145" s="346" cm="1">
        <f t="array" ref="J145">_xlfn.XLOOKUP(E145&amp;F145&amp;G145,'Data input'!$I$844:$I$871&amp;'Data input'!$J$844:$J$871&amp;'Data input'!$K$844:$K$871,'Data input'!$L$844:$L$871)</f>
        <v>0.11</v>
      </c>
      <c r="K145" s="607">
        <f t="shared" ref="K145:K172" si="5">I145*H145*J145</f>
        <v>13.693899999999999</v>
      </c>
      <c r="L145" s="330"/>
    </row>
    <row r="146" spans="5:12">
      <c r="E146" s="348">
        <v>2021</v>
      </c>
      <c r="F146" s="370" t="s">
        <v>348</v>
      </c>
      <c r="G146" s="350" t="s">
        <v>243</v>
      </c>
      <c r="H146" s="348" cm="1">
        <f t="array" ref="H146">_xlfn.XLOOKUP(E146&amp;F146&amp;G146,'Data input'!$I$779:$I$806&amp;'Data input'!$J$779:$J$806&amp;'Data input'!$K$779:$K$806,'Data input'!$L$779:$L$806)</f>
        <v>2.12</v>
      </c>
      <c r="I146" s="350">
        <f>SUMIFS('Data input'!$L$811:$L$838,'Data input'!$I$811:$I$838,E146,'Data input'!$J$811:$J$838,F146,'Data input'!$K$811:$K$838,G146)</f>
        <v>60</v>
      </c>
      <c r="J146" s="350" cm="1">
        <f t="array" ref="J146">_xlfn.XLOOKUP(E146&amp;F146&amp;G146,'Data input'!$I$844:$I$871&amp;'Data input'!$J$844:$J$871&amp;'Data input'!$K$844:$K$871,'Data input'!$L$844:$L$871)</f>
        <v>0.12</v>
      </c>
      <c r="K146" s="609">
        <f t="shared" si="5"/>
        <v>15.263999999999999</v>
      </c>
      <c r="L146" s="330"/>
    </row>
    <row r="147" spans="5:12">
      <c r="E147" s="348">
        <v>2022</v>
      </c>
      <c r="F147" s="370" t="s">
        <v>348</v>
      </c>
      <c r="G147" s="350" t="s">
        <v>243</v>
      </c>
      <c r="H147" s="348" cm="1">
        <f t="array" ref="H147">_xlfn.XLOOKUP(E147&amp;F147&amp;G147,'Data input'!$I$779:$I$806&amp;'Data input'!$J$779:$J$806&amp;'Data input'!$K$779:$K$806,'Data input'!$L$779:$L$806)</f>
        <v>2.13</v>
      </c>
      <c r="I147" s="350">
        <f>SUMIFS('Data input'!$L$811:$L$838,'Data input'!$I$811:$I$838,E147,'Data input'!$J$811:$J$838,F147,'Data input'!$K$811:$K$838,G147)</f>
        <v>70</v>
      </c>
      <c r="J147" s="350" cm="1">
        <f t="array" ref="J147">_xlfn.XLOOKUP(E147&amp;F147&amp;G147,'Data input'!$I$844:$I$871&amp;'Data input'!$J$844:$J$871&amp;'Data input'!$K$844:$K$871,'Data input'!$L$844:$L$871)</f>
        <v>0.13</v>
      </c>
      <c r="K147" s="609">
        <f t="shared" si="5"/>
        <v>19.382999999999999</v>
      </c>
      <c r="L147" s="330"/>
    </row>
    <row r="148" spans="5:12">
      <c r="E148" s="348">
        <v>2023</v>
      </c>
      <c r="F148" s="370" t="s">
        <v>348</v>
      </c>
      <c r="G148" s="350" t="s">
        <v>243</v>
      </c>
      <c r="H148" s="348" cm="1">
        <f t="array" ref="H148">_xlfn.XLOOKUP(E148&amp;F148&amp;G148,'Data input'!$I$779:$I$806&amp;'Data input'!$J$779:$J$806&amp;'Data input'!$K$779:$K$806,'Data input'!$L$779:$L$806)</f>
        <v>2.14</v>
      </c>
      <c r="I148" s="350">
        <f>SUMIFS('Data input'!$L$811:$L$838,'Data input'!$I$811:$I$838,E148,'Data input'!$J$811:$J$838,F148,'Data input'!$K$811:$K$838,G148)</f>
        <v>75</v>
      </c>
      <c r="J148" s="350" cm="1">
        <f t="array" ref="J148">_xlfn.XLOOKUP(E148&amp;F148&amp;G148,'Data input'!$I$844:$I$871&amp;'Data input'!$J$844:$J$871&amp;'Data input'!$K$844:$K$871,'Data input'!$L$844:$L$871)</f>
        <v>0.14000000000000001</v>
      </c>
      <c r="K148" s="609">
        <f t="shared" si="5"/>
        <v>22.470000000000002</v>
      </c>
      <c r="L148" s="330"/>
    </row>
    <row r="149" spans="5:12">
      <c r="E149" s="348">
        <v>2024</v>
      </c>
      <c r="F149" s="370" t="s">
        <v>348</v>
      </c>
      <c r="G149" s="350" t="s">
        <v>243</v>
      </c>
      <c r="H149" s="348" cm="1">
        <f t="array" ref="H149">_xlfn.XLOOKUP(E149&amp;F149&amp;G149,'Data input'!$I$779:$I$806&amp;'Data input'!$J$779:$J$806&amp;'Data input'!$K$779:$K$806,'Data input'!$L$779:$L$806)</f>
        <v>2.0099999999999998</v>
      </c>
      <c r="I149" s="350">
        <f>SUMIFS('Data input'!$L$811:$L$838,'Data input'!$I$811:$I$838,E149,'Data input'!$J$811:$J$838,F149,'Data input'!$K$811:$K$838,G149)</f>
        <v>80</v>
      </c>
      <c r="J149" s="350" cm="1">
        <f t="array" ref="J149">_xlfn.XLOOKUP(E149&amp;F149&amp;G149,'Data input'!$I$844:$I$871&amp;'Data input'!$J$844:$J$871&amp;'Data input'!$K$844:$K$871,'Data input'!$L$844:$L$871)</f>
        <v>0.15</v>
      </c>
      <c r="K149" s="609">
        <f t="shared" si="5"/>
        <v>24.119999999999997</v>
      </c>
      <c r="L149" s="330"/>
    </row>
    <row r="150" spans="5:12">
      <c r="E150" s="348">
        <v>2025</v>
      </c>
      <c r="F150" s="370" t="s">
        <v>348</v>
      </c>
      <c r="G150" s="350" t="s">
        <v>243</v>
      </c>
      <c r="H150" s="348" cm="1">
        <f t="array" ref="H150">_xlfn.XLOOKUP(E150&amp;F150&amp;G150,'Data input'!$I$779:$I$806&amp;'Data input'!$J$779:$J$806&amp;'Data input'!$K$779:$K$806,'Data input'!$L$779:$L$806)</f>
        <v>2.16</v>
      </c>
      <c r="I150" s="350">
        <f>SUMIFS('Data input'!$L$811:$L$838,'Data input'!$I$811:$I$838,E150,'Data input'!$J$811:$J$838,F150,'Data input'!$K$811:$K$838,G150)</f>
        <v>85</v>
      </c>
      <c r="J150" s="350" cm="1">
        <f t="array" ref="J150">_xlfn.XLOOKUP(E150&amp;F150&amp;G150,'Data input'!$I$844:$I$871&amp;'Data input'!$J$844:$J$871&amp;'Data input'!$K$844:$K$871,'Data input'!$L$844:$L$871)</f>
        <v>0.12</v>
      </c>
      <c r="K150" s="609">
        <f t="shared" si="5"/>
        <v>22.032000000000004</v>
      </c>
      <c r="L150" s="330"/>
    </row>
    <row r="151" spans="5:12">
      <c r="E151" s="348">
        <v>2026</v>
      </c>
      <c r="F151" s="370" t="s">
        <v>348</v>
      </c>
      <c r="G151" s="350" t="s">
        <v>243</v>
      </c>
      <c r="H151" s="348" cm="1">
        <f t="array" ref="H151">_xlfn.XLOOKUP(E151&amp;F151&amp;G151,'Data input'!$I$779:$I$806&amp;'Data input'!$J$779:$J$806&amp;'Data input'!$K$779:$K$806,'Data input'!$L$779:$L$806)</f>
        <v>2.17</v>
      </c>
      <c r="I151" s="350">
        <f>SUMIFS('Data input'!$L$811:$L$838,'Data input'!$I$811:$I$838,E151,'Data input'!$J$811:$J$838,F151,'Data input'!$K$811:$K$838,G151)</f>
        <v>90</v>
      </c>
      <c r="J151" s="350" cm="1">
        <f t="array" ref="J151">_xlfn.XLOOKUP(E151&amp;F151&amp;G151,'Data input'!$I$844:$I$871&amp;'Data input'!$J$844:$J$871&amp;'Data input'!$K$844:$K$871,'Data input'!$L$844:$L$871)</f>
        <v>0.13</v>
      </c>
      <c r="K151" s="609">
        <f t="shared" si="5"/>
        <v>25.388999999999999</v>
      </c>
      <c r="L151" s="330"/>
    </row>
    <row r="152" spans="5:12">
      <c r="E152" s="348">
        <v>2020</v>
      </c>
      <c r="F152" s="370" t="s">
        <v>349</v>
      </c>
      <c r="G152" s="350" t="s">
        <v>243</v>
      </c>
      <c r="H152" s="348" cm="1">
        <f t="array" ref="H152">_xlfn.XLOOKUP(E152&amp;F152&amp;G152,'Data input'!$I$779:$I$806&amp;'Data input'!$J$779:$J$806&amp;'Data input'!$K$779:$K$806,'Data input'!$L$779:$L$806)</f>
        <v>2.1800000000000002</v>
      </c>
      <c r="I152" s="350">
        <f>SUMIFS('Data input'!$L$811:$L$838,'Data input'!$I$811:$I$838,E152,'Data input'!$J$811:$J$838,F152,'Data input'!$K$811:$K$838,G152)</f>
        <v>96</v>
      </c>
      <c r="J152" s="350" cm="1">
        <f t="array" ref="J152">_xlfn.XLOOKUP(E152&amp;F152&amp;G152,'Data input'!$I$844:$I$871&amp;'Data input'!$J$844:$J$871&amp;'Data input'!$K$844:$K$871,'Data input'!$L$844:$L$871)</f>
        <v>0</v>
      </c>
      <c r="K152" s="609">
        <f t="shared" si="5"/>
        <v>0</v>
      </c>
      <c r="L152" s="330"/>
    </row>
    <row r="153" spans="5:12">
      <c r="E153" s="348">
        <v>2021</v>
      </c>
      <c r="F153" s="370" t="s">
        <v>349</v>
      </c>
      <c r="G153" s="350" t="s">
        <v>243</v>
      </c>
      <c r="H153" s="348" cm="1">
        <f t="array" ref="H153">_xlfn.XLOOKUP(E153&amp;F153&amp;G153,'Data input'!$I$779:$I$806&amp;'Data input'!$J$779:$J$806&amp;'Data input'!$K$779:$K$806,'Data input'!$L$779:$L$806)</f>
        <v>2.19</v>
      </c>
      <c r="I153" s="350">
        <f>SUMIFS('Data input'!$L$811:$L$838,'Data input'!$I$811:$I$838,E153,'Data input'!$J$811:$J$838,F153,'Data input'!$K$811:$K$838,G153)</f>
        <v>101.46428571428601</v>
      </c>
      <c r="J153" s="350" cm="1">
        <f t="array" ref="J153">_xlfn.XLOOKUP(E153&amp;F153&amp;G153,'Data input'!$I$844:$I$871&amp;'Data input'!$J$844:$J$871&amp;'Data input'!$K$844:$K$871,'Data input'!$L$844:$L$871)</f>
        <v>0.11</v>
      </c>
      <c r="K153" s="609">
        <f t="shared" si="5"/>
        <v>24.4427464285715</v>
      </c>
      <c r="L153" s="330"/>
    </row>
    <row r="154" spans="5:12">
      <c r="E154" s="348">
        <v>2022</v>
      </c>
      <c r="F154" s="370" t="s">
        <v>349</v>
      </c>
      <c r="G154" s="350" t="s">
        <v>243</v>
      </c>
      <c r="H154" s="348" cm="1">
        <f t="array" ref="H154">_xlfn.XLOOKUP(E154&amp;F154&amp;G154,'Data input'!$I$779:$I$806&amp;'Data input'!$J$779:$J$806&amp;'Data input'!$K$779:$K$806,'Data input'!$L$779:$L$806)</f>
        <v>1.1000000000000001</v>
      </c>
      <c r="I154" s="350">
        <f>SUMIFS('Data input'!$L$811:$L$838,'Data input'!$I$811:$I$838,E154,'Data input'!$J$811:$J$838,F154,'Data input'!$K$811:$K$838,G154)</f>
        <v>106.928571428571</v>
      </c>
      <c r="J154" s="350" cm="1">
        <f t="array" ref="J154">_xlfn.XLOOKUP(E154&amp;F154&amp;G154,'Data input'!$I$844:$I$871&amp;'Data input'!$J$844:$J$871&amp;'Data input'!$K$844:$K$871,'Data input'!$L$844:$L$871)</f>
        <v>8.0555555555555602E-2</v>
      </c>
      <c r="K154" s="609">
        <f t="shared" si="5"/>
        <v>9.4750595238094917</v>
      </c>
      <c r="L154" s="330"/>
    </row>
    <row r="155" spans="5:12">
      <c r="E155" s="348">
        <v>2023</v>
      </c>
      <c r="F155" s="370" t="s">
        <v>349</v>
      </c>
      <c r="G155" s="350" t="s">
        <v>243</v>
      </c>
      <c r="H155" s="348" cm="1">
        <f t="array" ref="H155">_xlfn.XLOOKUP(E155&amp;F155&amp;G155,'Data input'!$I$779:$I$806&amp;'Data input'!$J$779:$J$806&amp;'Data input'!$K$779:$K$806,'Data input'!$L$779:$L$806)</f>
        <v>2.21</v>
      </c>
      <c r="I155" s="350">
        <f>SUMIFS('Data input'!$L$811:$L$838,'Data input'!$I$811:$I$838,E155,'Data input'!$J$811:$J$838,F155,'Data input'!$K$811:$K$838,G155)</f>
        <v>112.392857142857</v>
      </c>
      <c r="J155" s="350" cm="1">
        <f t="array" ref="J155">_xlfn.XLOOKUP(E155&amp;F155&amp;G155,'Data input'!$I$844:$I$871&amp;'Data input'!$J$844:$J$871&amp;'Data input'!$K$844:$K$871,'Data input'!$L$844:$L$871)</f>
        <v>7.42222222222223E-2</v>
      </c>
      <c r="K155" s="609">
        <f t="shared" si="5"/>
        <v>18.435925238095233</v>
      </c>
      <c r="L155" s="330"/>
    </row>
    <row r="156" spans="5:12">
      <c r="E156" s="348">
        <v>2024</v>
      </c>
      <c r="F156" s="370" t="s">
        <v>349</v>
      </c>
      <c r="G156" s="350" t="s">
        <v>243</v>
      </c>
      <c r="H156" s="348" cm="1">
        <f t="array" ref="H156">_xlfn.XLOOKUP(E156&amp;F156&amp;G156,'Data input'!$I$779:$I$806&amp;'Data input'!$J$779:$J$806&amp;'Data input'!$K$779:$K$806,'Data input'!$L$779:$L$806)</f>
        <v>2</v>
      </c>
      <c r="I156" s="350">
        <f>SUMIFS('Data input'!$L$811:$L$838,'Data input'!$I$811:$I$838,E156,'Data input'!$J$811:$J$838,F156,'Data input'!$K$811:$K$838,G156)</f>
        <v>117.857142857143</v>
      </c>
      <c r="J156" s="350" cm="1">
        <f t="array" ref="J156">_xlfn.XLOOKUP(E156&amp;F156&amp;G156,'Data input'!$I$844:$I$871&amp;'Data input'!$J$844:$J$871&amp;'Data input'!$K$844:$K$871,'Data input'!$L$844:$L$871)</f>
        <v>6.7888888888888901E-2</v>
      </c>
      <c r="K156" s="609">
        <f t="shared" si="5"/>
        <v>16.002380952380975</v>
      </c>
      <c r="L156" s="330"/>
    </row>
    <row r="157" spans="5:12">
      <c r="E157" s="348">
        <v>2025</v>
      </c>
      <c r="F157" s="370" t="s">
        <v>349</v>
      </c>
      <c r="G157" s="350" t="s">
        <v>243</v>
      </c>
      <c r="H157" s="348" cm="1">
        <f t="array" ref="H157">_xlfn.XLOOKUP(E157&amp;F157&amp;G157,'Data input'!$I$779:$I$806&amp;'Data input'!$J$779:$J$806&amp;'Data input'!$K$779:$K$806,'Data input'!$L$779:$L$806)</f>
        <v>2.23</v>
      </c>
      <c r="I157" s="350">
        <f>SUMIFS('Data input'!$L$811:$L$838,'Data input'!$I$811:$I$838,E157,'Data input'!$J$811:$J$838,F157,'Data input'!$K$811:$K$838,G157)</f>
        <v>123.321428571429</v>
      </c>
      <c r="J157" s="350" cm="1">
        <f t="array" ref="J157">_xlfn.XLOOKUP(E157&amp;F157&amp;G157,'Data input'!$I$844:$I$871&amp;'Data input'!$J$844:$J$871&amp;'Data input'!$K$844:$K$871,'Data input'!$L$844:$L$871)</f>
        <v>6.1555555555555599E-2</v>
      </c>
      <c r="K157" s="609">
        <f t="shared" si="5"/>
        <v>16.928195476190545</v>
      </c>
      <c r="L157" s="330"/>
    </row>
    <row r="158" spans="5:12">
      <c r="E158" s="348">
        <v>2026</v>
      </c>
      <c r="F158" s="370" t="s">
        <v>349</v>
      </c>
      <c r="G158" s="350" t="s">
        <v>243</v>
      </c>
      <c r="H158" s="348" cm="1">
        <f t="array" ref="H158">_xlfn.XLOOKUP(E158&amp;F158&amp;G158,'Data input'!$I$779:$I$806&amp;'Data input'!$J$779:$J$806&amp;'Data input'!$K$779:$K$806,'Data input'!$L$779:$L$806)</f>
        <v>2.2400000000000002</v>
      </c>
      <c r="I158" s="350">
        <f>SUMIFS('Data input'!$L$811:$L$838,'Data input'!$I$811:$I$838,E158,'Data input'!$J$811:$J$838,F158,'Data input'!$K$811:$K$838,G158)</f>
        <v>128.78571428571399</v>
      </c>
      <c r="J158" s="350" cm="1">
        <f t="array" ref="J158">_xlfn.XLOOKUP(E158&amp;F158&amp;G158,'Data input'!$I$844:$I$871&amp;'Data input'!$J$844:$J$871&amp;'Data input'!$K$844:$K$871,'Data input'!$L$844:$L$871)</f>
        <v>5.5222222222222297E-2</v>
      </c>
      <c r="K158" s="609">
        <f t="shared" si="5"/>
        <v>15.930506666666655</v>
      </c>
      <c r="L158" s="330"/>
    </row>
    <row r="159" spans="5:12">
      <c r="E159" s="348">
        <v>2020</v>
      </c>
      <c r="F159" s="370" t="s">
        <v>348</v>
      </c>
      <c r="G159" s="350" t="s">
        <v>244</v>
      </c>
      <c r="H159" s="348" cm="1">
        <f t="array" ref="H159">_xlfn.XLOOKUP(E159&amp;F159&amp;G159,'Data input'!$I$779:$I$806&amp;'Data input'!$J$779:$J$806&amp;'Data input'!$K$779:$K$806,'Data input'!$L$779:$L$806)</f>
        <v>2.25</v>
      </c>
      <c r="I159" s="350">
        <f>SUMIFS('Data input'!$L$811:$L$838,'Data input'!$I$811:$I$838,E159,'Data input'!$J$811:$J$838,F159,'Data input'!$K$811:$K$838,G159)</f>
        <v>134.25</v>
      </c>
      <c r="J159" s="350" cm="1">
        <f t="array" ref="J159">_xlfn.XLOOKUP(E159&amp;F159&amp;G159,'Data input'!$I$844:$I$871&amp;'Data input'!$J$844:$J$871&amp;'Data input'!$K$844:$K$871,'Data input'!$L$844:$L$871)</f>
        <v>0.12</v>
      </c>
      <c r="K159" s="609">
        <f t="shared" si="5"/>
        <v>36.247499999999995</v>
      </c>
      <c r="L159" s="330"/>
    </row>
    <row r="160" spans="5:12">
      <c r="E160" s="348">
        <v>2021</v>
      </c>
      <c r="F160" s="370" t="s">
        <v>348</v>
      </c>
      <c r="G160" s="350" t="s">
        <v>244</v>
      </c>
      <c r="H160" s="348" cm="1">
        <f t="array" ref="H160">_xlfn.XLOOKUP(E160&amp;F160&amp;G160,'Data input'!$I$779:$I$806&amp;'Data input'!$J$779:$J$806&amp;'Data input'!$K$779:$K$806,'Data input'!$L$779:$L$806)</f>
        <v>2.2599999999999998</v>
      </c>
      <c r="I160" s="350">
        <f>SUMIFS('Data input'!$L$811:$L$838,'Data input'!$I$811:$I$838,E160,'Data input'!$J$811:$J$838,F160,'Data input'!$K$811:$K$838,G160)</f>
        <v>139.71428571428601</v>
      </c>
      <c r="J160" s="350" cm="1">
        <f t="array" ref="J160">_xlfn.XLOOKUP(E160&amp;F160&amp;G160,'Data input'!$I$844:$I$871&amp;'Data input'!$J$844:$J$871&amp;'Data input'!$K$844:$K$871,'Data input'!$L$844:$L$871)</f>
        <v>0.13</v>
      </c>
      <c r="K160" s="609">
        <f t="shared" si="5"/>
        <v>41.048057142857232</v>
      </c>
      <c r="L160" s="330"/>
    </row>
    <row r="161" spans="5:12">
      <c r="E161" s="348">
        <v>2022</v>
      </c>
      <c r="F161" s="370" t="s">
        <v>348</v>
      </c>
      <c r="G161" s="350" t="s">
        <v>244</v>
      </c>
      <c r="H161" s="348" cm="1">
        <f t="array" ref="H161">_xlfn.XLOOKUP(E161&amp;F161&amp;G161,'Data input'!$I$779:$I$806&amp;'Data input'!$J$779:$J$806&amp;'Data input'!$K$779:$K$806,'Data input'!$L$779:$L$806)</f>
        <v>2.27</v>
      </c>
      <c r="I161" s="350">
        <f>SUMIFS('Data input'!$L$811:$L$838,'Data input'!$I$811:$I$838,E161,'Data input'!$J$811:$J$838,F161,'Data input'!$K$811:$K$838,G161)</f>
        <v>145.17857142857099</v>
      </c>
      <c r="J161" s="350" cm="1">
        <f t="array" ref="J161">_xlfn.XLOOKUP(E161&amp;F161&amp;G161,'Data input'!$I$844:$I$871&amp;'Data input'!$J$844:$J$871&amp;'Data input'!$K$844:$K$871,'Data input'!$L$844:$L$871)</f>
        <v>0</v>
      </c>
      <c r="K161" s="609">
        <f t="shared" si="5"/>
        <v>0</v>
      </c>
      <c r="L161" s="330"/>
    </row>
    <row r="162" spans="5:12">
      <c r="E162" s="348">
        <v>2023</v>
      </c>
      <c r="F162" s="370" t="s">
        <v>348</v>
      </c>
      <c r="G162" s="350" t="s">
        <v>244</v>
      </c>
      <c r="H162" s="348" cm="1">
        <f t="array" ref="H162">_xlfn.XLOOKUP(E162&amp;F162&amp;G162,'Data input'!$I$779:$I$806&amp;'Data input'!$J$779:$J$806&amp;'Data input'!$K$779:$K$806,'Data input'!$L$779:$L$806)</f>
        <v>2.2799999999999998</v>
      </c>
      <c r="I162" s="350">
        <f>SUMIFS('Data input'!$L$811:$L$838,'Data input'!$I$811:$I$838,E162,'Data input'!$J$811:$J$838,F162,'Data input'!$K$811:$K$838,G162)</f>
        <v>150.642857142857</v>
      </c>
      <c r="J162" s="350" cm="1">
        <f t="array" ref="J162">_xlfn.XLOOKUP(E162&amp;F162&amp;G162,'Data input'!$I$844:$I$871&amp;'Data input'!$J$844:$J$871&amp;'Data input'!$K$844:$K$871,'Data input'!$L$844:$L$871)</f>
        <v>0.11</v>
      </c>
      <c r="K162" s="609">
        <f t="shared" si="5"/>
        <v>37.781228571428535</v>
      </c>
      <c r="L162" s="330"/>
    </row>
    <row r="163" spans="5:12">
      <c r="E163" s="348">
        <v>2024</v>
      </c>
      <c r="F163" s="370" t="s">
        <v>348</v>
      </c>
      <c r="G163" s="350" t="s">
        <v>244</v>
      </c>
      <c r="H163" s="348" cm="1">
        <f t="array" ref="H163">_xlfn.XLOOKUP(E163&amp;F163&amp;G163,'Data input'!$I$779:$I$806&amp;'Data input'!$J$779:$J$806&amp;'Data input'!$K$779:$K$806,'Data input'!$L$779:$L$806)</f>
        <v>2.29</v>
      </c>
      <c r="I163" s="350">
        <f>SUMIFS('Data input'!$L$811:$L$838,'Data input'!$I$811:$I$838,E163,'Data input'!$J$811:$J$838,F163,'Data input'!$K$811:$K$838,G163)</f>
        <v>156.107142857143</v>
      </c>
      <c r="J163" s="350" cm="1">
        <f t="array" ref="J163">_xlfn.XLOOKUP(E163&amp;F163&amp;G163,'Data input'!$I$844:$I$871&amp;'Data input'!$J$844:$J$871&amp;'Data input'!$K$844:$K$871,'Data input'!$L$844:$L$871)</f>
        <v>8.0555555555555602E-2</v>
      </c>
      <c r="K163" s="609">
        <f t="shared" si="5"/>
        <v>28.797431547619091</v>
      </c>
      <c r="L163" s="330"/>
    </row>
    <row r="164" spans="5:12">
      <c r="E164" s="348">
        <v>2025</v>
      </c>
      <c r="F164" s="370" t="s">
        <v>348</v>
      </c>
      <c r="G164" s="350" t="s">
        <v>244</v>
      </c>
      <c r="H164" s="348" cm="1">
        <f t="array" ref="H164">_xlfn.XLOOKUP(E164&amp;F164&amp;G164,'Data input'!$I$779:$I$806&amp;'Data input'!$J$779:$J$806&amp;'Data input'!$K$779:$K$806,'Data input'!$L$779:$L$806)</f>
        <v>2.2999999999999998</v>
      </c>
      <c r="I164" s="350">
        <f>SUMIFS('Data input'!$L$811:$L$838,'Data input'!$I$811:$I$838,E164,'Data input'!$J$811:$J$838,F164,'Data input'!$K$811:$K$838,G164)</f>
        <v>161.57142857142901</v>
      </c>
      <c r="J164" s="350" cm="1">
        <f t="array" ref="J164">_xlfn.XLOOKUP(E164&amp;F164&amp;G164,'Data input'!$I$844:$I$871&amp;'Data input'!$J$844:$J$871&amp;'Data input'!$K$844:$K$871,'Data input'!$L$844:$L$871)</f>
        <v>7.42222222222223E-2</v>
      </c>
      <c r="K164" s="609">
        <f t="shared" si="5"/>
        <v>27.582038095238197</v>
      </c>
      <c r="L164" s="330"/>
    </row>
    <row r="165" spans="5:12">
      <c r="E165" s="348">
        <v>2026</v>
      </c>
      <c r="F165" s="370" t="s">
        <v>348</v>
      </c>
      <c r="G165" s="350" t="s">
        <v>244</v>
      </c>
      <c r="H165" s="348" cm="1">
        <f t="array" ref="H165">_xlfn.XLOOKUP(E165&amp;F165&amp;G165,'Data input'!$I$779:$I$806&amp;'Data input'!$J$779:$J$806&amp;'Data input'!$K$779:$K$806,'Data input'!$L$779:$L$806)</f>
        <v>2.31</v>
      </c>
      <c r="I165" s="350">
        <f>SUMIFS('Data input'!$L$811:$L$838,'Data input'!$I$811:$I$838,E165,'Data input'!$J$811:$J$838,F165,'Data input'!$K$811:$K$838,G165)</f>
        <v>167.03571428571399</v>
      </c>
      <c r="J165" s="350" cm="1">
        <f t="array" ref="J165">_xlfn.XLOOKUP(E165&amp;F165&amp;G165,'Data input'!$I$844:$I$871&amp;'Data input'!$J$844:$J$871&amp;'Data input'!$K$844:$K$871,'Data input'!$L$844:$L$871)</f>
        <v>0.12</v>
      </c>
      <c r="K165" s="609">
        <f t="shared" si="5"/>
        <v>46.302299999999917</v>
      </c>
      <c r="L165" s="330"/>
    </row>
    <row r="166" spans="5:12">
      <c r="E166" s="348">
        <v>2020</v>
      </c>
      <c r="F166" s="370" t="s">
        <v>349</v>
      </c>
      <c r="G166" s="350" t="s">
        <v>244</v>
      </c>
      <c r="H166" s="348" cm="1">
        <f t="array" ref="H166">_xlfn.XLOOKUP(E166&amp;F166&amp;G166,'Data input'!$I$779:$I$806&amp;'Data input'!$J$779:$J$806&amp;'Data input'!$K$779:$K$806,'Data input'!$L$779:$L$806)</f>
        <v>2.3199999999999998</v>
      </c>
      <c r="I166" s="350">
        <f>SUMIFS('Data input'!$L$811:$L$838,'Data input'!$I$811:$I$838,E166,'Data input'!$J$811:$J$838,F166,'Data input'!$K$811:$K$838,G166)</f>
        <v>75</v>
      </c>
      <c r="J166" s="350" cm="1">
        <f t="array" ref="J166">_xlfn.XLOOKUP(E166&amp;F166&amp;G166,'Data input'!$I$844:$I$871&amp;'Data input'!$J$844:$J$871&amp;'Data input'!$K$844:$K$871,'Data input'!$L$844:$L$871)</f>
        <v>0.13</v>
      </c>
      <c r="K166" s="609">
        <f t="shared" si="5"/>
        <v>22.62</v>
      </c>
      <c r="L166" s="330"/>
    </row>
    <row r="167" spans="5:12">
      <c r="E167" s="348">
        <v>2021</v>
      </c>
      <c r="F167" s="370" t="s">
        <v>349</v>
      </c>
      <c r="G167" s="350" t="s">
        <v>244</v>
      </c>
      <c r="H167" s="348" cm="1">
        <f t="array" ref="H167">_xlfn.XLOOKUP(E167&amp;F167&amp;G167,'Data input'!$I$779:$I$806&amp;'Data input'!$J$779:$J$806&amp;'Data input'!$K$779:$K$806,'Data input'!$L$779:$L$806)</f>
        <v>2.33</v>
      </c>
      <c r="I167" s="350">
        <f>SUMIFS('Data input'!$L$811:$L$838,'Data input'!$I$811:$I$838,E167,'Data input'!$J$811:$J$838,F167,'Data input'!$K$811:$K$838,G167)</f>
        <v>80</v>
      </c>
      <c r="J167" s="350" cm="1">
        <f t="array" ref="J167">_xlfn.XLOOKUP(E167&amp;F167&amp;G167,'Data input'!$I$844:$I$871&amp;'Data input'!$J$844:$J$871&amp;'Data input'!$K$844:$K$871,'Data input'!$L$844:$L$871)</f>
        <v>0</v>
      </c>
      <c r="K167" s="609">
        <f t="shared" si="5"/>
        <v>0</v>
      </c>
      <c r="L167" s="330"/>
    </row>
    <row r="168" spans="5:12">
      <c r="E168" s="348">
        <v>2022</v>
      </c>
      <c r="F168" s="370" t="s">
        <v>349</v>
      </c>
      <c r="G168" s="350" t="s">
        <v>244</v>
      </c>
      <c r="H168" s="348" cm="1">
        <f t="array" ref="H168">_xlfn.XLOOKUP(E168&amp;F168&amp;G168,'Data input'!$I$779:$I$806&amp;'Data input'!$J$779:$J$806&amp;'Data input'!$K$779:$K$806,'Data input'!$L$779:$L$806)</f>
        <v>2.34</v>
      </c>
      <c r="I168" s="350">
        <f>SUMIFS('Data input'!$L$811:$L$838,'Data input'!$I$811:$I$838,E168,'Data input'!$J$811:$J$838,F168,'Data input'!$K$811:$K$838,G168)</f>
        <v>85</v>
      </c>
      <c r="J168" s="350" cm="1">
        <f t="array" ref="J168">_xlfn.XLOOKUP(E168&amp;F168&amp;G168,'Data input'!$I$844:$I$871&amp;'Data input'!$J$844:$J$871&amp;'Data input'!$K$844:$K$871,'Data input'!$L$844:$L$871)</f>
        <v>0.11</v>
      </c>
      <c r="K168" s="609">
        <f t="shared" si="5"/>
        <v>21.878999999999998</v>
      </c>
      <c r="L168" s="330"/>
    </row>
    <row r="169" spans="5:12">
      <c r="E169" s="348">
        <v>2023</v>
      </c>
      <c r="F169" s="370" t="s">
        <v>349</v>
      </c>
      <c r="G169" s="350" t="s">
        <v>244</v>
      </c>
      <c r="H169" s="348" cm="1">
        <f t="array" ref="H169">_xlfn.XLOOKUP(E169&amp;F169&amp;G169,'Data input'!$I$779:$I$806&amp;'Data input'!$J$779:$J$806&amp;'Data input'!$K$779:$K$806,'Data input'!$L$779:$L$806)</f>
        <v>2.3500000000000099</v>
      </c>
      <c r="I169" s="350">
        <f>SUMIFS('Data input'!$L$811:$L$838,'Data input'!$I$811:$I$838,E169,'Data input'!$J$811:$J$838,F169,'Data input'!$K$811:$K$838,G169)</f>
        <v>90</v>
      </c>
      <c r="J169" s="350" cm="1">
        <f t="array" ref="J169">_xlfn.XLOOKUP(E169&amp;F169&amp;G169,'Data input'!$I$844:$I$871&amp;'Data input'!$J$844:$J$871&amp;'Data input'!$K$844:$K$871,'Data input'!$L$844:$L$871)</f>
        <v>8.0555555555555602E-2</v>
      </c>
      <c r="K169" s="609">
        <f t="shared" si="5"/>
        <v>17.03750000000008</v>
      </c>
      <c r="L169" s="330"/>
    </row>
    <row r="170" spans="5:12">
      <c r="E170" s="348">
        <v>2024</v>
      </c>
      <c r="F170" s="370" t="s">
        <v>349</v>
      </c>
      <c r="G170" s="350" t="s">
        <v>244</v>
      </c>
      <c r="H170" s="348" cm="1">
        <f t="array" ref="H170">_xlfn.XLOOKUP(E170&amp;F170&amp;G170,'Data input'!$I$779:$I$806&amp;'Data input'!$J$779:$J$806&amp;'Data input'!$K$779:$K$806,'Data input'!$L$779:$L$806)</f>
        <v>2.3600000000000101</v>
      </c>
      <c r="I170" s="350">
        <f>SUMIFS('Data input'!$L$811:$L$838,'Data input'!$I$811:$I$838,E170,'Data input'!$J$811:$J$838,F170,'Data input'!$K$811:$K$838,G170)</f>
        <v>96</v>
      </c>
      <c r="J170" s="350" cm="1">
        <f t="array" ref="J170">_xlfn.XLOOKUP(E170&amp;F170&amp;G170,'Data input'!$I$844:$I$871&amp;'Data input'!$J$844:$J$871&amp;'Data input'!$K$844:$K$871,'Data input'!$L$844:$L$871)</f>
        <v>7.42222222222223E-2</v>
      </c>
      <c r="K170" s="609">
        <f t="shared" si="5"/>
        <v>16.815786666666757</v>
      </c>
      <c r="L170" s="330"/>
    </row>
    <row r="171" spans="5:12">
      <c r="E171" s="348">
        <v>2025</v>
      </c>
      <c r="F171" s="370" t="s">
        <v>349</v>
      </c>
      <c r="G171" s="350" t="s">
        <v>244</v>
      </c>
      <c r="H171" s="348" cm="1">
        <f t="array" ref="H171">_xlfn.XLOOKUP(E171&amp;F171&amp;G171,'Data input'!$I$779:$I$806&amp;'Data input'!$J$779:$J$806&amp;'Data input'!$K$779:$K$806,'Data input'!$L$779:$L$806)</f>
        <v>2.3700000000000099</v>
      </c>
      <c r="I171" s="350">
        <f>SUMIFS('Data input'!$L$811:$L$838,'Data input'!$I$811:$I$838,E171,'Data input'!$J$811:$J$838,F171,'Data input'!$K$811:$K$838,G171)</f>
        <v>101.46428571428601</v>
      </c>
      <c r="J171" s="350" cm="1">
        <f t="array" ref="J171">_xlfn.XLOOKUP(E171&amp;F171&amp;G171,'Data input'!$I$844:$I$871&amp;'Data input'!$J$844:$J$871&amp;'Data input'!$K$844:$K$871,'Data input'!$L$844:$L$871)</f>
        <v>8.0555555555555602E-2</v>
      </c>
      <c r="K171" s="609">
        <f t="shared" si="5"/>
        <v>19.371223214285862</v>
      </c>
      <c r="L171" s="330"/>
    </row>
    <row r="172" spans="5:12">
      <c r="E172" s="352">
        <v>2026</v>
      </c>
      <c r="F172" s="353" t="s">
        <v>349</v>
      </c>
      <c r="G172" s="353" t="s">
        <v>244</v>
      </c>
      <c r="H172" s="352" cm="1">
        <f t="array" ref="H172">_xlfn.XLOOKUP(E172&amp;F172&amp;G172,'Data input'!$I$779:$I$806&amp;'Data input'!$J$779:$J$806&amp;'Data input'!$K$779:$K$806,'Data input'!$L$779:$L$806)</f>
        <v>2.3800000000000101</v>
      </c>
      <c r="I172" s="353">
        <f>SUMIFS('Data input'!$L$811:$L$838,'Data input'!$I$811:$I$838,E172,'Data input'!$J$811:$J$838,F172,'Data input'!$K$811:$K$838,G172)</f>
        <v>106.928571428571</v>
      </c>
      <c r="J172" s="353" cm="1">
        <f t="array" ref="J172">_xlfn.XLOOKUP(E172&amp;F172&amp;G172,'Data input'!$I$844:$I$871&amp;'Data input'!$J$844:$J$871&amp;'Data input'!$K$844:$K$871,'Data input'!$L$844:$L$871)</f>
        <v>7.42222222222223E-2</v>
      </c>
      <c r="K172" s="616">
        <f t="shared" si="5"/>
        <v>18.88881333333336</v>
      </c>
      <c r="L172" s="330"/>
    </row>
    <row r="173" spans="5:12">
      <c r="H173" s="330"/>
      <c r="I173" s="330"/>
      <c r="J173" s="330"/>
      <c r="K173" s="421">
        <f>SUM(K145:K172)</f>
        <v>577.93759285714361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3C7C6-8F0C-4E73-B715-89CAC08434A1}">
  <dimension ref="D2:O395"/>
  <sheetViews>
    <sheetView topLeftCell="A191" workbookViewId="0">
      <selection activeCell="J279" sqref="J279"/>
    </sheetView>
  </sheetViews>
  <sheetFormatPr baseColWidth="10" defaultColWidth="8.83203125" defaultRowHeight="15"/>
  <cols>
    <col min="6" max="6" width="20.6640625" customWidth="1"/>
    <col min="7" max="7" width="19.6640625" customWidth="1"/>
    <col min="8" max="8" width="21.83203125" customWidth="1"/>
    <col min="9" max="9" width="20.1640625" customWidth="1"/>
    <col min="10" max="10" width="32.33203125" customWidth="1"/>
    <col min="11" max="11" width="19.5" customWidth="1"/>
    <col min="12" max="12" width="21.83203125" customWidth="1"/>
    <col min="13" max="13" width="21.5" customWidth="1"/>
  </cols>
  <sheetData>
    <row r="2" spans="4:14" s="380" customFormat="1" ht="31.5" customHeight="1">
      <c r="F2" s="387" t="s">
        <v>356</v>
      </c>
    </row>
    <row r="5" spans="4:14">
      <c r="D5" s="181"/>
      <c r="E5" s="181"/>
      <c r="F5" s="285" t="s">
        <v>357</v>
      </c>
      <c r="G5" s="181"/>
      <c r="H5" s="181"/>
      <c r="I5" s="181"/>
      <c r="J5" s="181"/>
      <c r="K5" s="181"/>
      <c r="L5" s="181"/>
      <c r="M5" s="181"/>
      <c r="N5" s="181"/>
    </row>
    <row r="6" spans="4:14">
      <c r="D6" s="181"/>
      <c r="E6" s="181"/>
      <c r="F6" s="159" t="s">
        <v>358</v>
      </c>
      <c r="G6" s="159"/>
      <c r="H6" s="159"/>
      <c r="I6" s="181"/>
      <c r="J6" s="181"/>
      <c r="K6" s="181"/>
      <c r="L6" s="181"/>
      <c r="M6" s="181"/>
      <c r="N6" s="181"/>
    </row>
    <row r="7" spans="4:14">
      <c r="D7" s="181"/>
      <c r="E7" s="181"/>
      <c r="F7" s="159" t="s">
        <v>359</v>
      </c>
      <c r="G7" s="159"/>
      <c r="H7" s="159"/>
      <c r="I7" s="181"/>
      <c r="J7" s="181"/>
      <c r="K7" s="181"/>
      <c r="L7" s="181"/>
      <c r="M7" s="181"/>
      <c r="N7" s="181"/>
    </row>
    <row r="8" spans="4:14">
      <c r="D8" s="181"/>
      <c r="E8" s="181"/>
      <c r="F8" s="159" t="s">
        <v>360</v>
      </c>
      <c r="G8" s="159"/>
      <c r="H8" s="159"/>
      <c r="I8" s="181"/>
      <c r="J8" s="181"/>
      <c r="K8" s="181"/>
      <c r="L8" s="181"/>
      <c r="M8" s="181"/>
      <c r="N8" s="181"/>
    </row>
    <row r="9" spans="4:14">
      <c r="D9" s="181"/>
      <c r="E9" s="181"/>
      <c r="F9" s="159" t="s">
        <v>361</v>
      </c>
      <c r="G9" s="159"/>
      <c r="H9" s="159"/>
      <c r="I9" s="181"/>
      <c r="J9" s="181"/>
      <c r="K9" s="181"/>
      <c r="L9" s="181"/>
      <c r="M9" s="181"/>
      <c r="N9" s="181"/>
    </row>
    <row r="10" spans="4:14">
      <c r="D10" s="181"/>
      <c r="E10" s="181"/>
      <c r="F10" s="159"/>
      <c r="G10" s="159"/>
      <c r="H10" s="159"/>
      <c r="I10" s="181"/>
      <c r="J10" s="181"/>
      <c r="K10" s="181"/>
      <c r="L10" s="181"/>
      <c r="M10" s="181"/>
      <c r="N10" s="181"/>
    </row>
    <row r="11" spans="4:14">
      <c r="D11" s="181"/>
      <c r="E11" s="181"/>
      <c r="F11" s="159"/>
      <c r="G11" s="159"/>
      <c r="H11" s="159"/>
      <c r="I11" s="181"/>
      <c r="J11" s="181"/>
      <c r="K11" s="181"/>
      <c r="L11" s="181"/>
      <c r="M11" s="181"/>
      <c r="N11" s="181"/>
    </row>
    <row r="12" spans="4:14">
      <c r="D12" s="181"/>
      <c r="E12" s="181"/>
      <c r="F12" s="159"/>
      <c r="G12" s="159"/>
      <c r="H12" s="159"/>
      <c r="I12" s="181"/>
      <c r="J12" s="181"/>
      <c r="K12" s="181"/>
      <c r="L12" s="181"/>
      <c r="M12" s="181"/>
      <c r="N12" s="181"/>
    </row>
    <row r="13" spans="4:14">
      <c r="D13" s="181"/>
      <c r="E13" s="181"/>
      <c r="F13" s="372" t="s">
        <v>362</v>
      </c>
      <c r="G13" s="372"/>
      <c r="H13" s="372"/>
      <c r="I13" s="181"/>
      <c r="J13" s="181"/>
      <c r="K13" s="181"/>
      <c r="L13" s="181"/>
      <c r="M13" s="181"/>
      <c r="N13" s="181"/>
    </row>
    <row r="14" spans="4:14" ht="16" thickBot="1">
      <c r="D14" s="181"/>
      <c r="E14" s="181"/>
      <c r="F14" s="321" t="s">
        <v>224</v>
      </c>
      <c r="G14" s="181"/>
      <c r="H14" s="181"/>
      <c r="I14" s="181"/>
      <c r="J14" s="181"/>
      <c r="K14" s="181"/>
      <c r="L14" s="181"/>
      <c r="M14" s="181"/>
    </row>
    <row r="15" spans="4:14">
      <c r="D15" s="181"/>
      <c r="E15" s="181"/>
      <c r="F15" s="181"/>
      <c r="G15" s="181"/>
      <c r="H15" s="181"/>
      <c r="I15" s="181"/>
      <c r="J15" s="181"/>
      <c r="K15" s="181"/>
      <c r="L15" s="181"/>
      <c r="M15" s="181"/>
    </row>
    <row r="16" spans="4:14">
      <c r="D16" s="181"/>
      <c r="E16" s="181"/>
      <c r="F16" s="181"/>
      <c r="G16" s="181"/>
      <c r="H16" s="181"/>
      <c r="I16" s="181"/>
      <c r="J16" s="181"/>
      <c r="K16" s="181"/>
      <c r="L16" s="181"/>
      <c r="M16" s="181"/>
    </row>
    <row r="17" spans="4:15">
      <c r="D17" s="181"/>
      <c r="E17" s="181"/>
      <c r="F17" s="359"/>
      <c r="G17" s="363"/>
      <c r="H17" s="181"/>
      <c r="I17" s="181"/>
      <c r="J17" s="181"/>
      <c r="K17" s="181"/>
      <c r="L17" s="181"/>
      <c r="M17" s="181"/>
    </row>
    <row r="18" spans="4:15">
      <c r="D18" s="181"/>
      <c r="E18" s="181"/>
      <c r="F18" s="360"/>
      <c r="G18" s="364"/>
      <c r="H18" s="181"/>
      <c r="I18" s="181"/>
      <c r="J18" s="181"/>
      <c r="K18" s="181"/>
      <c r="L18" s="181"/>
      <c r="M18" s="181"/>
    </row>
    <row r="19" spans="4:15" ht="17">
      <c r="D19" s="181"/>
      <c r="E19" s="181"/>
      <c r="F19" s="360" t="s">
        <v>233</v>
      </c>
      <c r="G19" s="365" t="s">
        <v>263</v>
      </c>
      <c r="H19" s="181"/>
      <c r="I19" s="181"/>
      <c r="J19" s="181"/>
      <c r="K19" s="181"/>
      <c r="L19" s="181"/>
      <c r="M19" s="181"/>
    </row>
    <row r="20" spans="4:15" ht="18" thickBot="1">
      <c r="D20" s="181"/>
      <c r="E20" s="181"/>
      <c r="F20" s="361"/>
      <c r="G20" s="366" t="s">
        <v>11</v>
      </c>
      <c r="H20" s="181"/>
      <c r="I20" s="181"/>
      <c r="J20" s="181"/>
      <c r="K20" s="181"/>
      <c r="L20" s="181"/>
      <c r="M20" s="181"/>
    </row>
    <row r="21" spans="4:15">
      <c r="D21" s="181"/>
      <c r="E21" s="181"/>
      <c r="F21" s="360">
        <v>2020</v>
      </c>
      <c r="G21" s="367">
        <f>IF('Tool 03 Calcs'!$F$14="Option A1", SUMIFS('Tool 03 Calcs'!$L$36:$L$63, 'Tool 03 Calcs'!$F$36:$F$63, F21),
 IF('Tool 03 Calcs'!$F$14="Option A2", SUMIFS('Tool 03 Calcs'!$M$71:$M$98, 'Tool 03 Calcs'!$F$71:$F$98, F21),
 IF('Tool 03 Calcs'!$F$14="Option B", SUMIFS('Tool 03 Calcs'!$M$106:$M$133, 'Tool 03 Calcs'!$F$106:$F$133, F21), 0)))</f>
        <v>39.085566666666665</v>
      </c>
      <c r="H21" s="181"/>
      <c r="I21" s="181"/>
      <c r="J21" s="181"/>
      <c r="K21" s="181"/>
      <c r="L21" s="181"/>
      <c r="M21" s="181"/>
    </row>
    <row r="22" spans="4:15">
      <c r="D22" s="181"/>
      <c r="E22" s="181"/>
      <c r="F22" s="360">
        <v>2021</v>
      </c>
      <c r="G22" s="364">
        <f>IF('Tool 03 Calcs'!$F$14="Option A1", SUMIFS('Tool 03 Calcs'!$L$36:$L$63, 'Tool 03 Calcs'!$F$36:$F$63, F22),
 IF('Tool 03 Calcs'!$F$14="Option A2", SUMIFS('Tool 03 Calcs'!$M$71:$M$98, 'Tool 03 Calcs'!$F$71:$F$98, F22),
 IF('Tool 03 Calcs'!$F$14="Option B", SUMIFS('Tool 03 Calcs'!$M$106:$M$133, 'Tool 03 Calcs'!$F$106:$F$133, F22), 0)))</f>
        <v>28.724666666666664</v>
      </c>
      <c r="H22" s="181"/>
      <c r="I22" s="181"/>
      <c r="J22" s="181"/>
      <c r="K22" s="181"/>
      <c r="L22" s="181"/>
      <c r="M22" s="181"/>
    </row>
    <row r="23" spans="4:15">
      <c r="D23" s="181"/>
      <c r="E23" s="181"/>
      <c r="F23" s="360">
        <v>2022</v>
      </c>
      <c r="G23" s="364">
        <f>IF('Tool 03 Calcs'!$F$14="Option A1", SUMIFS('Tool 03 Calcs'!$L$36:$L$63, 'Tool 03 Calcs'!$F$36:$F$63, F23),
 IF('Tool 03 Calcs'!$F$14="Option A2", SUMIFS('Tool 03 Calcs'!$M$71:$M$98, 'Tool 03 Calcs'!$F$71:$F$98, F23),
 IF('Tool 03 Calcs'!$F$14="Option B", SUMIFS('Tool 03 Calcs'!$M$106:$M$133, 'Tool 03 Calcs'!$F$106:$F$133, F23), 0)))</f>
        <v>30.585499999999996</v>
      </c>
      <c r="H23" s="181"/>
      <c r="I23" s="181"/>
      <c r="J23" s="181"/>
      <c r="K23" s="181"/>
      <c r="L23" s="181"/>
      <c r="M23" s="181"/>
    </row>
    <row r="24" spans="4:15">
      <c r="D24" s="181"/>
      <c r="E24" s="181"/>
      <c r="F24" s="360">
        <v>2023</v>
      </c>
      <c r="G24" s="364">
        <f>IF('Tool 03 Calcs'!$F$14="Option A1", SUMIFS('Tool 03 Calcs'!$L$36:$L$63, 'Tool 03 Calcs'!$F$36:$F$63, F24),
 IF('Tool 03 Calcs'!$F$14="Option A2", SUMIFS('Tool 03 Calcs'!$M$71:$M$98, 'Tool 03 Calcs'!$F$71:$F$98, F24),
 IF('Tool 03 Calcs'!$F$14="Option B", SUMIFS('Tool 03 Calcs'!$M$106:$M$133, 'Tool 03 Calcs'!$F$106:$F$133, F24), 0)))</f>
        <v>37.324466666666666</v>
      </c>
      <c r="H24" s="181"/>
      <c r="I24" s="181"/>
      <c r="J24" s="181"/>
      <c r="K24" s="181"/>
      <c r="L24" s="181"/>
      <c r="M24" s="181"/>
    </row>
    <row r="25" spans="4:15">
      <c r="D25" s="181"/>
      <c r="E25" s="181"/>
      <c r="F25" s="360">
        <v>2024</v>
      </c>
      <c r="G25" s="364">
        <f>IF('Tool 03 Calcs'!$F$14="Option A1", SUMIFS('Tool 03 Calcs'!$L$36:$L$63, 'Tool 03 Calcs'!$F$36:$F$63, F25),
 IF('Tool 03 Calcs'!$F$14="Option A2", SUMIFS('Tool 03 Calcs'!$M$71:$M$98, 'Tool 03 Calcs'!$F$71:$F$98, F25),
 IF('Tool 03 Calcs'!$F$14="Option B", SUMIFS('Tool 03 Calcs'!$M$106:$M$133, 'Tool 03 Calcs'!$F$106:$F$133, F25), 0)))</f>
        <v>33.45356666666666</v>
      </c>
      <c r="H25" s="181"/>
      <c r="I25" s="181"/>
      <c r="J25" s="181"/>
      <c r="K25" s="181"/>
      <c r="L25" s="181"/>
      <c r="M25" s="181"/>
    </row>
    <row r="26" spans="4:15">
      <c r="D26" s="181"/>
      <c r="E26" s="181"/>
      <c r="F26" s="360">
        <v>2025</v>
      </c>
      <c r="G26" s="364">
        <f>IF('Tool 03 Calcs'!$F$14="Option A1", SUMIFS('Tool 03 Calcs'!$L$36:$L$63, 'Tool 03 Calcs'!$F$36:$F$63, F26),
 IF('Tool 03 Calcs'!$F$14="Option A2", SUMIFS('Tool 03 Calcs'!$M$71:$M$98, 'Tool 03 Calcs'!$F$71:$F$98, F26),
 IF('Tool 03 Calcs'!$F$14="Option B", SUMIFS('Tool 03 Calcs'!$M$106:$M$133, 'Tool 03 Calcs'!$F$106:$F$133, F26), 0)))</f>
        <v>31.924199999999999</v>
      </c>
      <c r="H26" s="181"/>
      <c r="I26" s="181"/>
      <c r="J26" s="181"/>
      <c r="K26" s="181"/>
      <c r="L26" s="181"/>
      <c r="M26" s="181"/>
    </row>
    <row r="27" spans="4:15" ht="16" thickBot="1">
      <c r="D27" s="181"/>
      <c r="E27" s="181"/>
      <c r="F27" s="362">
        <v>2026</v>
      </c>
      <c r="G27" s="368">
        <f>IF('Tool 03 Calcs'!$F$14="Option A1", SUMIFS('Tool 03 Calcs'!$L$36:$L$63, 'Tool 03 Calcs'!$F$36:$F$63, F27),
 IF('Tool 03 Calcs'!$F$14="Option A2", SUMIFS('Tool 03 Calcs'!$M$71:$M$98, 'Tool 03 Calcs'!$F$71:$F$98, F27),
 IF('Tool 03 Calcs'!$F$14="Option B", SUMIFS('Tool 03 Calcs'!$M$106:$M$133, 'Tool 03 Calcs'!$F$106:$F$133, F27), 0)))</f>
        <v>37.808833333333332</v>
      </c>
      <c r="H27" s="181"/>
      <c r="I27" s="181"/>
      <c r="J27" s="181"/>
      <c r="K27" s="181"/>
      <c r="L27" s="181"/>
      <c r="M27" s="181"/>
    </row>
    <row r="28" spans="4:15">
      <c r="D28" s="181"/>
      <c r="E28" s="181"/>
      <c r="F28" s="181"/>
      <c r="G28" s="284">
        <f>SUM(G21:G27)</f>
        <v>238.90679999999998</v>
      </c>
      <c r="H28" s="181"/>
      <c r="I28" s="181"/>
      <c r="J28" s="181"/>
      <c r="K28" s="181"/>
      <c r="L28" s="181"/>
      <c r="M28" s="181"/>
    </row>
    <row r="29" spans="4:15">
      <c r="D29" s="181"/>
      <c r="E29" s="181"/>
      <c r="F29" s="181"/>
      <c r="G29" s="181"/>
      <c r="H29" s="181"/>
      <c r="I29" s="181"/>
      <c r="J29" s="181"/>
      <c r="K29" s="181"/>
      <c r="L29" s="181"/>
      <c r="M29" s="181"/>
      <c r="N29" s="181"/>
    </row>
    <row r="30" spans="4:15">
      <c r="D30" s="181"/>
      <c r="E30" s="181"/>
      <c r="F30" s="181"/>
      <c r="G30" s="181"/>
      <c r="H30" s="181"/>
      <c r="I30" s="181"/>
      <c r="J30" s="181"/>
      <c r="K30" s="181"/>
      <c r="L30" s="181"/>
      <c r="M30" s="181"/>
      <c r="N30" s="181"/>
    </row>
    <row r="31" spans="4:15">
      <c r="D31" s="181"/>
      <c r="E31" s="181"/>
      <c r="F31" s="336" t="s">
        <v>363</v>
      </c>
      <c r="G31" s="330"/>
      <c r="H31" s="330"/>
      <c r="I31" s="330"/>
      <c r="J31" s="330"/>
      <c r="K31" s="330"/>
      <c r="L31" s="330"/>
      <c r="M31" s="330"/>
      <c r="N31" s="181"/>
    </row>
    <row r="32" spans="4:15">
      <c r="D32" s="181"/>
      <c r="E32" s="181"/>
      <c r="F32" s="309"/>
      <c r="G32" s="310"/>
      <c r="H32" s="311"/>
      <c r="I32" s="312"/>
      <c r="J32" s="317" t="s">
        <v>84</v>
      </c>
      <c r="K32" s="310"/>
      <c r="L32" s="318" t="s">
        <v>84</v>
      </c>
      <c r="M32" s="159"/>
      <c r="N32" s="147"/>
      <c r="O32" s="147"/>
    </row>
    <row r="33" spans="4:15">
      <c r="D33" s="181"/>
      <c r="E33" s="181"/>
      <c r="F33" s="313"/>
      <c r="G33" s="330"/>
      <c r="H33" s="314"/>
      <c r="I33" s="315"/>
      <c r="J33" s="331" t="s">
        <v>33</v>
      </c>
      <c r="K33" s="330"/>
      <c r="L33" s="319" t="s">
        <v>12</v>
      </c>
      <c r="M33" s="152"/>
      <c r="N33" s="147"/>
      <c r="O33" s="147"/>
    </row>
    <row r="34" spans="4:15" ht="17">
      <c r="D34" s="181"/>
      <c r="E34" s="181"/>
      <c r="F34" s="152" t="s">
        <v>335</v>
      </c>
      <c r="G34" s="340" t="s">
        <v>364</v>
      </c>
      <c r="H34" s="229" t="s">
        <v>242</v>
      </c>
      <c r="I34" s="152" t="s">
        <v>365</v>
      </c>
      <c r="J34" s="333" t="s">
        <v>123</v>
      </c>
      <c r="K34" s="157" t="s">
        <v>120</v>
      </c>
      <c r="L34" s="358" t="s">
        <v>366</v>
      </c>
      <c r="M34" s="152"/>
      <c r="N34" s="181"/>
    </row>
    <row r="35" spans="4:15" ht="17">
      <c r="D35" s="181"/>
      <c r="E35" s="181"/>
      <c r="F35" s="152"/>
      <c r="G35" s="157"/>
      <c r="H35" s="153"/>
      <c r="I35" s="152" t="s">
        <v>124</v>
      </c>
      <c r="J35" s="333" t="s">
        <v>124</v>
      </c>
      <c r="K35" s="157" t="s">
        <v>367</v>
      </c>
      <c r="L35" s="320" t="s">
        <v>368</v>
      </c>
      <c r="M35" s="152"/>
      <c r="N35" s="181"/>
    </row>
    <row r="36" spans="4:15">
      <c r="D36" s="181"/>
      <c r="E36" s="181"/>
      <c r="F36" s="205">
        <v>2020</v>
      </c>
      <c r="G36" s="226" t="s">
        <v>369</v>
      </c>
      <c r="H36" s="226" t="s">
        <v>243</v>
      </c>
      <c r="I36" s="205" cm="1">
        <f t="array" ref="I36">_xlfn.XLOOKUP(F36&amp;G36&amp;H36,'Data input'!$I$883:$I$910&amp;'Data input'!$J$883:$J$910&amp;'Data input'!$K$883:$K$910,'Data input'!$L$883:$L$910)</f>
        <v>0.50190000000000001</v>
      </c>
      <c r="J36" s="427">
        <f t="shared" ref="J36" si="0">I36*(44/12)</f>
        <v>1.8403</v>
      </c>
      <c r="K36" s="428">
        <f>SUMIFS('Data input'!$L$915:$L$942,'Data input'!$I$915:$I$942,F36,'Data input'!$J$915:$J$942,G36,'Data input'!$K$915:$K$942,H36)</f>
        <v>5</v>
      </c>
      <c r="L36" s="429">
        <f t="shared" ref="L36" si="1">J36*K36</f>
        <v>9.2014999999999993</v>
      </c>
      <c r="M36" s="157"/>
      <c r="N36" s="181"/>
    </row>
    <row r="37" spans="4:15">
      <c r="D37" s="181"/>
      <c r="E37" s="181"/>
      <c r="F37" s="207">
        <v>2021</v>
      </c>
      <c r="G37" s="157" t="s">
        <v>369</v>
      </c>
      <c r="H37" s="157" t="s">
        <v>243</v>
      </c>
      <c r="I37" s="207" cm="1">
        <f t="array" ref="I37">_xlfn.XLOOKUP(F37&amp;G37&amp;H37,'Data input'!$I$883:$I$910&amp;'Data input'!$J$883:$J$910&amp;'Data input'!$K$883:$K$910,'Data input'!$L$883:$L$910)</f>
        <v>0.502</v>
      </c>
      <c r="J37" s="337">
        <f t="shared" ref="J37:J63" si="2">I37*(44/12)</f>
        <v>1.8406666666666667</v>
      </c>
      <c r="K37" s="426">
        <f>SUMIFS('Data input'!$L$915:$L$942,'Data input'!$I$915:$I$942,F37,'Data input'!$J$915:$J$942,G37,'Data input'!$K$915:$K$942,H37)</f>
        <v>4</v>
      </c>
      <c r="L37" s="430">
        <f t="shared" ref="L37:L63" si="3">J37*K37</f>
        <v>7.3626666666666667</v>
      </c>
      <c r="M37" s="157"/>
      <c r="N37" s="181"/>
    </row>
    <row r="38" spans="4:15">
      <c r="D38" s="181"/>
      <c r="E38" s="181"/>
      <c r="F38" s="207">
        <v>2022</v>
      </c>
      <c r="G38" s="157" t="s">
        <v>369</v>
      </c>
      <c r="H38" s="157" t="s">
        <v>243</v>
      </c>
      <c r="I38" s="207" cm="1">
        <f t="array" ref="I38">_xlfn.XLOOKUP(F38&amp;G38&amp;H38,'Data input'!$I$883:$I$910&amp;'Data input'!$J$883:$J$910&amp;'Data input'!$K$883:$K$910,'Data input'!$L$883:$L$910)</f>
        <v>0.50209999999999999</v>
      </c>
      <c r="J38" s="337">
        <f t="shared" si="2"/>
        <v>1.8410333333333333</v>
      </c>
      <c r="K38" s="426">
        <f>SUMIFS('Data input'!$L$915:$L$942,'Data input'!$I$915:$I$942,F38,'Data input'!$J$915:$J$942,G38,'Data input'!$K$915:$K$942,H38)</f>
        <v>1</v>
      </c>
      <c r="L38" s="430">
        <f t="shared" si="3"/>
        <v>1.8410333333333333</v>
      </c>
      <c r="M38" s="157"/>
      <c r="N38" s="181"/>
    </row>
    <row r="39" spans="4:15">
      <c r="D39" s="181"/>
      <c r="E39" s="181"/>
      <c r="F39" s="207">
        <v>2023</v>
      </c>
      <c r="G39" s="157" t="s">
        <v>369</v>
      </c>
      <c r="H39" s="157" t="s">
        <v>243</v>
      </c>
      <c r="I39" s="207" cm="1">
        <f t="array" ref="I39">_xlfn.XLOOKUP(F39&amp;G39&amp;H39,'Data input'!$I$883:$I$910&amp;'Data input'!$J$883:$J$910&amp;'Data input'!$K$883:$K$910,'Data input'!$L$883:$L$910)</f>
        <v>0.50219999999999998</v>
      </c>
      <c r="J39" s="337">
        <f t="shared" si="2"/>
        <v>1.8413999999999999</v>
      </c>
      <c r="K39" s="426">
        <f>SUMIFS('Data input'!$L$915:$L$942,'Data input'!$I$915:$I$942,F39,'Data input'!$J$915:$J$942,G39,'Data input'!$K$915:$K$942,H39)</f>
        <v>2</v>
      </c>
      <c r="L39" s="430">
        <f t="shared" si="3"/>
        <v>3.6827999999999999</v>
      </c>
      <c r="M39" s="330"/>
      <c r="N39" s="181"/>
    </row>
    <row r="40" spans="4:15">
      <c r="D40" s="181"/>
      <c r="E40" s="181"/>
      <c r="F40" s="207">
        <v>2024</v>
      </c>
      <c r="G40" s="157" t="s">
        <v>369</v>
      </c>
      <c r="H40" s="157" t="s">
        <v>243</v>
      </c>
      <c r="I40" s="207" cm="1">
        <f t="array" ref="I40">_xlfn.XLOOKUP(F40&amp;G40&amp;H40,'Data input'!$I$883:$I$910&amp;'Data input'!$J$883:$J$910&amp;'Data input'!$K$883:$K$910,'Data input'!$L$883:$L$910)</f>
        <v>0.50229999999999997</v>
      </c>
      <c r="J40" s="337">
        <f t="shared" si="2"/>
        <v>1.8417666666666666</v>
      </c>
      <c r="K40" s="426">
        <f>SUMIFS('Data input'!$L$915:$L$942,'Data input'!$I$915:$I$942,F40,'Data input'!$J$915:$J$942,G40,'Data input'!$K$915:$K$942,H40)</f>
        <v>5</v>
      </c>
      <c r="L40" s="430">
        <f t="shared" si="3"/>
        <v>9.2088333333333328</v>
      </c>
      <c r="M40" s="330"/>
      <c r="N40" s="181"/>
    </row>
    <row r="41" spans="4:15">
      <c r="D41" s="181"/>
      <c r="E41" s="181"/>
      <c r="F41" s="207">
        <v>2025</v>
      </c>
      <c r="G41" s="157" t="s">
        <v>369</v>
      </c>
      <c r="H41" s="157" t="s">
        <v>243</v>
      </c>
      <c r="I41" s="207" cm="1">
        <f t="array" ref="I41">_xlfn.XLOOKUP(F41&amp;G41&amp;H41,'Data input'!$I$883:$I$910&amp;'Data input'!$J$883:$J$910&amp;'Data input'!$K$883:$K$910,'Data input'!$L$883:$L$910)</f>
        <v>0.50239999999999996</v>
      </c>
      <c r="J41" s="337">
        <f t="shared" si="2"/>
        <v>1.8421333333333332</v>
      </c>
      <c r="K41" s="426">
        <f>SUMIFS('Data input'!$L$915:$L$942,'Data input'!$I$915:$I$942,F41,'Data input'!$J$915:$J$942,G41,'Data input'!$K$915:$K$942,H41)</f>
        <v>4</v>
      </c>
      <c r="L41" s="430">
        <f t="shared" si="3"/>
        <v>7.3685333333333327</v>
      </c>
      <c r="M41" s="330"/>
      <c r="N41" s="181"/>
    </row>
    <row r="42" spans="4:15">
      <c r="D42" s="181"/>
      <c r="E42" s="181"/>
      <c r="F42" s="207">
        <v>2026</v>
      </c>
      <c r="G42" s="157" t="s">
        <v>369</v>
      </c>
      <c r="H42" s="157" t="s">
        <v>243</v>
      </c>
      <c r="I42" s="207" cm="1">
        <f t="array" ref="I42">_xlfn.XLOOKUP(F42&amp;G42&amp;H42,'Data input'!$I$883:$I$910&amp;'Data input'!$J$883:$J$910&amp;'Data input'!$K$883:$K$910,'Data input'!$L$883:$L$910)</f>
        <v>0.50249999999999995</v>
      </c>
      <c r="J42" s="337">
        <f t="shared" si="2"/>
        <v>1.8424999999999998</v>
      </c>
      <c r="K42" s="426">
        <f>SUMIFS('Data input'!$L$915:$L$942,'Data input'!$I$915:$I$942,F42,'Data input'!$J$915:$J$942,G42,'Data input'!$K$915:$K$942,H42)</f>
        <v>7</v>
      </c>
      <c r="L42" s="430">
        <f t="shared" si="3"/>
        <v>12.897499999999999</v>
      </c>
      <c r="M42" s="330"/>
      <c r="N42" s="181"/>
    </row>
    <row r="43" spans="4:15">
      <c r="D43" s="181"/>
      <c r="E43" s="181"/>
      <c r="F43" s="207">
        <v>2020</v>
      </c>
      <c r="G43" s="157" t="s">
        <v>369</v>
      </c>
      <c r="H43" s="157" t="s">
        <v>244</v>
      </c>
      <c r="I43" s="207" cm="1">
        <f t="array" ref="I43">_xlfn.XLOOKUP(F43&amp;G43&amp;H43,'Data input'!$I$883:$I$910&amp;'Data input'!$J$883:$J$910&amp;'Data input'!$K$883:$K$910,'Data input'!$L$883:$L$910)</f>
        <v>0.50190000000000001</v>
      </c>
      <c r="J43" s="337">
        <f t="shared" si="2"/>
        <v>1.8403</v>
      </c>
      <c r="K43" s="426">
        <f>SUMIFS('Data input'!$L$915:$L$942,'Data input'!$I$915:$I$942,F43,'Data input'!$J$915:$J$942,G43,'Data input'!$K$915:$K$942,H43)</f>
        <v>8</v>
      </c>
      <c r="L43" s="430">
        <f t="shared" si="3"/>
        <v>14.7224</v>
      </c>
      <c r="M43" s="330"/>
      <c r="N43" s="181"/>
    </row>
    <row r="44" spans="4:15">
      <c r="D44" s="181"/>
      <c r="E44" s="181"/>
      <c r="F44" s="207">
        <v>2021</v>
      </c>
      <c r="G44" s="157" t="s">
        <v>369</v>
      </c>
      <c r="H44" s="157" t="s">
        <v>244</v>
      </c>
      <c r="I44" s="207" cm="1">
        <f t="array" ref="I44">_xlfn.XLOOKUP(F44&amp;G44&amp;H44,'Data input'!$I$883:$I$910&amp;'Data input'!$J$883:$J$910&amp;'Data input'!$K$883:$K$910,'Data input'!$L$883:$L$910)</f>
        <v>0.502</v>
      </c>
      <c r="J44" s="337">
        <f t="shared" si="2"/>
        <v>1.8406666666666667</v>
      </c>
      <c r="K44" s="426">
        <f>SUMIFS('Data input'!$L$915:$L$942,'Data input'!$I$915:$I$942,F44,'Data input'!$J$915:$J$942,G44,'Data input'!$K$915:$K$942,H44)</f>
        <v>5</v>
      </c>
      <c r="L44" s="430">
        <f t="shared" si="3"/>
        <v>9.2033333333333331</v>
      </c>
      <c r="M44" s="330"/>
      <c r="N44" s="181"/>
    </row>
    <row r="45" spans="4:15">
      <c r="D45" s="181"/>
      <c r="E45" s="181"/>
      <c r="F45" s="207">
        <v>2022</v>
      </c>
      <c r="G45" s="157" t="s">
        <v>369</v>
      </c>
      <c r="H45" s="157" t="s">
        <v>244</v>
      </c>
      <c r="I45" s="207" cm="1">
        <f t="array" ref="I45">_xlfn.XLOOKUP(F45&amp;G45&amp;H45,'Data input'!$I$883:$I$910&amp;'Data input'!$J$883:$J$910&amp;'Data input'!$K$883:$K$910,'Data input'!$L$883:$L$910)</f>
        <v>0.50209999999999999</v>
      </c>
      <c r="J45" s="337">
        <f t="shared" si="2"/>
        <v>1.8410333333333333</v>
      </c>
      <c r="K45" s="426">
        <f>SUMIFS('Data input'!$L$915:$L$942,'Data input'!$I$915:$I$942,F45,'Data input'!$J$915:$J$942,G45,'Data input'!$K$915:$K$942,H45)</f>
        <v>4</v>
      </c>
      <c r="L45" s="430">
        <f t="shared" si="3"/>
        <v>7.3641333333333332</v>
      </c>
      <c r="M45" s="330"/>
      <c r="N45" s="181"/>
    </row>
    <row r="46" spans="4:15">
      <c r="D46" s="181"/>
      <c r="E46" s="181"/>
      <c r="F46" s="207">
        <v>2023</v>
      </c>
      <c r="G46" s="157" t="s">
        <v>369</v>
      </c>
      <c r="H46" s="157" t="s">
        <v>244</v>
      </c>
      <c r="I46" s="207" cm="1">
        <f t="array" ref="I46">_xlfn.XLOOKUP(F46&amp;G46&amp;H46,'Data input'!$I$883:$I$910&amp;'Data input'!$J$883:$J$910&amp;'Data input'!$K$883:$K$910,'Data input'!$L$883:$L$910)</f>
        <v>0.50219999999999998</v>
      </c>
      <c r="J46" s="337">
        <f t="shared" si="2"/>
        <v>1.8413999999999999</v>
      </c>
      <c r="K46" s="426">
        <f>SUMIFS('Data input'!$L$915:$L$942,'Data input'!$I$915:$I$942,F46,'Data input'!$J$915:$J$942,G46,'Data input'!$K$915:$K$942,H46)</f>
        <v>5</v>
      </c>
      <c r="L46" s="430">
        <f t="shared" si="3"/>
        <v>9.206999999999999</v>
      </c>
      <c r="M46" s="330"/>
      <c r="N46" s="181"/>
    </row>
    <row r="47" spans="4:15">
      <c r="D47" s="181"/>
      <c r="E47" s="181"/>
      <c r="F47" s="207">
        <v>2024</v>
      </c>
      <c r="G47" s="157" t="s">
        <v>369</v>
      </c>
      <c r="H47" s="157" t="s">
        <v>244</v>
      </c>
      <c r="I47" s="207" cm="1">
        <f t="array" ref="I47">_xlfn.XLOOKUP(F47&amp;G47&amp;H47,'Data input'!$I$883:$I$910&amp;'Data input'!$J$883:$J$910&amp;'Data input'!$K$883:$K$910,'Data input'!$L$883:$L$910)</f>
        <v>0.50229999999999997</v>
      </c>
      <c r="J47" s="337">
        <f t="shared" si="2"/>
        <v>1.8417666666666666</v>
      </c>
      <c r="K47" s="426">
        <f>SUMIFS('Data input'!$L$915:$L$942,'Data input'!$I$915:$I$942,F47,'Data input'!$J$915:$J$942,G47,'Data input'!$K$915:$K$942,H47)</f>
        <v>4</v>
      </c>
      <c r="L47" s="430">
        <f t="shared" si="3"/>
        <v>7.3670666666666662</v>
      </c>
      <c r="M47" s="330"/>
      <c r="N47" s="181"/>
    </row>
    <row r="48" spans="4:15">
      <c r="D48" s="181"/>
      <c r="E48" s="181"/>
      <c r="F48" s="207">
        <v>2025</v>
      </c>
      <c r="G48" s="157" t="s">
        <v>369</v>
      </c>
      <c r="H48" s="157" t="s">
        <v>244</v>
      </c>
      <c r="I48" s="207" cm="1">
        <f t="array" ref="I48">_xlfn.XLOOKUP(F48&amp;G48&amp;H48,'Data input'!$I$883:$I$910&amp;'Data input'!$J$883:$J$910&amp;'Data input'!$K$883:$K$910,'Data input'!$L$883:$L$910)</f>
        <v>0.50239999999999996</v>
      </c>
      <c r="J48" s="337">
        <f t="shared" si="2"/>
        <v>1.8421333333333332</v>
      </c>
      <c r="K48" s="426">
        <f>SUMIFS('Data input'!$L$915:$L$942,'Data input'!$I$915:$I$942,F48,'Data input'!$J$915:$J$942,G48,'Data input'!$K$915:$K$942,H48)</f>
        <v>5</v>
      </c>
      <c r="L48" s="430">
        <f t="shared" si="3"/>
        <v>9.2106666666666666</v>
      </c>
      <c r="M48" s="330"/>
      <c r="N48" s="181"/>
    </row>
    <row r="49" spans="4:14">
      <c r="D49" s="181"/>
      <c r="E49" s="181"/>
      <c r="F49" s="207">
        <v>2026</v>
      </c>
      <c r="G49" s="157" t="s">
        <v>369</v>
      </c>
      <c r="H49" s="157" t="s">
        <v>244</v>
      </c>
      <c r="I49" s="207" cm="1">
        <f t="array" ref="I49">_xlfn.XLOOKUP(F49&amp;G49&amp;H49,'Data input'!$I$883:$I$910&amp;'Data input'!$J$883:$J$910&amp;'Data input'!$K$883:$K$910,'Data input'!$L$883:$L$910)</f>
        <v>0.50249999999999995</v>
      </c>
      <c r="J49" s="337">
        <f t="shared" si="2"/>
        <v>1.8424999999999998</v>
      </c>
      <c r="K49" s="426">
        <f>SUMIFS('Data input'!$L$915:$L$942,'Data input'!$I$915:$I$942,F49,'Data input'!$J$915:$J$942,G49,'Data input'!$K$915:$K$942,H49)</f>
        <v>6</v>
      </c>
      <c r="L49" s="430">
        <f t="shared" si="3"/>
        <v>11.055</v>
      </c>
      <c r="M49" s="330"/>
      <c r="N49" s="181"/>
    </row>
    <row r="50" spans="4:14">
      <c r="D50" s="181"/>
      <c r="E50" s="181"/>
      <c r="F50" s="207">
        <v>2020</v>
      </c>
      <c r="G50" s="157" t="s">
        <v>370</v>
      </c>
      <c r="H50" s="157" t="s">
        <v>243</v>
      </c>
      <c r="I50" s="207" cm="1">
        <f t="array" ref="I50">_xlfn.XLOOKUP(F50&amp;G50&amp;H50,'Data input'!$I$883:$I$910&amp;'Data input'!$J$883:$J$910&amp;'Data input'!$K$883:$K$910,'Data input'!$L$883:$L$910)</f>
        <v>0.41</v>
      </c>
      <c r="J50" s="337">
        <f t="shared" si="2"/>
        <v>1.5033333333333332</v>
      </c>
      <c r="K50" s="426">
        <f>SUMIFS('Data input'!$L$915:$L$942,'Data input'!$I$915:$I$942,F50,'Data input'!$J$915:$J$942,G50,'Data input'!$K$915:$K$942,H50)</f>
        <v>5</v>
      </c>
      <c r="L50" s="430">
        <f t="shared" si="3"/>
        <v>7.5166666666666657</v>
      </c>
      <c r="M50" s="330"/>
      <c r="N50" s="181"/>
    </row>
    <row r="51" spans="4:14">
      <c r="D51" s="181"/>
      <c r="E51" s="181"/>
      <c r="F51" s="207">
        <v>2021</v>
      </c>
      <c r="G51" s="157" t="s">
        <v>370</v>
      </c>
      <c r="H51" s="157" t="s">
        <v>243</v>
      </c>
      <c r="I51" s="207" cm="1">
        <f t="array" ref="I51">_xlfn.XLOOKUP(F51&amp;G51&amp;H51,'Data input'!$I$883:$I$910&amp;'Data input'!$J$883:$J$910&amp;'Data input'!$K$883:$K$910,'Data input'!$L$883:$L$910)</f>
        <v>0.41099999999999998</v>
      </c>
      <c r="J51" s="337">
        <f t="shared" si="2"/>
        <v>1.5069999999999999</v>
      </c>
      <c r="K51" s="426">
        <f>SUMIFS('Data input'!$L$915:$L$942,'Data input'!$I$915:$I$942,F51,'Data input'!$J$915:$J$942,G51,'Data input'!$K$915:$K$942,H51)</f>
        <v>4</v>
      </c>
      <c r="L51" s="430">
        <f t="shared" si="3"/>
        <v>6.0279999999999996</v>
      </c>
      <c r="M51" s="330"/>
      <c r="N51" s="181"/>
    </row>
    <row r="52" spans="4:14">
      <c r="D52" s="181"/>
      <c r="E52" s="181"/>
      <c r="F52" s="207">
        <v>2022</v>
      </c>
      <c r="G52" s="157" t="s">
        <v>370</v>
      </c>
      <c r="H52" s="157" t="s">
        <v>243</v>
      </c>
      <c r="I52" s="207" cm="1">
        <f t="array" ref="I52">_xlfn.XLOOKUP(F52&amp;G52&amp;H52,'Data input'!$I$883:$I$910&amp;'Data input'!$J$883:$J$910&amp;'Data input'!$K$883:$K$910,'Data input'!$L$883:$L$910)</f>
        <v>0.41199999999999998</v>
      </c>
      <c r="J52" s="337">
        <f t="shared" si="2"/>
        <v>1.5106666666666666</v>
      </c>
      <c r="K52" s="426">
        <f>SUMIFS('Data input'!$L$915:$L$942,'Data input'!$I$915:$I$942,F52,'Data input'!$J$915:$J$942,G52,'Data input'!$K$915:$K$942,H52)</f>
        <v>5</v>
      </c>
      <c r="L52" s="430">
        <f t="shared" si="3"/>
        <v>7.5533333333333328</v>
      </c>
      <c r="M52" s="330"/>
      <c r="N52" s="181"/>
    </row>
    <row r="53" spans="4:14">
      <c r="D53" s="181"/>
      <c r="E53" s="181"/>
      <c r="F53" s="207">
        <v>2023</v>
      </c>
      <c r="G53" s="157" t="s">
        <v>370</v>
      </c>
      <c r="H53" s="157" t="s">
        <v>243</v>
      </c>
      <c r="I53" s="207" cm="1">
        <f t="array" ref="I53">_xlfn.XLOOKUP(F53&amp;G53&amp;H53,'Data input'!$I$883:$I$910&amp;'Data input'!$J$883:$J$910&amp;'Data input'!$K$883:$K$910,'Data input'!$L$883:$L$910)</f>
        <v>0.41299999999999998</v>
      </c>
      <c r="J53" s="337">
        <f t="shared" si="2"/>
        <v>1.5143333333333331</v>
      </c>
      <c r="K53" s="426">
        <f>SUMIFS('Data input'!$L$915:$L$942,'Data input'!$I$915:$I$942,F53,'Data input'!$J$915:$J$942,G53,'Data input'!$K$915:$K$942,H53)</f>
        <v>8</v>
      </c>
      <c r="L53" s="430">
        <f t="shared" si="3"/>
        <v>12.114666666666665</v>
      </c>
      <c r="M53" s="330"/>
      <c r="N53" s="181"/>
    </row>
    <row r="54" spans="4:14">
      <c r="D54" s="181"/>
      <c r="E54" s="181"/>
      <c r="F54" s="207">
        <v>2024</v>
      </c>
      <c r="G54" s="157" t="s">
        <v>370</v>
      </c>
      <c r="H54" s="157" t="s">
        <v>243</v>
      </c>
      <c r="I54" s="207" cm="1">
        <f t="array" ref="I54">_xlfn.XLOOKUP(F54&amp;G54&amp;H54,'Data input'!$I$883:$I$910&amp;'Data input'!$J$883:$J$910&amp;'Data input'!$K$883:$K$910,'Data input'!$L$883:$L$910)</f>
        <v>0.41399999999999998</v>
      </c>
      <c r="J54" s="337">
        <f t="shared" si="2"/>
        <v>1.5179999999999998</v>
      </c>
      <c r="K54" s="426">
        <f>SUMIFS('Data input'!$L$915:$L$942,'Data input'!$I$915:$I$942,F54,'Data input'!$J$915:$J$942,G54,'Data input'!$K$915:$K$942,H54)</f>
        <v>4</v>
      </c>
      <c r="L54" s="430">
        <f t="shared" si="3"/>
        <v>6.0719999999999992</v>
      </c>
      <c r="M54" s="330"/>
      <c r="N54" s="181"/>
    </row>
    <row r="55" spans="4:14">
      <c r="D55" s="181"/>
      <c r="E55" s="181"/>
      <c r="F55" s="207">
        <v>2025</v>
      </c>
      <c r="G55" s="157" t="s">
        <v>370</v>
      </c>
      <c r="H55" s="157" t="s">
        <v>243</v>
      </c>
      <c r="I55" s="207" cm="1">
        <f t="array" ref="I55">_xlfn.XLOOKUP(F55&amp;G55&amp;H55,'Data input'!$I$883:$I$910&amp;'Data input'!$J$883:$J$910&amp;'Data input'!$K$883:$K$910,'Data input'!$L$883:$L$910)</f>
        <v>0.41499999999999998</v>
      </c>
      <c r="J55" s="337">
        <f t="shared" si="2"/>
        <v>1.5216666666666665</v>
      </c>
      <c r="K55" s="426">
        <f>SUMIFS('Data input'!$L$915:$L$942,'Data input'!$I$915:$I$942,F55,'Data input'!$J$915:$J$942,G55,'Data input'!$K$915:$K$942,H55)</f>
        <v>5</v>
      </c>
      <c r="L55" s="430">
        <f t="shared" si="3"/>
        <v>7.6083333333333325</v>
      </c>
      <c r="M55" s="330"/>
      <c r="N55" s="181"/>
    </row>
    <row r="56" spans="4:14">
      <c r="D56" s="181"/>
      <c r="E56" s="181"/>
      <c r="F56" s="207">
        <v>2026</v>
      </c>
      <c r="G56" s="157" t="s">
        <v>370</v>
      </c>
      <c r="H56" s="157" t="s">
        <v>243</v>
      </c>
      <c r="I56" s="207" cm="1">
        <f t="array" ref="I56">_xlfn.XLOOKUP(F56&amp;G56&amp;H56,'Data input'!$I$883:$I$910&amp;'Data input'!$J$883:$J$910&amp;'Data input'!$K$883:$K$910,'Data input'!$L$883:$L$910)</f>
        <v>0.41599999999999998</v>
      </c>
      <c r="J56" s="337">
        <f t="shared" si="2"/>
        <v>1.5253333333333332</v>
      </c>
      <c r="K56" s="426">
        <f>SUMIFS('Data input'!$L$915:$L$942,'Data input'!$I$915:$I$942,F56,'Data input'!$J$915:$J$942,G56,'Data input'!$K$915:$K$942,H56)</f>
        <v>4</v>
      </c>
      <c r="L56" s="430">
        <f t="shared" si="3"/>
        <v>6.1013333333333328</v>
      </c>
      <c r="M56" s="330"/>
      <c r="N56" s="181"/>
    </row>
    <row r="57" spans="4:14">
      <c r="D57" s="181"/>
      <c r="E57" s="181"/>
      <c r="F57" s="207">
        <v>2020</v>
      </c>
      <c r="G57" s="157" t="s">
        <v>370</v>
      </c>
      <c r="H57" s="157" t="s">
        <v>244</v>
      </c>
      <c r="I57" s="207" cm="1">
        <f t="array" ref="I57">_xlfn.XLOOKUP(F57&amp;G57&amp;H57,'Data input'!$I$883:$I$910&amp;'Data input'!$J$883:$J$910&amp;'Data input'!$K$883:$K$910,'Data input'!$L$883:$L$910)</f>
        <v>0.41699999999999998</v>
      </c>
      <c r="J57" s="337">
        <f t="shared" si="2"/>
        <v>1.5289999999999999</v>
      </c>
      <c r="K57" s="426">
        <f>SUMIFS('Data input'!$L$915:$L$942,'Data input'!$I$915:$I$942,F57,'Data input'!$J$915:$J$942,G57,'Data input'!$K$915:$K$942,H57)</f>
        <v>5</v>
      </c>
      <c r="L57" s="430">
        <f t="shared" si="3"/>
        <v>7.6449999999999996</v>
      </c>
      <c r="M57" s="330"/>
      <c r="N57" s="181"/>
    </row>
    <row r="58" spans="4:14">
      <c r="D58" s="181"/>
      <c r="E58" s="181"/>
      <c r="F58" s="207">
        <v>2021</v>
      </c>
      <c r="G58" s="157" t="s">
        <v>370</v>
      </c>
      <c r="H58" s="157" t="s">
        <v>244</v>
      </c>
      <c r="I58" s="207" cm="1">
        <f t="array" ref="I58">_xlfn.XLOOKUP(F58&amp;G58&amp;H58,'Data input'!$I$883:$I$910&amp;'Data input'!$J$883:$J$910&amp;'Data input'!$K$883:$K$910,'Data input'!$L$883:$L$910)</f>
        <v>0.41799999999999998</v>
      </c>
      <c r="J58" s="337">
        <f t="shared" si="2"/>
        <v>1.5326666666666666</v>
      </c>
      <c r="K58" s="426">
        <f>SUMIFS('Data input'!$L$915:$L$942,'Data input'!$I$915:$I$942,F58,'Data input'!$J$915:$J$942,G58,'Data input'!$K$915:$K$942,H58)</f>
        <v>4</v>
      </c>
      <c r="L58" s="430">
        <f t="shared" si="3"/>
        <v>6.1306666666666665</v>
      </c>
      <c r="M58" s="330"/>
      <c r="N58" s="181"/>
    </row>
    <row r="59" spans="4:14">
      <c r="D59" s="181"/>
      <c r="E59" s="181"/>
      <c r="F59" s="207">
        <v>2022</v>
      </c>
      <c r="G59" s="157" t="s">
        <v>370</v>
      </c>
      <c r="H59" s="157" t="s">
        <v>244</v>
      </c>
      <c r="I59" s="207" cm="1">
        <f t="array" ref="I59">_xlfn.XLOOKUP(F59&amp;G59&amp;H59,'Data input'!$I$883:$I$910&amp;'Data input'!$J$883:$J$910&amp;'Data input'!$K$883:$K$910,'Data input'!$L$883:$L$910)</f>
        <v>0.41899999999999998</v>
      </c>
      <c r="J59" s="337">
        <f t="shared" si="2"/>
        <v>1.5363333333333331</v>
      </c>
      <c r="K59" s="426">
        <f>SUMIFS('Data input'!$L$915:$L$942,'Data input'!$I$915:$I$942,F59,'Data input'!$J$915:$J$942,G59,'Data input'!$K$915:$K$942,H59)</f>
        <v>9</v>
      </c>
      <c r="L59" s="430">
        <f t="shared" si="3"/>
        <v>13.826999999999998</v>
      </c>
      <c r="M59" s="330"/>
      <c r="N59" s="181"/>
    </row>
    <row r="60" spans="4:14">
      <c r="D60" s="181"/>
      <c r="E60" s="181"/>
      <c r="F60" s="207">
        <v>2023</v>
      </c>
      <c r="G60" s="157" t="s">
        <v>370</v>
      </c>
      <c r="H60" s="157" t="s">
        <v>244</v>
      </c>
      <c r="I60" s="207" cm="1">
        <f t="array" ref="I60">_xlfn.XLOOKUP(F60&amp;G60&amp;H60,'Data input'!$I$883:$I$910&amp;'Data input'!$J$883:$J$910&amp;'Data input'!$K$883:$K$910,'Data input'!$L$883:$L$910)</f>
        <v>0.42</v>
      </c>
      <c r="J60" s="337">
        <f t="shared" si="2"/>
        <v>1.5399999999999998</v>
      </c>
      <c r="K60" s="426">
        <f>SUMIFS('Data input'!$L$915:$L$942,'Data input'!$I$915:$I$942,F60,'Data input'!$J$915:$J$942,G60,'Data input'!$K$915:$K$942,H60)</f>
        <v>8</v>
      </c>
      <c r="L60" s="430">
        <f t="shared" si="3"/>
        <v>12.319999999999999</v>
      </c>
      <c r="M60" s="330"/>
      <c r="N60" s="181"/>
    </row>
    <row r="61" spans="4:14">
      <c r="D61" s="181"/>
      <c r="E61" s="181"/>
      <c r="F61" s="207">
        <v>2024</v>
      </c>
      <c r="G61" s="157" t="s">
        <v>370</v>
      </c>
      <c r="H61" s="157" t="s">
        <v>244</v>
      </c>
      <c r="I61" s="207" cm="1">
        <f t="array" ref="I61">_xlfn.XLOOKUP(F61&amp;G61&amp;H61,'Data input'!$I$883:$I$910&amp;'Data input'!$J$883:$J$910&amp;'Data input'!$K$883:$K$910,'Data input'!$L$883:$L$910)</f>
        <v>0.42099999999999999</v>
      </c>
      <c r="J61" s="337">
        <f t="shared" si="2"/>
        <v>1.5436666666666665</v>
      </c>
      <c r="K61" s="426">
        <f>SUMIFS('Data input'!$L$915:$L$942,'Data input'!$I$915:$I$942,F61,'Data input'!$J$915:$J$942,G61,'Data input'!$K$915:$K$942,H61)</f>
        <v>7</v>
      </c>
      <c r="L61" s="430">
        <f t="shared" si="3"/>
        <v>10.805666666666665</v>
      </c>
      <c r="M61" s="330"/>
      <c r="N61" s="181"/>
    </row>
    <row r="62" spans="4:14">
      <c r="D62" s="181"/>
      <c r="E62" s="181"/>
      <c r="F62" s="207">
        <v>2025</v>
      </c>
      <c r="G62" s="157" t="s">
        <v>370</v>
      </c>
      <c r="H62" s="157" t="s">
        <v>244</v>
      </c>
      <c r="I62" s="207" cm="1">
        <f t="array" ref="I62">_xlfn.XLOOKUP(F62&amp;G62&amp;H62,'Data input'!$I$883:$I$910&amp;'Data input'!$J$883:$J$910&amp;'Data input'!$K$883:$K$910,'Data input'!$L$883:$L$910)</f>
        <v>0.42199999999999999</v>
      </c>
      <c r="J62" s="337">
        <f t="shared" si="2"/>
        <v>1.5473333333333332</v>
      </c>
      <c r="K62" s="426">
        <f>SUMIFS('Data input'!$L$915:$L$942,'Data input'!$I$915:$I$942,F62,'Data input'!$J$915:$J$942,G62,'Data input'!$K$915:$K$942,H62)</f>
        <v>5</v>
      </c>
      <c r="L62" s="430">
        <f t="shared" si="3"/>
        <v>7.7366666666666664</v>
      </c>
      <c r="M62" s="330"/>
      <c r="N62" s="181"/>
    </row>
    <row r="63" spans="4:14">
      <c r="D63" s="181"/>
      <c r="E63" s="181"/>
      <c r="F63" s="208">
        <v>2026</v>
      </c>
      <c r="G63" s="211" t="s">
        <v>370</v>
      </c>
      <c r="H63" s="211" t="s">
        <v>244</v>
      </c>
      <c r="I63" s="208" cm="1">
        <f t="array" ref="I63">_xlfn.XLOOKUP(F63&amp;G63&amp;H63,'Data input'!$I$883:$I$910&amp;'Data input'!$J$883:$J$910&amp;'Data input'!$K$883:$K$910,'Data input'!$L$883:$L$910)</f>
        <v>0.42299999999999999</v>
      </c>
      <c r="J63" s="431">
        <f t="shared" si="2"/>
        <v>1.5509999999999999</v>
      </c>
      <c r="K63" s="432">
        <f>SUMIFS('Data input'!$L$915:$L$942,'Data input'!$I$915:$I$942,F63,'Data input'!$J$915:$J$942,G63,'Data input'!$K$915:$K$942,H63)</f>
        <v>5</v>
      </c>
      <c r="L63" s="433">
        <f t="shared" si="3"/>
        <v>7.7549999999999999</v>
      </c>
      <c r="M63" s="330"/>
      <c r="N63" s="181"/>
    </row>
    <row r="64" spans="4:14">
      <c r="D64" s="181"/>
      <c r="E64" s="181"/>
      <c r="F64" s="330"/>
      <c r="G64" s="330"/>
      <c r="H64" s="330"/>
      <c r="I64" s="330"/>
      <c r="J64" s="330"/>
      <c r="K64" s="330"/>
      <c r="L64" s="338">
        <f>SUM(L36:L63)</f>
        <v>238.9068</v>
      </c>
      <c r="M64" s="330"/>
      <c r="N64" s="181"/>
    </row>
    <row r="65" spans="4:14">
      <c r="D65" s="181"/>
      <c r="E65" s="181"/>
      <c r="F65" s="330"/>
      <c r="G65" s="330"/>
      <c r="H65" s="330"/>
      <c r="I65" s="330"/>
      <c r="J65" s="330"/>
      <c r="K65" s="330"/>
      <c r="L65" s="330"/>
      <c r="M65" s="330"/>
      <c r="N65" s="181"/>
    </row>
    <row r="66" spans="4:14" ht="16" thickBot="1">
      <c r="D66" s="181"/>
      <c r="E66" s="181"/>
      <c r="F66" s="336" t="s">
        <v>371</v>
      </c>
      <c r="G66" s="330"/>
      <c r="H66" s="330"/>
      <c r="I66" s="330"/>
      <c r="J66" s="330"/>
      <c r="K66" s="330"/>
      <c r="L66" s="330"/>
      <c r="M66" s="330"/>
      <c r="N66" s="181"/>
    </row>
    <row r="67" spans="4:14">
      <c r="D67" s="181"/>
      <c r="E67" s="181"/>
      <c r="F67" s="309"/>
      <c r="G67" s="310"/>
      <c r="H67" s="311"/>
      <c r="I67" s="312"/>
      <c r="J67" s="310"/>
      <c r="K67" s="317" t="s">
        <v>84</v>
      </c>
      <c r="L67" s="310"/>
      <c r="M67" s="318" t="s">
        <v>84</v>
      </c>
      <c r="N67" s="181"/>
    </row>
    <row r="68" spans="4:14">
      <c r="D68" s="181"/>
      <c r="E68" s="181"/>
      <c r="F68" s="313"/>
      <c r="G68" s="330"/>
      <c r="H68" s="314"/>
      <c r="I68" s="315"/>
      <c r="J68" s="330"/>
      <c r="K68" s="331" t="s">
        <v>38</v>
      </c>
      <c r="L68" s="330"/>
      <c r="M68" s="319" t="s">
        <v>12</v>
      </c>
      <c r="N68" s="181"/>
    </row>
    <row r="69" spans="4:14" ht="17">
      <c r="D69" s="181"/>
      <c r="E69" s="181"/>
      <c r="F69" s="152" t="s">
        <v>335</v>
      </c>
      <c r="G69" s="340" t="s">
        <v>364</v>
      </c>
      <c r="H69" s="229" t="s">
        <v>242</v>
      </c>
      <c r="I69" s="152" t="s">
        <v>365</v>
      </c>
      <c r="J69" s="339" t="s">
        <v>372</v>
      </c>
      <c r="K69" s="333" t="s">
        <v>123</v>
      </c>
      <c r="L69" s="157" t="s">
        <v>120</v>
      </c>
      <c r="M69" s="358" t="s">
        <v>366</v>
      </c>
      <c r="N69" s="181"/>
    </row>
    <row r="70" spans="4:14" ht="17">
      <c r="D70" s="181"/>
      <c r="E70" s="181"/>
      <c r="F70" s="152"/>
      <c r="G70" s="157"/>
      <c r="H70" s="153"/>
      <c r="I70" s="152" t="s">
        <v>124</v>
      </c>
      <c r="J70" s="157" t="s">
        <v>373</v>
      </c>
      <c r="K70" s="333" t="s">
        <v>124</v>
      </c>
      <c r="L70" s="157" t="s">
        <v>367</v>
      </c>
      <c r="M70" s="320" t="s">
        <v>368</v>
      </c>
      <c r="N70" s="181"/>
    </row>
    <row r="71" spans="4:14">
      <c r="D71" s="181"/>
      <c r="E71" s="181"/>
      <c r="F71" s="341">
        <v>2020</v>
      </c>
      <c r="G71" s="342" t="s">
        <v>369</v>
      </c>
      <c r="H71" s="342" t="s">
        <v>243</v>
      </c>
      <c r="I71" s="205" cm="1">
        <f t="array" ref="I71">_xlfn.XLOOKUP(F71&amp;G71&amp;H71,'Data input'!$I$883:$I$910&amp;'Data input'!$J$883:$J$910&amp;'Data input'!$K$883:$K$910,'Data input'!$L$883:$L$910)</f>
        <v>0.50190000000000001</v>
      </c>
      <c r="J71" s="195">
        <f>_xlfn.XLOOKUP(G71,'Data input'!$I$952:$I$953,'Data input'!$J$952:$J$953)</f>
        <v>8.4000000000000003E-4</v>
      </c>
      <c r="K71" s="437">
        <f t="shared" ref="K71" si="4">I71*J71*(44/12)</f>
        <v>1.5458520000000001E-3</v>
      </c>
      <c r="L71" s="428">
        <f>SUMIFS('Data input'!$L$915:$L$942,'Data input'!$I$915:$I$942,F71,'Data input'!$J$915:$J$942,G71,'Data input'!$K$915:$K$942,H71)</f>
        <v>5</v>
      </c>
      <c r="M71" s="438">
        <f t="shared" ref="M71" si="5">K71*L71</f>
        <v>7.7292600000000008E-3</v>
      </c>
      <c r="N71" s="181"/>
    </row>
    <row r="72" spans="4:14">
      <c r="D72" s="181"/>
      <c r="E72" s="181"/>
      <c r="F72" s="152">
        <v>2021</v>
      </c>
      <c r="G72" s="157" t="s">
        <v>369</v>
      </c>
      <c r="H72" s="157" t="s">
        <v>243</v>
      </c>
      <c r="I72" s="207" cm="1">
        <f t="array" ref="I72">_xlfn.XLOOKUP(F72&amp;G72&amp;H72,'Data input'!$I$883:$I$910&amp;'Data input'!$J$883:$J$910&amp;'Data input'!$K$883:$K$910,'Data input'!$L$883:$L$910)</f>
        <v>0.502</v>
      </c>
      <c r="J72" s="181">
        <f>_xlfn.XLOOKUP(G72,'Data input'!$I$952:$I$953,'Data input'!$J$952:$J$953)</f>
        <v>8.4000000000000003E-4</v>
      </c>
      <c r="K72" s="335">
        <f t="shared" ref="K72:K98" si="6">I72*J72*(44/12)</f>
        <v>1.54616E-3</v>
      </c>
      <c r="L72" s="426">
        <f>SUMIFS('Data input'!$L$915:$L$942,'Data input'!$I$915:$I$942,F72,'Data input'!$J$915:$J$942,G72,'Data input'!$K$915:$K$942,H72)</f>
        <v>4</v>
      </c>
      <c r="M72" s="439">
        <f t="shared" ref="M72:M98" si="7">K72*L72</f>
        <v>6.1846399999999999E-3</v>
      </c>
      <c r="N72" s="181"/>
    </row>
    <row r="73" spans="4:14">
      <c r="D73" s="181"/>
      <c r="E73" s="181"/>
      <c r="F73" s="152">
        <v>2022</v>
      </c>
      <c r="G73" s="157" t="s">
        <v>369</v>
      </c>
      <c r="H73" s="157" t="s">
        <v>243</v>
      </c>
      <c r="I73" s="207" cm="1">
        <f t="array" ref="I73">_xlfn.XLOOKUP(F73&amp;G73&amp;H73,'Data input'!$I$883:$I$910&amp;'Data input'!$J$883:$J$910&amp;'Data input'!$K$883:$K$910,'Data input'!$L$883:$L$910)</f>
        <v>0.50209999999999999</v>
      </c>
      <c r="J73" s="181">
        <f>_xlfn.XLOOKUP(G73,'Data input'!$I$952:$I$953,'Data input'!$J$952:$J$953)</f>
        <v>8.4000000000000003E-4</v>
      </c>
      <c r="K73" s="335">
        <f t="shared" si="6"/>
        <v>1.5464680000000001E-3</v>
      </c>
      <c r="L73" s="426">
        <f>SUMIFS('Data input'!$L$915:$L$942,'Data input'!$I$915:$I$942,F73,'Data input'!$J$915:$J$942,G73,'Data input'!$K$915:$K$942,H73)</f>
        <v>1</v>
      </c>
      <c r="M73" s="439">
        <f t="shared" si="7"/>
        <v>1.5464680000000001E-3</v>
      </c>
      <c r="N73" s="181"/>
    </row>
    <row r="74" spans="4:14">
      <c r="D74" s="181"/>
      <c r="E74" s="181"/>
      <c r="F74" s="152">
        <v>2023</v>
      </c>
      <c r="G74" s="157" t="s">
        <v>369</v>
      </c>
      <c r="H74" s="157" t="s">
        <v>243</v>
      </c>
      <c r="I74" s="207" cm="1">
        <f t="array" ref="I74">_xlfn.XLOOKUP(F74&amp;G74&amp;H74,'Data input'!$I$883:$I$910&amp;'Data input'!$J$883:$J$910&amp;'Data input'!$K$883:$K$910,'Data input'!$L$883:$L$910)</f>
        <v>0.50219999999999998</v>
      </c>
      <c r="J74" s="181">
        <f>_xlfn.XLOOKUP(G74,'Data input'!$I$952:$I$953,'Data input'!$J$952:$J$953)</f>
        <v>8.4000000000000003E-4</v>
      </c>
      <c r="K74" s="335">
        <f t="shared" si="6"/>
        <v>1.5467759999999999E-3</v>
      </c>
      <c r="L74" s="426">
        <f>SUMIFS('Data input'!$L$915:$L$942,'Data input'!$I$915:$I$942,F74,'Data input'!$J$915:$J$942,G74,'Data input'!$K$915:$K$942,H74)</f>
        <v>2</v>
      </c>
      <c r="M74" s="439">
        <f t="shared" si="7"/>
        <v>3.0935519999999998E-3</v>
      </c>
      <c r="N74" s="181"/>
    </row>
    <row r="75" spans="4:14">
      <c r="D75" s="181"/>
      <c r="E75" s="181"/>
      <c r="F75" s="152">
        <v>2024</v>
      </c>
      <c r="G75" s="157" t="s">
        <v>369</v>
      </c>
      <c r="H75" s="157" t="s">
        <v>243</v>
      </c>
      <c r="I75" s="207" cm="1">
        <f t="array" ref="I75">_xlfn.XLOOKUP(F75&amp;G75&amp;H75,'Data input'!$I$883:$I$910&amp;'Data input'!$J$883:$J$910&amp;'Data input'!$K$883:$K$910,'Data input'!$L$883:$L$910)</f>
        <v>0.50229999999999997</v>
      </c>
      <c r="J75" s="181">
        <f>_xlfn.XLOOKUP(G75,'Data input'!$I$952:$I$953,'Data input'!$J$952:$J$953)</f>
        <v>8.4000000000000003E-4</v>
      </c>
      <c r="K75" s="335">
        <f t="shared" si="6"/>
        <v>1.5470839999999998E-3</v>
      </c>
      <c r="L75" s="426">
        <f>SUMIFS('Data input'!$L$915:$L$942,'Data input'!$I$915:$I$942,F75,'Data input'!$J$915:$J$942,G75,'Data input'!$K$915:$K$942,H75)</f>
        <v>5</v>
      </c>
      <c r="M75" s="439">
        <f t="shared" si="7"/>
        <v>7.7354199999999989E-3</v>
      </c>
      <c r="N75" s="181"/>
    </row>
    <row r="76" spans="4:14">
      <c r="D76" s="181"/>
      <c r="E76" s="181"/>
      <c r="F76" s="152">
        <v>2025</v>
      </c>
      <c r="G76" s="157" t="s">
        <v>369</v>
      </c>
      <c r="H76" s="157" t="s">
        <v>243</v>
      </c>
      <c r="I76" s="207" cm="1">
        <f t="array" ref="I76">_xlfn.XLOOKUP(F76&amp;G76&amp;H76,'Data input'!$I$883:$I$910&amp;'Data input'!$J$883:$J$910&amp;'Data input'!$K$883:$K$910,'Data input'!$L$883:$L$910)</f>
        <v>0.50239999999999996</v>
      </c>
      <c r="J76" s="181">
        <f>_xlfn.XLOOKUP(G76,'Data input'!$I$952:$I$953,'Data input'!$J$952:$J$953)</f>
        <v>8.4000000000000003E-4</v>
      </c>
      <c r="K76" s="335">
        <f t="shared" si="6"/>
        <v>1.5473919999999999E-3</v>
      </c>
      <c r="L76" s="426">
        <f>SUMIFS('Data input'!$L$915:$L$942,'Data input'!$I$915:$I$942,F76,'Data input'!$J$915:$J$942,G76,'Data input'!$K$915:$K$942,H76)</f>
        <v>4</v>
      </c>
      <c r="M76" s="439">
        <f t="shared" si="7"/>
        <v>6.1895679999999995E-3</v>
      </c>
      <c r="N76" s="181"/>
    </row>
    <row r="77" spans="4:14">
      <c r="D77" s="181"/>
      <c r="E77" s="181"/>
      <c r="F77" s="152">
        <v>2026</v>
      </c>
      <c r="G77" s="157" t="s">
        <v>369</v>
      </c>
      <c r="H77" s="157" t="s">
        <v>243</v>
      </c>
      <c r="I77" s="207" cm="1">
        <f t="array" ref="I77">_xlfn.XLOOKUP(F77&amp;G77&amp;H77,'Data input'!$I$883:$I$910&amp;'Data input'!$J$883:$J$910&amp;'Data input'!$K$883:$K$910,'Data input'!$L$883:$L$910)</f>
        <v>0.50249999999999995</v>
      </c>
      <c r="J77" s="181">
        <f>_xlfn.XLOOKUP(G77,'Data input'!$I$952:$I$953,'Data input'!$J$952:$J$953)</f>
        <v>8.4000000000000003E-4</v>
      </c>
      <c r="K77" s="335">
        <f t="shared" si="6"/>
        <v>1.5476999999999997E-3</v>
      </c>
      <c r="L77" s="426">
        <f>SUMIFS('Data input'!$L$915:$L$942,'Data input'!$I$915:$I$942,F77,'Data input'!$J$915:$J$942,G77,'Data input'!$K$915:$K$942,H77)</f>
        <v>7</v>
      </c>
      <c r="M77" s="439">
        <f t="shared" si="7"/>
        <v>1.0833899999999999E-2</v>
      </c>
      <c r="N77" s="181"/>
    </row>
    <row r="78" spans="4:14">
      <c r="D78" s="181"/>
      <c r="E78" s="181"/>
      <c r="F78" s="152">
        <v>2020</v>
      </c>
      <c r="G78" s="157" t="s">
        <v>369</v>
      </c>
      <c r="H78" s="157" t="s">
        <v>244</v>
      </c>
      <c r="I78" s="207" cm="1">
        <f t="array" ref="I78">_xlfn.XLOOKUP(F78&amp;G78&amp;H78,'Data input'!$I$883:$I$910&amp;'Data input'!$J$883:$J$910&amp;'Data input'!$K$883:$K$910,'Data input'!$L$883:$L$910)</f>
        <v>0.50190000000000001</v>
      </c>
      <c r="J78" s="181">
        <f>_xlfn.XLOOKUP(G78,'Data input'!$I$952:$I$953,'Data input'!$J$952:$J$953)</f>
        <v>8.4000000000000003E-4</v>
      </c>
      <c r="K78" s="335">
        <f t="shared" si="6"/>
        <v>1.5458520000000001E-3</v>
      </c>
      <c r="L78" s="426">
        <f>SUMIFS('Data input'!$L$915:$L$942,'Data input'!$I$915:$I$942,F78,'Data input'!$J$915:$J$942,G78,'Data input'!$K$915:$K$942,H78)</f>
        <v>8</v>
      </c>
      <c r="M78" s="439">
        <f t="shared" si="7"/>
        <v>1.2366816000000001E-2</v>
      </c>
      <c r="N78" s="181"/>
    </row>
    <row r="79" spans="4:14">
      <c r="D79" s="181"/>
      <c r="E79" s="181"/>
      <c r="F79" s="152">
        <v>2021</v>
      </c>
      <c r="G79" s="157" t="s">
        <v>369</v>
      </c>
      <c r="H79" s="157" t="s">
        <v>244</v>
      </c>
      <c r="I79" s="207" cm="1">
        <f t="array" ref="I79">_xlfn.XLOOKUP(F79&amp;G79&amp;H79,'Data input'!$I$883:$I$910&amp;'Data input'!$J$883:$J$910&amp;'Data input'!$K$883:$K$910,'Data input'!$L$883:$L$910)</f>
        <v>0.502</v>
      </c>
      <c r="J79" s="181">
        <f>_xlfn.XLOOKUP(G79,'Data input'!$I$952:$I$953,'Data input'!$J$952:$J$953)</f>
        <v>8.4000000000000003E-4</v>
      </c>
      <c r="K79" s="335">
        <f t="shared" si="6"/>
        <v>1.54616E-3</v>
      </c>
      <c r="L79" s="426">
        <f>SUMIFS('Data input'!$L$915:$L$942,'Data input'!$I$915:$I$942,F79,'Data input'!$J$915:$J$942,G79,'Data input'!$K$915:$K$942,H79)</f>
        <v>5</v>
      </c>
      <c r="M79" s="439">
        <f t="shared" si="7"/>
        <v>7.7307999999999995E-3</v>
      </c>
      <c r="N79" s="181"/>
    </row>
    <row r="80" spans="4:14">
      <c r="D80" s="181"/>
      <c r="E80" s="181"/>
      <c r="F80" s="152">
        <v>2022</v>
      </c>
      <c r="G80" s="157" t="s">
        <v>369</v>
      </c>
      <c r="H80" s="157" t="s">
        <v>244</v>
      </c>
      <c r="I80" s="207" cm="1">
        <f t="array" ref="I80">_xlfn.XLOOKUP(F80&amp;G80&amp;H80,'Data input'!$I$883:$I$910&amp;'Data input'!$J$883:$J$910&amp;'Data input'!$K$883:$K$910,'Data input'!$L$883:$L$910)</f>
        <v>0.50209999999999999</v>
      </c>
      <c r="J80" s="181">
        <f>_xlfn.XLOOKUP(G80,'Data input'!$I$952:$I$953,'Data input'!$J$952:$J$953)</f>
        <v>8.4000000000000003E-4</v>
      </c>
      <c r="K80" s="335">
        <f t="shared" si="6"/>
        <v>1.5464680000000001E-3</v>
      </c>
      <c r="L80" s="426">
        <f>SUMIFS('Data input'!$L$915:$L$942,'Data input'!$I$915:$I$942,F80,'Data input'!$J$915:$J$942,G80,'Data input'!$K$915:$K$942,H80)</f>
        <v>4</v>
      </c>
      <c r="M80" s="439">
        <f t="shared" si="7"/>
        <v>6.1858720000000002E-3</v>
      </c>
      <c r="N80" s="181"/>
    </row>
    <row r="81" spans="4:14">
      <c r="D81" s="181"/>
      <c r="E81" s="181"/>
      <c r="F81" s="152">
        <v>2023</v>
      </c>
      <c r="G81" s="157" t="s">
        <v>369</v>
      </c>
      <c r="H81" s="157" t="s">
        <v>244</v>
      </c>
      <c r="I81" s="207" cm="1">
        <f t="array" ref="I81">_xlfn.XLOOKUP(F81&amp;G81&amp;H81,'Data input'!$I$883:$I$910&amp;'Data input'!$J$883:$J$910&amp;'Data input'!$K$883:$K$910,'Data input'!$L$883:$L$910)</f>
        <v>0.50219999999999998</v>
      </c>
      <c r="J81" s="181">
        <f>_xlfn.XLOOKUP(G81,'Data input'!$I$952:$I$953,'Data input'!$J$952:$J$953)</f>
        <v>8.4000000000000003E-4</v>
      </c>
      <c r="K81" s="335">
        <f t="shared" si="6"/>
        <v>1.5467759999999999E-3</v>
      </c>
      <c r="L81" s="426">
        <f>SUMIFS('Data input'!$L$915:$L$942,'Data input'!$I$915:$I$942,F81,'Data input'!$J$915:$J$942,G81,'Data input'!$K$915:$K$942,H81)</f>
        <v>5</v>
      </c>
      <c r="M81" s="439">
        <f t="shared" si="7"/>
        <v>7.7338799999999994E-3</v>
      </c>
      <c r="N81" s="181"/>
    </row>
    <row r="82" spans="4:14">
      <c r="D82" s="181"/>
      <c r="E82" s="181"/>
      <c r="F82" s="152">
        <v>2024</v>
      </c>
      <c r="G82" s="157" t="s">
        <v>369</v>
      </c>
      <c r="H82" s="157" t="s">
        <v>244</v>
      </c>
      <c r="I82" s="207" cm="1">
        <f t="array" ref="I82">_xlfn.XLOOKUP(F82&amp;G82&amp;H82,'Data input'!$I$883:$I$910&amp;'Data input'!$J$883:$J$910&amp;'Data input'!$K$883:$K$910,'Data input'!$L$883:$L$910)</f>
        <v>0.50229999999999997</v>
      </c>
      <c r="J82" s="181">
        <f>_xlfn.XLOOKUP(G82,'Data input'!$I$952:$I$953,'Data input'!$J$952:$J$953)</f>
        <v>8.4000000000000003E-4</v>
      </c>
      <c r="K82" s="335">
        <f t="shared" si="6"/>
        <v>1.5470839999999998E-3</v>
      </c>
      <c r="L82" s="426">
        <f>SUMIFS('Data input'!$L$915:$L$942,'Data input'!$I$915:$I$942,F82,'Data input'!$J$915:$J$942,G82,'Data input'!$K$915:$K$942,H82)</f>
        <v>4</v>
      </c>
      <c r="M82" s="439">
        <f t="shared" si="7"/>
        <v>6.1883359999999991E-3</v>
      </c>
      <c r="N82" s="181"/>
    </row>
    <row r="83" spans="4:14">
      <c r="D83" s="181"/>
      <c r="E83" s="181"/>
      <c r="F83" s="152">
        <v>2025</v>
      </c>
      <c r="G83" s="157" t="s">
        <v>369</v>
      </c>
      <c r="H83" s="157" t="s">
        <v>244</v>
      </c>
      <c r="I83" s="207" cm="1">
        <f t="array" ref="I83">_xlfn.XLOOKUP(F83&amp;G83&amp;H83,'Data input'!$I$883:$I$910&amp;'Data input'!$J$883:$J$910&amp;'Data input'!$K$883:$K$910,'Data input'!$L$883:$L$910)</f>
        <v>0.50239999999999996</v>
      </c>
      <c r="J83" s="181">
        <f>_xlfn.XLOOKUP(G83,'Data input'!$I$952:$I$953,'Data input'!$J$952:$J$953)</f>
        <v>8.4000000000000003E-4</v>
      </c>
      <c r="K83" s="335">
        <f t="shared" si="6"/>
        <v>1.5473919999999999E-3</v>
      </c>
      <c r="L83" s="426">
        <f>SUMIFS('Data input'!$L$915:$L$942,'Data input'!$I$915:$I$942,F83,'Data input'!$J$915:$J$942,G83,'Data input'!$K$915:$K$942,H83)</f>
        <v>5</v>
      </c>
      <c r="M83" s="439">
        <f t="shared" si="7"/>
        <v>7.7369599999999993E-3</v>
      </c>
      <c r="N83" s="181"/>
    </row>
    <row r="84" spans="4:14">
      <c r="D84" s="181"/>
      <c r="E84" s="181"/>
      <c r="F84" s="152">
        <v>2026</v>
      </c>
      <c r="G84" s="157" t="s">
        <v>369</v>
      </c>
      <c r="H84" s="157" t="s">
        <v>244</v>
      </c>
      <c r="I84" s="207" cm="1">
        <f t="array" ref="I84">_xlfn.XLOOKUP(F84&amp;G84&amp;H84,'Data input'!$I$883:$I$910&amp;'Data input'!$J$883:$J$910&amp;'Data input'!$K$883:$K$910,'Data input'!$L$883:$L$910)</f>
        <v>0.50249999999999995</v>
      </c>
      <c r="J84" s="181">
        <f>_xlfn.XLOOKUP(G84,'Data input'!$I$952:$I$953,'Data input'!$J$952:$J$953)</f>
        <v>8.4000000000000003E-4</v>
      </c>
      <c r="K84" s="335">
        <f t="shared" si="6"/>
        <v>1.5476999999999997E-3</v>
      </c>
      <c r="L84" s="426">
        <f>SUMIFS('Data input'!$L$915:$L$942,'Data input'!$I$915:$I$942,F84,'Data input'!$J$915:$J$942,G84,'Data input'!$K$915:$K$942,H84)</f>
        <v>6</v>
      </c>
      <c r="M84" s="439">
        <f t="shared" si="7"/>
        <v>9.2861999999999979E-3</v>
      </c>
      <c r="N84" s="181"/>
    </row>
    <row r="85" spans="4:14">
      <c r="D85" s="181"/>
      <c r="E85" s="181"/>
      <c r="F85" s="152">
        <v>2020</v>
      </c>
      <c r="G85" s="157" t="s">
        <v>370</v>
      </c>
      <c r="H85" s="157" t="s">
        <v>243</v>
      </c>
      <c r="I85" s="207" cm="1">
        <f t="array" ref="I85">_xlfn.XLOOKUP(F85&amp;G85&amp;H85,'Data input'!$I$883:$I$910&amp;'Data input'!$J$883:$J$910&amp;'Data input'!$K$883:$K$910,'Data input'!$L$883:$L$910)</f>
        <v>0.41</v>
      </c>
      <c r="J85" s="181">
        <f>_xlfn.XLOOKUP(G85,'Data input'!$I$952:$I$953,'Data input'!$J$952:$J$953)</f>
        <v>7.5000000000000002E-4</v>
      </c>
      <c r="K85" s="335">
        <f t="shared" si="6"/>
        <v>1.1275E-3</v>
      </c>
      <c r="L85" s="426">
        <f>SUMIFS('Data input'!$L$915:$L$942,'Data input'!$I$915:$I$942,F85,'Data input'!$J$915:$J$942,G85,'Data input'!$K$915:$K$942,H85)</f>
        <v>5</v>
      </c>
      <c r="M85" s="439">
        <f t="shared" si="7"/>
        <v>5.6375000000000001E-3</v>
      </c>
      <c r="N85" s="181"/>
    </row>
    <row r="86" spans="4:14">
      <c r="D86" s="181"/>
      <c r="E86" s="181"/>
      <c r="F86" s="152">
        <v>2021</v>
      </c>
      <c r="G86" s="157" t="s">
        <v>370</v>
      </c>
      <c r="H86" s="157" t="s">
        <v>243</v>
      </c>
      <c r="I86" s="207" cm="1">
        <f t="array" ref="I86">_xlfn.XLOOKUP(F86&amp;G86&amp;H86,'Data input'!$I$883:$I$910&amp;'Data input'!$J$883:$J$910&amp;'Data input'!$K$883:$K$910,'Data input'!$L$883:$L$910)</f>
        <v>0.41099999999999998</v>
      </c>
      <c r="J86" s="181">
        <f>_xlfn.XLOOKUP(G86,'Data input'!$I$952:$I$953,'Data input'!$J$952:$J$953)</f>
        <v>7.5000000000000002E-4</v>
      </c>
      <c r="K86" s="335">
        <f t="shared" si="6"/>
        <v>1.13025E-3</v>
      </c>
      <c r="L86" s="426">
        <f>SUMIFS('Data input'!$L$915:$L$942,'Data input'!$I$915:$I$942,F86,'Data input'!$J$915:$J$942,G86,'Data input'!$K$915:$K$942,H86)</f>
        <v>4</v>
      </c>
      <c r="M86" s="439">
        <f t="shared" si="7"/>
        <v>4.5209999999999998E-3</v>
      </c>
      <c r="N86" s="181"/>
    </row>
    <row r="87" spans="4:14">
      <c r="D87" s="181"/>
      <c r="E87" s="181"/>
      <c r="F87" s="152">
        <v>2022</v>
      </c>
      <c r="G87" s="157" t="s">
        <v>370</v>
      </c>
      <c r="H87" s="157" t="s">
        <v>243</v>
      </c>
      <c r="I87" s="207" cm="1">
        <f t="array" ref="I87">_xlfn.XLOOKUP(F87&amp;G87&amp;H87,'Data input'!$I$883:$I$910&amp;'Data input'!$J$883:$J$910&amp;'Data input'!$K$883:$K$910,'Data input'!$L$883:$L$910)</f>
        <v>0.41199999999999998</v>
      </c>
      <c r="J87" s="181">
        <f>_xlfn.XLOOKUP(G87,'Data input'!$I$952:$I$953,'Data input'!$J$952:$J$953)</f>
        <v>7.5000000000000002E-4</v>
      </c>
      <c r="K87" s="335">
        <f t="shared" si="6"/>
        <v>1.1329999999999999E-3</v>
      </c>
      <c r="L87" s="426">
        <f>SUMIFS('Data input'!$L$915:$L$942,'Data input'!$I$915:$I$942,F87,'Data input'!$J$915:$J$942,G87,'Data input'!$K$915:$K$942,H87)</f>
        <v>5</v>
      </c>
      <c r="M87" s="439">
        <f t="shared" si="7"/>
        <v>5.6649999999999999E-3</v>
      </c>
      <c r="N87" s="181"/>
    </row>
    <row r="88" spans="4:14">
      <c r="D88" s="181"/>
      <c r="E88" s="181"/>
      <c r="F88" s="152">
        <v>2023</v>
      </c>
      <c r="G88" s="157" t="s">
        <v>370</v>
      </c>
      <c r="H88" s="157" t="s">
        <v>243</v>
      </c>
      <c r="I88" s="207" cm="1">
        <f t="array" ref="I88">_xlfn.XLOOKUP(F88&amp;G88&amp;H88,'Data input'!$I$883:$I$910&amp;'Data input'!$J$883:$J$910&amp;'Data input'!$K$883:$K$910,'Data input'!$L$883:$L$910)</f>
        <v>0.41299999999999998</v>
      </c>
      <c r="J88" s="181">
        <f>_xlfn.XLOOKUP(G88,'Data input'!$I$952:$I$953,'Data input'!$J$952:$J$953)</f>
        <v>7.5000000000000002E-4</v>
      </c>
      <c r="K88" s="335">
        <f t="shared" si="6"/>
        <v>1.1357499999999998E-3</v>
      </c>
      <c r="L88" s="426">
        <f>SUMIFS('Data input'!$L$915:$L$942,'Data input'!$I$915:$I$942,F88,'Data input'!$J$915:$J$942,G88,'Data input'!$K$915:$K$942,H88)</f>
        <v>8</v>
      </c>
      <c r="M88" s="439">
        <f t="shared" si="7"/>
        <v>9.0859999999999986E-3</v>
      </c>
      <c r="N88" s="181"/>
    </row>
    <row r="89" spans="4:14">
      <c r="D89" s="181"/>
      <c r="E89" s="181"/>
      <c r="F89" s="152">
        <v>2024</v>
      </c>
      <c r="G89" s="157" t="s">
        <v>370</v>
      </c>
      <c r="H89" s="157" t="s">
        <v>243</v>
      </c>
      <c r="I89" s="207" cm="1">
        <f t="array" ref="I89">_xlfn.XLOOKUP(F89&amp;G89&amp;H89,'Data input'!$I$883:$I$910&amp;'Data input'!$J$883:$J$910&amp;'Data input'!$K$883:$K$910,'Data input'!$L$883:$L$910)</f>
        <v>0.41399999999999998</v>
      </c>
      <c r="J89" s="181">
        <f>_xlfn.XLOOKUP(G89,'Data input'!$I$952:$I$953,'Data input'!$J$952:$J$953)</f>
        <v>7.5000000000000002E-4</v>
      </c>
      <c r="K89" s="335">
        <f t="shared" si="6"/>
        <v>1.1385E-3</v>
      </c>
      <c r="L89" s="426">
        <f>SUMIFS('Data input'!$L$915:$L$942,'Data input'!$I$915:$I$942,F89,'Data input'!$J$915:$J$942,G89,'Data input'!$K$915:$K$942,H89)</f>
        <v>4</v>
      </c>
      <c r="M89" s="439">
        <f t="shared" si="7"/>
        <v>4.5539999999999999E-3</v>
      </c>
      <c r="N89" s="181"/>
    </row>
    <row r="90" spans="4:14">
      <c r="D90" s="181"/>
      <c r="E90" s="181"/>
      <c r="F90" s="152">
        <v>2025</v>
      </c>
      <c r="G90" s="157" t="s">
        <v>370</v>
      </c>
      <c r="H90" s="157" t="s">
        <v>243</v>
      </c>
      <c r="I90" s="207" cm="1">
        <f t="array" ref="I90">_xlfn.XLOOKUP(F90&amp;G90&amp;H90,'Data input'!$I$883:$I$910&amp;'Data input'!$J$883:$J$910&amp;'Data input'!$K$883:$K$910,'Data input'!$L$883:$L$910)</f>
        <v>0.41499999999999998</v>
      </c>
      <c r="J90" s="181">
        <f>_xlfn.XLOOKUP(G90,'Data input'!$I$952:$I$953,'Data input'!$J$952:$J$953)</f>
        <v>7.5000000000000002E-4</v>
      </c>
      <c r="K90" s="335">
        <f t="shared" si="6"/>
        <v>1.1412499999999999E-3</v>
      </c>
      <c r="L90" s="426">
        <f>SUMIFS('Data input'!$L$915:$L$942,'Data input'!$I$915:$I$942,F90,'Data input'!$J$915:$J$942,G90,'Data input'!$K$915:$K$942,H90)</f>
        <v>5</v>
      </c>
      <c r="M90" s="439">
        <f t="shared" si="7"/>
        <v>5.7062499999999995E-3</v>
      </c>
      <c r="N90" s="181"/>
    </row>
    <row r="91" spans="4:14">
      <c r="D91" s="181"/>
      <c r="E91" s="181"/>
      <c r="F91" s="152">
        <v>2026</v>
      </c>
      <c r="G91" s="157" t="s">
        <v>370</v>
      </c>
      <c r="H91" s="157" t="s">
        <v>243</v>
      </c>
      <c r="I91" s="207" cm="1">
        <f t="array" ref="I91">_xlfn.XLOOKUP(F91&amp;G91&amp;H91,'Data input'!$I$883:$I$910&amp;'Data input'!$J$883:$J$910&amp;'Data input'!$K$883:$K$910,'Data input'!$L$883:$L$910)</f>
        <v>0.41599999999999998</v>
      </c>
      <c r="J91" s="181">
        <f>_xlfn.XLOOKUP(G91,'Data input'!$I$952:$I$953,'Data input'!$J$952:$J$953)</f>
        <v>7.5000000000000002E-4</v>
      </c>
      <c r="K91" s="335">
        <f t="shared" si="6"/>
        <v>1.1439999999999998E-3</v>
      </c>
      <c r="L91" s="426">
        <f>SUMIFS('Data input'!$L$915:$L$942,'Data input'!$I$915:$I$942,F91,'Data input'!$J$915:$J$942,G91,'Data input'!$K$915:$K$942,H91)</f>
        <v>4</v>
      </c>
      <c r="M91" s="439">
        <f t="shared" si="7"/>
        <v>4.5759999999999993E-3</v>
      </c>
      <c r="N91" s="181"/>
    </row>
    <row r="92" spans="4:14">
      <c r="D92" s="181"/>
      <c r="E92" s="181"/>
      <c r="F92" s="152">
        <v>2020</v>
      </c>
      <c r="G92" s="157" t="s">
        <v>370</v>
      </c>
      <c r="H92" s="157" t="s">
        <v>244</v>
      </c>
      <c r="I92" s="207" cm="1">
        <f t="array" ref="I92">_xlfn.XLOOKUP(F92&amp;G92&amp;H92,'Data input'!$I$883:$I$910&amp;'Data input'!$J$883:$J$910&amp;'Data input'!$K$883:$K$910,'Data input'!$L$883:$L$910)</f>
        <v>0.41699999999999998</v>
      </c>
      <c r="J92" s="181">
        <f>_xlfn.XLOOKUP(G92,'Data input'!$I$952:$I$953,'Data input'!$J$952:$J$953)</f>
        <v>7.5000000000000002E-4</v>
      </c>
      <c r="K92" s="335">
        <f t="shared" si="6"/>
        <v>1.14675E-3</v>
      </c>
      <c r="L92" s="426">
        <f>SUMIFS('Data input'!$L$915:$L$942,'Data input'!$I$915:$I$942,F92,'Data input'!$J$915:$J$942,G92,'Data input'!$K$915:$K$942,H92)</f>
        <v>5</v>
      </c>
      <c r="M92" s="439">
        <f t="shared" si="7"/>
        <v>5.7337500000000001E-3</v>
      </c>
      <c r="N92" s="181"/>
    </row>
    <row r="93" spans="4:14">
      <c r="D93" s="181"/>
      <c r="E93" s="181"/>
      <c r="F93" s="152">
        <v>2021</v>
      </c>
      <c r="G93" s="157" t="s">
        <v>370</v>
      </c>
      <c r="H93" s="157" t="s">
        <v>244</v>
      </c>
      <c r="I93" s="207" cm="1">
        <f t="array" ref="I93">_xlfn.XLOOKUP(F93&amp;G93&amp;H93,'Data input'!$I$883:$I$910&amp;'Data input'!$J$883:$J$910&amp;'Data input'!$K$883:$K$910,'Data input'!$L$883:$L$910)</f>
        <v>0.41799999999999998</v>
      </c>
      <c r="J93" s="181">
        <f>_xlfn.XLOOKUP(G93,'Data input'!$I$952:$I$953,'Data input'!$J$952:$J$953)</f>
        <v>7.5000000000000002E-4</v>
      </c>
      <c r="K93" s="335">
        <f t="shared" si="6"/>
        <v>1.1494999999999999E-3</v>
      </c>
      <c r="L93" s="426">
        <f>SUMIFS('Data input'!$L$915:$L$942,'Data input'!$I$915:$I$942,F93,'Data input'!$J$915:$J$942,G93,'Data input'!$K$915:$K$942,H93)</f>
        <v>4</v>
      </c>
      <c r="M93" s="439">
        <f t="shared" si="7"/>
        <v>4.5979999999999997E-3</v>
      </c>
      <c r="N93" s="181"/>
    </row>
    <row r="94" spans="4:14">
      <c r="D94" s="181"/>
      <c r="E94" s="181"/>
      <c r="F94" s="152">
        <v>2022</v>
      </c>
      <c r="G94" s="157" t="s">
        <v>370</v>
      </c>
      <c r="H94" s="157" t="s">
        <v>244</v>
      </c>
      <c r="I94" s="207" cm="1">
        <f t="array" ref="I94">_xlfn.XLOOKUP(F94&amp;G94&amp;H94,'Data input'!$I$883:$I$910&amp;'Data input'!$J$883:$J$910&amp;'Data input'!$K$883:$K$910,'Data input'!$L$883:$L$910)</f>
        <v>0.41899999999999998</v>
      </c>
      <c r="J94" s="181">
        <f>_xlfn.XLOOKUP(G94,'Data input'!$I$952:$I$953,'Data input'!$J$952:$J$953)</f>
        <v>7.5000000000000002E-4</v>
      </c>
      <c r="K94" s="335">
        <f t="shared" si="6"/>
        <v>1.1522499999999998E-3</v>
      </c>
      <c r="L94" s="426">
        <f>SUMIFS('Data input'!$L$915:$L$942,'Data input'!$I$915:$I$942,F94,'Data input'!$J$915:$J$942,G94,'Data input'!$K$915:$K$942,H94)</f>
        <v>9</v>
      </c>
      <c r="M94" s="439">
        <f t="shared" si="7"/>
        <v>1.0370249999999999E-2</v>
      </c>
      <c r="N94" s="181"/>
    </row>
    <row r="95" spans="4:14">
      <c r="D95" s="181"/>
      <c r="E95" s="181"/>
      <c r="F95" s="152">
        <v>2023</v>
      </c>
      <c r="G95" s="157" t="s">
        <v>370</v>
      </c>
      <c r="H95" s="157" t="s">
        <v>244</v>
      </c>
      <c r="I95" s="207" cm="1">
        <f t="array" ref="I95">_xlfn.XLOOKUP(F95&amp;G95&amp;H95,'Data input'!$I$883:$I$910&amp;'Data input'!$J$883:$J$910&amp;'Data input'!$K$883:$K$910,'Data input'!$L$883:$L$910)</f>
        <v>0.42</v>
      </c>
      <c r="J95" s="181">
        <f>_xlfn.XLOOKUP(G95,'Data input'!$I$952:$I$953,'Data input'!$J$952:$J$953)</f>
        <v>7.5000000000000002E-4</v>
      </c>
      <c r="K95" s="335">
        <f t="shared" si="6"/>
        <v>1.155E-3</v>
      </c>
      <c r="L95" s="426">
        <f>SUMIFS('Data input'!$L$915:$L$942,'Data input'!$I$915:$I$942,F95,'Data input'!$J$915:$J$942,G95,'Data input'!$K$915:$K$942,H95)</f>
        <v>8</v>
      </c>
      <c r="M95" s="439">
        <f t="shared" si="7"/>
        <v>9.2399999999999999E-3</v>
      </c>
      <c r="N95" s="181"/>
    </row>
    <row r="96" spans="4:14">
      <c r="D96" s="181"/>
      <c r="E96" s="181"/>
      <c r="F96" s="152">
        <v>2024</v>
      </c>
      <c r="G96" s="157" t="s">
        <v>370</v>
      </c>
      <c r="H96" s="157" t="s">
        <v>244</v>
      </c>
      <c r="I96" s="207" cm="1">
        <f t="array" ref="I96">_xlfn.XLOOKUP(F96&amp;G96&amp;H96,'Data input'!$I$883:$I$910&amp;'Data input'!$J$883:$J$910&amp;'Data input'!$K$883:$K$910,'Data input'!$L$883:$L$910)</f>
        <v>0.42099999999999999</v>
      </c>
      <c r="J96" s="181">
        <f>_xlfn.XLOOKUP(G96,'Data input'!$I$952:$I$953,'Data input'!$J$952:$J$953)</f>
        <v>7.5000000000000002E-4</v>
      </c>
      <c r="K96" s="335">
        <f t="shared" si="6"/>
        <v>1.1577499999999999E-3</v>
      </c>
      <c r="L96" s="426">
        <f>SUMIFS('Data input'!$L$915:$L$942,'Data input'!$I$915:$I$942,F96,'Data input'!$J$915:$J$942,G96,'Data input'!$K$915:$K$942,H96)</f>
        <v>7</v>
      </c>
      <c r="M96" s="439">
        <f t="shared" si="7"/>
        <v>8.1042500000000003E-3</v>
      </c>
      <c r="N96" s="181"/>
    </row>
    <row r="97" spans="4:14">
      <c r="D97" s="181"/>
      <c r="E97" s="181"/>
      <c r="F97" s="152">
        <v>2025</v>
      </c>
      <c r="G97" s="157" t="s">
        <v>370</v>
      </c>
      <c r="H97" s="157" t="s">
        <v>244</v>
      </c>
      <c r="I97" s="207" cm="1">
        <f t="array" ref="I97">_xlfn.XLOOKUP(F97&amp;G97&amp;H97,'Data input'!$I$883:$I$910&amp;'Data input'!$J$883:$J$910&amp;'Data input'!$K$883:$K$910,'Data input'!$L$883:$L$910)</f>
        <v>0.42199999999999999</v>
      </c>
      <c r="J97" s="181">
        <f>_xlfn.XLOOKUP(G97,'Data input'!$I$952:$I$953,'Data input'!$J$952:$J$953)</f>
        <v>7.5000000000000002E-4</v>
      </c>
      <c r="K97" s="335">
        <f t="shared" si="6"/>
        <v>1.1604999999999999E-3</v>
      </c>
      <c r="L97" s="426">
        <f>SUMIFS('Data input'!$L$915:$L$942,'Data input'!$I$915:$I$942,F97,'Data input'!$J$915:$J$942,G97,'Data input'!$K$915:$K$942,H97)</f>
        <v>5</v>
      </c>
      <c r="M97" s="439">
        <f t="shared" si="7"/>
        <v>5.8024999999999995E-3</v>
      </c>
      <c r="N97" s="181"/>
    </row>
    <row r="98" spans="4:14">
      <c r="D98" s="181"/>
      <c r="E98" s="181"/>
      <c r="F98" s="154">
        <v>2026</v>
      </c>
      <c r="G98" s="316" t="s">
        <v>370</v>
      </c>
      <c r="H98" s="316" t="s">
        <v>244</v>
      </c>
      <c r="I98" s="208" cm="1">
        <f t="array" ref="I98">_xlfn.XLOOKUP(F98&amp;G98&amp;H98,'Data input'!$I$883:$I$910&amp;'Data input'!$J$883:$J$910&amp;'Data input'!$K$883:$K$910,'Data input'!$L$883:$L$910)</f>
        <v>0.42299999999999999</v>
      </c>
      <c r="J98" s="201">
        <f>_xlfn.XLOOKUP(G98,'Data input'!$I$952:$I$953,'Data input'!$J$952:$J$953)</f>
        <v>7.5000000000000002E-4</v>
      </c>
      <c r="K98" s="440">
        <f t="shared" si="6"/>
        <v>1.16325E-3</v>
      </c>
      <c r="L98" s="432">
        <f>SUMIFS('Data input'!$L$915:$L$942,'Data input'!$I$915:$I$942,F98,'Data input'!$J$915:$J$942,G98,'Data input'!$K$915:$K$942,H98)</f>
        <v>5</v>
      </c>
      <c r="M98" s="441">
        <f t="shared" si="7"/>
        <v>5.8162500000000002E-3</v>
      </c>
      <c r="N98" s="181"/>
    </row>
    <row r="99" spans="4:14">
      <c r="D99" s="181"/>
      <c r="E99" s="181"/>
      <c r="F99" s="330"/>
      <c r="G99" s="330"/>
      <c r="H99" s="330"/>
      <c r="I99" s="330"/>
      <c r="J99" s="330"/>
      <c r="K99" s="330"/>
      <c r="L99" s="330"/>
      <c r="M99" s="338">
        <f>SUM(M71:M98)</f>
        <v>0.18995242199999998</v>
      </c>
      <c r="N99" s="181"/>
    </row>
    <row r="100" spans="4:14">
      <c r="D100" s="181"/>
      <c r="E100" s="181"/>
      <c r="F100" s="330"/>
      <c r="G100" s="330"/>
      <c r="H100" s="330"/>
      <c r="I100" s="330"/>
      <c r="J100" s="330"/>
      <c r="K100" s="330"/>
      <c r="L100" s="330"/>
      <c r="M100" s="330"/>
      <c r="N100" s="181"/>
    </row>
    <row r="101" spans="4:14" ht="16" thickBot="1">
      <c r="D101" s="181"/>
      <c r="E101" s="181"/>
      <c r="F101" s="336" t="s">
        <v>374</v>
      </c>
      <c r="G101" s="330"/>
      <c r="H101" s="330"/>
      <c r="I101" s="330"/>
      <c r="J101" s="330"/>
      <c r="K101" s="330"/>
      <c r="L101" s="330"/>
      <c r="M101" s="330"/>
      <c r="N101" s="181"/>
    </row>
    <row r="102" spans="4:14">
      <c r="D102" s="181"/>
      <c r="E102" s="181"/>
      <c r="F102" s="323"/>
      <c r="G102" s="324"/>
      <c r="H102" s="325"/>
      <c r="I102" s="326"/>
      <c r="J102" s="324"/>
      <c r="K102" s="327" t="s">
        <v>84</v>
      </c>
      <c r="L102" s="324"/>
      <c r="M102" s="328" t="s">
        <v>84</v>
      </c>
      <c r="N102" s="181"/>
    </row>
    <row r="103" spans="4:14">
      <c r="D103" s="181"/>
      <c r="E103" s="181"/>
      <c r="F103" s="329"/>
      <c r="G103" s="330"/>
      <c r="H103" s="314"/>
      <c r="I103" s="315"/>
      <c r="J103" s="330"/>
      <c r="K103" s="331" t="s">
        <v>134</v>
      </c>
      <c r="L103" s="330"/>
      <c r="M103" s="332" t="s">
        <v>12</v>
      </c>
      <c r="N103" s="181"/>
    </row>
    <row r="104" spans="4:14" ht="17">
      <c r="D104" s="181"/>
      <c r="E104" s="181"/>
      <c r="F104" s="207" t="s">
        <v>335</v>
      </c>
      <c r="G104" s="340" t="s">
        <v>364</v>
      </c>
      <c r="H104" s="229" t="s">
        <v>242</v>
      </c>
      <c r="I104" s="152" t="s">
        <v>375</v>
      </c>
      <c r="J104" s="157" t="s">
        <v>376</v>
      </c>
      <c r="K104" s="333" t="s">
        <v>123</v>
      </c>
      <c r="L104" s="157" t="s">
        <v>120</v>
      </c>
      <c r="M104" s="358" t="s">
        <v>366</v>
      </c>
      <c r="N104" s="181"/>
    </row>
    <row r="105" spans="4:14" ht="17">
      <c r="D105" s="181"/>
      <c r="E105" s="181"/>
      <c r="F105" s="207"/>
      <c r="G105" s="157"/>
      <c r="H105" s="153"/>
      <c r="I105" s="152" t="s">
        <v>377</v>
      </c>
      <c r="J105" s="157" t="s">
        <v>378</v>
      </c>
      <c r="K105" s="333" t="s">
        <v>124</v>
      </c>
      <c r="L105" s="157" t="s">
        <v>367</v>
      </c>
      <c r="M105" s="334" t="s">
        <v>368</v>
      </c>
      <c r="N105" s="181"/>
    </row>
    <row r="106" spans="4:14">
      <c r="D106" s="181"/>
      <c r="E106" s="181"/>
      <c r="F106" s="205">
        <v>2020</v>
      </c>
      <c r="G106" s="226" t="s">
        <v>369</v>
      </c>
      <c r="H106" s="226" t="s">
        <v>243</v>
      </c>
      <c r="I106" s="447" cm="1">
        <f t="array" ref="I106">_xlfn.XLOOKUP(F106&amp;G106&amp;H106,'Data input'!$I$963:$I$990&amp;'Data input'!$J$963:$J$990&amp;'Data input'!$K$963:$K$990,'Data input'!$L$963:$L$990)</f>
        <v>43.3</v>
      </c>
      <c r="J106" s="445" cm="1">
        <f t="array" ref="J106">_xlfn.XLOOKUP(F106&amp;G106&amp;H106,'Data input'!$I$996:$I$1023&amp;'Data input'!$J$996:$J$1023&amp;'Data input'!$K$996:$K$1023,'Data input'!$L$996:$L$1023)</f>
        <v>2.6</v>
      </c>
      <c r="K106" s="437">
        <f t="shared" ref="K106" si="8">I106*J106</f>
        <v>112.58</v>
      </c>
      <c r="L106" s="428">
        <f>SUMIFS('Data input'!$L$915:$L$942,'Data input'!$I$915:$I$942,F106,'Data input'!$J$915:$J$942,G106,'Data input'!$K$915:$K$942,H106)</f>
        <v>5</v>
      </c>
      <c r="M106" s="442">
        <f t="shared" ref="M106" si="9">K106*L106</f>
        <v>562.9</v>
      </c>
      <c r="N106" s="181"/>
    </row>
    <row r="107" spans="4:14">
      <c r="D107" s="181"/>
      <c r="E107" s="181"/>
      <c r="F107" s="207">
        <v>2021</v>
      </c>
      <c r="G107" s="157" t="s">
        <v>369</v>
      </c>
      <c r="H107" s="157" t="s">
        <v>243</v>
      </c>
      <c r="I107" s="448" cm="1">
        <f t="array" ref="I107">_xlfn.XLOOKUP(F107&amp;G107&amp;H107,'Data input'!$I$963:$I$990&amp;'Data input'!$J$963:$J$990&amp;'Data input'!$K$963:$K$990,'Data input'!$L$963:$L$990)</f>
        <v>43.31</v>
      </c>
      <c r="J107" s="446" cm="1">
        <f t="array" ref="J107">_xlfn.XLOOKUP(F107&amp;G107&amp;H107,'Data input'!$I$996:$I$1023&amp;'Data input'!$J$996:$J$1023&amp;'Data input'!$K$996:$K$1023,'Data input'!$L$996:$L$1023)</f>
        <v>2.61</v>
      </c>
      <c r="K107" s="335">
        <f t="shared" ref="K107:K133" si="10">I107*J107</f>
        <v>113.0391</v>
      </c>
      <c r="L107" s="426">
        <f>SUMIFS('Data input'!$L$915:$L$942,'Data input'!$I$915:$I$942,F107,'Data input'!$J$915:$J$942,G107,'Data input'!$K$915:$K$942,H107)</f>
        <v>4</v>
      </c>
      <c r="M107" s="443">
        <f t="shared" ref="M107:M133" si="11">K107*L107</f>
        <v>452.15640000000002</v>
      </c>
      <c r="N107" s="181"/>
    </row>
    <row r="108" spans="4:14">
      <c r="D108" s="181"/>
      <c r="E108" s="181"/>
      <c r="F108" s="207">
        <v>2022</v>
      </c>
      <c r="G108" s="157" t="s">
        <v>369</v>
      </c>
      <c r="H108" s="157" t="s">
        <v>243</v>
      </c>
      <c r="I108" s="448" cm="1">
        <f t="array" ref="I108">_xlfn.XLOOKUP(F108&amp;G108&amp;H108,'Data input'!$I$963:$I$990&amp;'Data input'!$J$963:$J$990&amp;'Data input'!$K$963:$K$990,'Data input'!$L$963:$L$990)</f>
        <v>43.29</v>
      </c>
      <c r="J108" s="446" cm="1">
        <f t="array" ref="J108">_xlfn.XLOOKUP(F108&amp;G108&amp;H108,'Data input'!$I$996:$I$1023&amp;'Data input'!$J$996:$J$1023&amp;'Data input'!$K$996:$K$1023,'Data input'!$L$996:$L$1023)</f>
        <v>2.62</v>
      </c>
      <c r="K108" s="335">
        <f t="shared" si="10"/>
        <v>113.41980000000001</v>
      </c>
      <c r="L108" s="426">
        <f>SUMIFS('Data input'!$L$915:$L$942,'Data input'!$I$915:$I$942,F108,'Data input'!$J$915:$J$942,G108,'Data input'!$K$915:$K$942,H108)</f>
        <v>1</v>
      </c>
      <c r="M108" s="443">
        <f t="shared" si="11"/>
        <v>113.41980000000001</v>
      </c>
      <c r="N108" s="181"/>
    </row>
    <row r="109" spans="4:14">
      <c r="D109" s="181"/>
      <c r="E109" s="181"/>
      <c r="F109" s="207">
        <v>2023</v>
      </c>
      <c r="G109" s="157" t="s">
        <v>369</v>
      </c>
      <c r="H109" s="157" t="s">
        <v>243</v>
      </c>
      <c r="I109" s="448" cm="1">
        <f t="array" ref="I109">_xlfn.XLOOKUP(F109&amp;G109&amp;H109,'Data input'!$I$963:$I$990&amp;'Data input'!$J$963:$J$990&amp;'Data input'!$K$963:$K$990,'Data input'!$L$963:$L$990)</f>
        <v>43.29</v>
      </c>
      <c r="J109" s="446" cm="1">
        <f t="array" ref="J109">_xlfn.XLOOKUP(F109&amp;G109&amp;H109,'Data input'!$I$996:$I$1023&amp;'Data input'!$J$996:$J$1023&amp;'Data input'!$K$996:$K$1023,'Data input'!$L$996:$L$1023)</f>
        <v>2.63</v>
      </c>
      <c r="K109" s="335">
        <f t="shared" si="10"/>
        <v>113.8527</v>
      </c>
      <c r="L109" s="426">
        <f>SUMIFS('Data input'!$L$915:$L$942,'Data input'!$I$915:$I$942,F109,'Data input'!$J$915:$J$942,G109,'Data input'!$K$915:$K$942,H109)</f>
        <v>2</v>
      </c>
      <c r="M109" s="443">
        <f t="shared" si="11"/>
        <v>227.7054</v>
      </c>
      <c r="N109" s="181"/>
    </row>
    <row r="110" spans="4:14">
      <c r="D110" s="181"/>
      <c r="E110" s="181"/>
      <c r="F110" s="207">
        <v>2024</v>
      </c>
      <c r="G110" s="157" t="s">
        <v>369</v>
      </c>
      <c r="H110" s="157" t="s">
        <v>243</v>
      </c>
      <c r="I110" s="448" cm="1">
        <f t="array" ref="I110">_xlfn.XLOOKUP(F110&amp;G110&amp;H110,'Data input'!$I$963:$I$990&amp;'Data input'!$J$963:$J$990&amp;'Data input'!$K$963:$K$990,'Data input'!$L$963:$L$990)</f>
        <v>43.284999999999997</v>
      </c>
      <c r="J110" s="446" cm="1">
        <f t="array" ref="J110">_xlfn.XLOOKUP(F110&amp;G110&amp;H110,'Data input'!$I$996:$I$1023&amp;'Data input'!$J$996:$J$1023&amp;'Data input'!$K$996:$K$1023,'Data input'!$L$996:$L$1023)</f>
        <v>2.63</v>
      </c>
      <c r="K110" s="335">
        <f t="shared" si="10"/>
        <v>113.83954999999999</v>
      </c>
      <c r="L110" s="426">
        <f>SUMIFS('Data input'!$L$915:$L$942,'Data input'!$I$915:$I$942,F110,'Data input'!$J$915:$J$942,G110,'Data input'!$K$915:$K$942,H110)</f>
        <v>5</v>
      </c>
      <c r="M110" s="443">
        <f t="shared" si="11"/>
        <v>569.19774999999993</v>
      </c>
      <c r="N110" s="181"/>
    </row>
    <row r="111" spans="4:14">
      <c r="D111" s="181"/>
      <c r="E111" s="181"/>
      <c r="F111" s="207">
        <v>2025</v>
      </c>
      <c r="G111" s="157" t="s">
        <v>369</v>
      </c>
      <c r="H111" s="157" t="s">
        <v>243</v>
      </c>
      <c r="I111" s="448" cm="1">
        <f t="array" ref="I111">_xlfn.XLOOKUP(F111&amp;G111&amp;H111,'Data input'!$I$963:$I$990&amp;'Data input'!$J$963:$J$990&amp;'Data input'!$K$963:$K$990,'Data input'!$L$963:$L$990)</f>
        <v>43.28</v>
      </c>
      <c r="J111" s="446" cm="1">
        <f t="array" ref="J111">_xlfn.XLOOKUP(F111&amp;G111&amp;H111,'Data input'!$I$996:$I$1023&amp;'Data input'!$J$996:$J$1023&amp;'Data input'!$K$996:$K$1023,'Data input'!$L$996:$L$1023)</f>
        <v>2.65</v>
      </c>
      <c r="K111" s="335">
        <f t="shared" si="10"/>
        <v>114.69199999999999</v>
      </c>
      <c r="L111" s="426">
        <f>SUMIFS('Data input'!$L$915:$L$942,'Data input'!$I$915:$I$942,F111,'Data input'!$J$915:$J$942,G111,'Data input'!$K$915:$K$942,H111)</f>
        <v>4</v>
      </c>
      <c r="M111" s="443">
        <f t="shared" si="11"/>
        <v>458.76799999999997</v>
      </c>
      <c r="N111" s="181"/>
    </row>
    <row r="112" spans="4:14">
      <c r="D112" s="181"/>
      <c r="E112" s="181"/>
      <c r="F112" s="207">
        <v>2026</v>
      </c>
      <c r="G112" s="157" t="s">
        <v>369</v>
      </c>
      <c r="H112" s="157" t="s">
        <v>243</v>
      </c>
      <c r="I112" s="448" cm="1">
        <f t="array" ref="I112">_xlfn.XLOOKUP(F112&amp;G112&amp;H112,'Data input'!$I$963:$I$990&amp;'Data input'!$J$963:$J$990&amp;'Data input'!$K$963:$K$990,'Data input'!$L$963:$L$990)</f>
        <v>43.274999999999999</v>
      </c>
      <c r="J112" s="446" cm="1">
        <f t="array" ref="J112">_xlfn.XLOOKUP(F112&amp;G112&amp;H112,'Data input'!$I$996:$I$1023&amp;'Data input'!$J$996:$J$1023&amp;'Data input'!$K$996:$K$1023,'Data input'!$L$996:$L$1023)</f>
        <v>2.67</v>
      </c>
      <c r="K112" s="335">
        <f t="shared" si="10"/>
        <v>115.54424999999999</v>
      </c>
      <c r="L112" s="426">
        <f>SUMIFS('Data input'!$L$915:$L$942,'Data input'!$I$915:$I$942,F112,'Data input'!$J$915:$J$942,G112,'Data input'!$K$915:$K$942,H112)</f>
        <v>7</v>
      </c>
      <c r="M112" s="443">
        <f t="shared" si="11"/>
        <v>808.80974999999989</v>
      </c>
      <c r="N112" s="181"/>
    </row>
    <row r="113" spans="4:14">
      <c r="D113" s="181"/>
      <c r="E113" s="181"/>
      <c r="F113" s="207">
        <v>2020</v>
      </c>
      <c r="G113" s="157" t="s">
        <v>369</v>
      </c>
      <c r="H113" s="157" t="s">
        <v>244</v>
      </c>
      <c r="I113" s="448" cm="1">
        <f t="array" ref="I113">_xlfn.XLOOKUP(F113&amp;G113&amp;H113,'Data input'!$I$963:$I$990&amp;'Data input'!$J$963:$J$990&amp;'Data input'!$K$963:$K$990,'Data input'!$L$963:$L$990)</f>
        <v>44.8</v>
      </c>
      <c r="J113" s="446" cm="1">
        <f t="array" ref="J113">_xlfn.XLOOKUP(F113&amp;G113&amp;H113,'Data input'!$I$996:$I$1023&amp;'Data input'!$J$996:$J$1023&amp;'Data input'!$K$996:$K$1023,'Data input'!$L$996:$L$1023)</f>
        <v>2.7</v>
      </c>
      <c r="K113" s="335">
        <f t="shared" si="10"/>
        <v>120.96</v>
      </c>
      <c r="L113" s="426">
        <f>SUMIFS('Data input'!$L$915:$L$942,'Data input'!$I$915:$I$942,F113,'Data input'!$J$915:$J$942,G113,'Data input'!$K$915:$K$942,H113)</f>
        <v>8</v>
      </c>
      <c r="M113" s="443">
        <f t="shared" si="11"/>
        <v>967.68</v>
      </c>
      <c r="N113" s="181"/>
    </row>
    <row r="114" spans="4:14">
      <c r="D114" s="181"/>
      <c r="E114" s="181"/>
      <c r="F114" s="207">
        <v>2021</v>
      </c>
      <c r="G114" s="157" t="s">
        <v>369</v>
      </c>
      <c r="H114" s="157" t="s">
        <v>244</v>
      </c>
      <c r="I114" s="448" cm="1">
        <f t="array" ref="I114">_xlfn.XLOOKUP(F114&amp;G114&amp;H114,'Data input'!$I$963:$I$990&amp;'Data input'!$J$963:$J$990&amp;'Data input'!$K$963:$K$990,'Data input'!$L$963:$L$990)</f>
        <v>44.81</v>
      </c>
      <c r="J114" s="446" cm="1">
        <f t="array" ref="J114">_xlfn.XLOOKUP(F114&amp;G114&amp;H114,'Data input'!$I$996:$I$1023&amp;'Data input'!$J$996:$J$1023&amp;'Data input'!$K$996:$K$1023,'Data input'!$L$996:$L$1023)</f>
        <v>3.2</v>
      </c>
      <c r="K114" s="335">
        <f t="shared" si="10"/>
        <v>143.39200000000002</v>
      </c>
      <c r="L114" s="426">
        <f>SUMIFS('Data input'!$L$915:$L$942,'Data input'!$I$915:$I$942,F114,'Data input'!$J$915:$J$942,G114,'Data input'!$K$915:$K$942,H114)</f>
        <v>5</v>
      </c>
      <c r="M114" s="443">
        <f t="shared" si="11"/>
        <v>716.96000000000015</v>
      </c>
      <c r="N114" s="181"/>
    </row>
    <row r="115" spans="4:14">
      <c r="D115" s="181"/>
      <c r="E115" s="181"/>
      <c r="F115" s="207">
        <v>2022</v>
      </c>
      <c r="G115" s="157" t="s">
        <v>369</v>
      </c>
      <c r="H115" s="157" t="s">
        <v>244</v>
      </c>
      <c r="I115" s="448" cm="1">
        <f t="array" ref="I115">_xlfn.XLOOKUP(F115&amp;G115&amp;H115,'Data input'!$I$963:$I$990&amp;'Data input'!$J$963:$J$990&amp;'Data input'!$K$963:$K$990,'Data input'!$L$963:$L$990)</f>
        <v>44.79</v>
      </c>
      <c r="J115" s="446" cm="1">
        <f t="array" ref="J115">_xlfn.XLOOKUP(F115&amp;G115&amp;H115,'Data input'!$I$996:$I$1023&amp;'Data input'!$J$996:$J$1023&amp;'Data input'!$K$996:$K$1023,'Data input'!$L$996:$L$1023)</f>
        <v>3.3</v>
      </c>
      <c r="K115" s="335">
        <f t="shared" si="10"/>
        <v>147.80699999999999</v>
      </c>
      <c r="L115" s="426">
        <f>SUMIFS('Data input'!$L$915:$L$942,'Data input'!$I$915:$I$942,F115,'Data input'!$J$915:$J$942,G115,'Data input'!$K$915:$K$942,H115)</f>
        <v>4</v>
      </c>
      <c r="M115" s="443">
        <f t="shared" si="11"/>
        <v>591.22799999999995</v>
      </c>
      <c r="N115" s="181"/>
    </row>
    <row r="116" spans="4:14">
      <c r="D116" s="181"/>
      <c r="E116" s="181"/>
      <c r="F116" s="207">
        <v>2023</v>
      </c>
      <c r="G116" s="157" t="s">
        <v>369</v>
      </c>
      <c r="H116" s="157" t="s">
        <v>244</v>
      </c>
      <c r="I116" s="448" cm="1">
        <f t="array" ref="I116">_xlfn.XLOOKUP(F116&amp;G116&amp;H116,'Data input'!$I$963:$I$990&amp;'Data input'!$J$963:$J$990&amp;'Data input'!$K$963:$K$990,'Data input'!$L$963:$L$990)</f>
        <v>44.78</v>
      </c>
      <c r="J116" s="446" cm="1">
        <f t="array" ref="J116">_xlfn.XLOOKUP(F116&amp;G116&amp;H116,'Data input'!$I$996:$I$1023&amp;'Data input'!$J$996:$J$1023&amp;'Data input'!$K$996:$K$1023,'Data input'!$L$996:$L$1023)</f>
        <v>2.61</v>
      </c>
      <c r="K116" s="335">
        <f t="shared" si="10"/>
        <v>116.8758</v>
      </c>
      <c r="L116" s="426">
        <f>SUMIFS('Data input'!$L$915:$L$942,'Data input'!$I$915:$I$942,F116,'Data input'!$J$915:$J$942,G116,'Data input'!$K$915:$K$942,H116)</f>
        <v>5</v>
      </c>
      <c r="M116" s="443">
        <f t="shared" si="11"/>
        <v>584.37900000000002</v>
      </c>
      <c r="N116" s="181"/>
    </row>
    <row r="117" spans="4:14">
      <c r="D117" s="181"/>
      <c r="E117" s="181"/>
      <c r="F117" s="207">
        <v>2024</v>
      </c>
      <c r="G117" s="157" t="s">
        <v>369</v>
      </c>
      <c r="H117" s="157" t="s">
        <v>244</v>
      </c>
      <c r="I117" s="448" cm="1">
        <f t="array" ref="I117">_xlfn.XLOOKUP(F117&amp;G117&amp;H117,'Data input'!$I$963:$I$990&amp;'Data input'!$J$963:$J$990&amp;'Data input'!$K$963:$K$990,'Data input'!$L$963:$L$990)</f>
        <v>44.82</v>
      </c>
      <c r="J117" s="446" cm="1">
        <f t="array" ref="J117">_xlfn.XLOOKUP(F117&amp;G117&amp;H117,'Data input'!$I$996:$I$1023&amp;'Data input'!$J$996:$J$1023&amp;'Data input'!$K$996:$K$1023,'Data input'!$L$996:$L$1023)</f>
        <v>2.62</v>
      </c>
      <c r="K117" s="335">
        <f t="shared" si="10"/>
        <v>117.42840000000001</v>
      </c>
      <c r="L117" s="426">
        <f>SUMIFS('Data input'!$L$915:$L$942,'Data input'!$I$915:$I$942,F117,'Data input'!$J$915:$J$942,G117,'Data input'!$K$915:$K$942,H117)</f>
        <v>4</v>
      </c>
      <c r="M117" s="443">
        <f t="shared" si="11"/>
        <v>469.71360000000004</v>
      </c>
      <c r="N117" s="181"/>
    </row>
    <row r="118" spans="4:14">
      <c r="D118" s="181"/>
      <c r="E118" s="181"/>
      <c r="F118" s="207">
        <v>2025</v>
      </c>
      <c r="G118" s="157" t="s">
        <v>369</v>
      </c>
      <c r="H118" s="157" t="s">
        <v>244</v>
      </c>
      <c r="I118" s="448" cm="1">
        <f t="array" ref="I118">_xlfn.XLOOKUP(F118&amp;G118&amp;H118,'Data input'!$I$963:$I$990&amp;'Data input'!$J$963:$J$990&amp;'Data input'!$K$963:$K$990,'Data input'!$L$963:$L$990)</f>
        <v>44.802999999999997</v>
      </c>
      <c r="J118" s="446" cm="1">
        <f t="array" ref="J118">_xlfn.XLOOKUP(F118&amp;G118&amp;H118,'Data input'!$I$996:$I$1023&amp;'Data input'!$J$996:$J$1023&amp;'Data input'!$K$996:$K$1023,'Data input'!$L$996:$L$1023)</f>
        <v>2.63</v>
      </c>
      <c r="K118" s="335">
        <f t="shared" si="10"/>
        <v>117.83188999999999</v>
      </c>
      <c r="L118" s="426">
        <f>SUMIFS('Data input'!$L$915:$L$942,'Data input'!$I$915:$I$942,F118,'Data input'!$J$915:$J$942,G118,'Data input'!$K$915:$K$942,H118)</f>
        <v>5</v>
      </c>
      <c r="M118" s="443">
        <f t="shared" si="11"/>
        <v>589.15944999999988</v>
      </c>
      <c r="N118" s="181"/>
    </row>
    <row r="119" spans="4:14">
      <c r="D119" s="181"/>
      <c r="E119" s="181"/>
      <c r="F119" s="207">
        <v>2026</v>
      </c>
      <c r="G119" s="157" t="s">
        <v>369</v>
      </c>
      <c r="H119" s="157" t="s">
        <v>244</v>
      </c>
      <c r="I119" s="448" cm="1">
        <f t="array" ref="I119">_xlfn.XLOOKUP(F119&amp;G119&amp;H119,'Data input'!$I$963:$I$990&amp;'Data input'!$J$963:$J$990&amp;'Data input'!$K$963:$K$990,'Data input'!$L$963:$L$990)</f>
        <v>44.804000000000002</v>
      </c>
      <c r="J119" s="446" cm="1">
        <f t="array" ref="J119">_xlfn.XLOOKUP(F119&amp;G119&amp;H119,'Data input'!$I$996:$I$1023&amp;'Data input'!$J$996:$J$1023&amp;'Data input'!$K$996:$K$1023,'Data input'!$L$996:$L$1023)</f>
        <v>2.63</v>
      </c>
      <c r="K119" s="335">
        <f t="shared" si="10"/>
        <v>117.83452</v>
      </c>
      <c r="L119" s="426">
        <f>SUMIFS('Data input'!$L$915:$L$942,'Data input'!$I$915:$I$942,F119,'Data input'!$J$915:$J$942,G119,'Data input'!$K$915:$K$942,H119)</f>
        <v>6</v>
      </c>
      <c r="M119" s="443">
        <f t="shared" si="11"/>
        <v>707.00711999999999</v>
      </c>
      <c r="N119" s="181"/>
    </row>
    <row r="120" spans="4:14">
      <c r="D120" s="181"/>
      <c r="E120" s="181"/>
      <c r="F120" s="207">
        <v>2020</v>
      </c>
      <c r="G120" s="157" t="s">
        <v>370</v>
      </c>
      <c r="H120" s="157" t="s">
        <v>243</v>
      </c>
      <c r="I120" s="448" cm="1">
        <f t="array" ref="I120">_xlfn.XLOOKUP(F120&amp;G120&amp;H120,'Data input'!$I$963:$I$990&amp;'Data input'!$J$963:$J$990&amp;'Data input'!$K$963:$K$990,'Data input'!$L$963:$L$990)</f>
        <v>43.29</v>
      </c>
      <c r="J120" s="446" cm="1">
        <f t="array" ref="J120">_xlfn.XLOOKUP(F120&amp;G120&amp;H120,'Data input'!$I$996:$I$1023&amp;'Data input'!$J$996:$J$1023&amp;'Data input'!$K$996:$K$1023,'Data input'!$L$996:$L$1023)</f>
        <v>2.65</v>
      </c>
      <c r="K120" s="335">
        <f t="shared" si="10"/>
        <v>114.71849999999999</v>
      </c>
      <c r="L120" s="426">
        <f>SUMIFS('Data input'!$L$915:$L$942,'Data input'!$I$915:$I$942,F120,'Data input'!$J$915:$J$942,G120,'Data input'!$K$915:$K$942,H120)</f>
        <v>5</v>
      </c>
      <c r="M120" s="443">
        <f t="shared" si="11"/>
        <v>573.59249999999997</v>
      </c>
      <c r="N120" s="181"/>
    </row>
    <row r="121" spans="4:14">
      <c r="D121" s="181"/>
      <c r="E121" s="181"/>
      <c r="F121" s="207">
        <v>2021</v>
      </c>
      <c r="G121" s="157" t="s">
        <v>370</v>
      </c>
      <c r="H121" s="157" t="s">
        <v>243</v>
      </c>
      <c r="I121" s="448" cm="1">
        <f t="array" ref="I121">_xlfn.XLOOKUP(F121&amp;G121&amp;H121,'Data input'!$I$963:$I$990&amp;'Data input'!$J$963:$J$990&amp;'Data input'!$K$963:$K$990,'Data input'!$L$963:$L$990)</f>
        <v>43.29</v>
      </c>
      <c r="J121" s="446" cm="1">
        <f t="array" ref="J121">_xlfn.XLOOKUP(F121&amp;G121&amp;H121,'Data input'!$I$996:$I$1023&amp;'Data input'!$J$996:$J$1023&amp;'Data input'!$K$996:$K$1023,'Data input'!$L$996:$L$1023)</f>
        <v>2.61</v>
      </c>
      <c r="K121" s="335">
        <f t="shared" si="10"/>
        <v>112.98689999999999</v>
      </c>
      <c r="L121" s="426">
        <f>SUMIFS('Data input'!$L$915:$L$942,'Data input'!$I$915:$I$942,F121,'Data input'!$J$915:$J$942,G121,'Data input'!$K$915:$K$942,H121)</f>
        <v>4</v>
      </c>
      <c r="M121" s="443">
        <f t="shared" si="11"/>
        <v>451.94759999999997</v>
      </c>
      <c r="N121" s="181"/>
    </row>
    <row r="122" spans="4:14">
      <c r="D122" s="181"/>
      <c r="E122" s="181"/>
      <c r="F122" s="207">
        <v>2022</v>
      </c>
      <c r="G122" s="157" t="s">
        <v>370</v>
      </c>
      <c r="H122" s="157" t="s">
        <v>243</v>
      </c>
      <c r="I122" s="448" cm="1">
        <f t="array" ref="I122">_xlfn.XLOOKUP(F122&amp;G122&amp;H122,'Data input'!$I$963:$I$990&amp;'Data input'!$J$963:$J$990&amp;'Data input'!$K$963:$K$990,'Data input'!$L$963:$L$990)</f>
        <v>43.284999999999997</v>
      </c>
      <c r="J122" s="446" cm="1">
        <f t="array" ref="J122">_xlfn.XLOOKUP(F122&amp;G122&amp;H122,'Data input'!$I$996:$I$1023&amp;'Data input'!$J$996:$J$1023&amp;'Data input'!$K$996:$K$1023,'Data input'!$L$996:$L$1023)</f>
        <v>2.62</v>
      </c>
      <c r="K122" s="335">
        <f t="shared" si="10"/>
        <v>113.4067</v>
      </c>
      <c r="L122" s="426">
        <f>SUMIFS('Data input'!$L$915:$L$942,'Data input'!$I$915:$I$942,F122,'Data input'!$J$915:$J$942,G122,'Data input'!$K$915:$K$942,H122)</f>
        <v>5</v>
      </c>
      <c r="M122" s="443">
        <f t="shared" si="11"/>
        <v>567.0335</v>
      </c>
      <c r="N122" s="181"/>
    </row>
    <row r="123" spans="4:14">
      <c r="D123" s="181"/>
      <c r="E123" s="181"/>
      <c r="F123" s="207">
        <v>2023</v>
      </c>
      <c r="G123" s="157" t="s">
        <v>370</v>
      </c>
      <c r="H123" s="157" t="s">
        <v>243</v>
      </c>
      <c r="I123" s="448" cm="1">
        <f t="array" ref="I123">_xlfn.XLOOKUP(F123&amp;G123&amp;H123,'Data input'!$I$963:$I$990&amp;'Data input'!$J$963:$J$990&amp;'Data input'!$K$963:$K$990,'Data input'!$L$963:$L$990)</f>
        <v>43.31</v>
      </c>
      <c r="J123" s="446" cm="1">
        <f t="array" ref="J123">_xlfn.XLOOKUP(F123&amp;G123&amp;H123,'Data input'!$I$996:$I$1023&amp;'Data input'!$J$996:$J$1023&amp;'Data input'!$K$996:$K$1023,'Data input'!$L$996:$L$1023)</f>
        <v>2.63</v>
      </c>
      <c r="K123" s="335">
        <f t="shared" si="10"/>
        <v>113.9053</v>
      </c>
      <c r="L123" s="426">
        <f>SUMIFS('Data input'!$L$915:$L$942,'Data input'!$I$915:$I$942,F123,'Data input'!$J$915:$J$942,G123,'Data input'!$K$915:$K$942,H123)</f>
        <v>8</v>
      </c>
      <c r="M123" s="443">
        <f t="shared" si="11"/>
        <v>911.24239999999998</v>
      </c>
      <c r="N123" s="181"/>
    </row>
    <row r="124" spans="4:14">
      <c r="D124" s="181"/>
      <c r="E124" s="181"/>
      <c r="F124" s="207">
        <v>2024</v>
      </c>
      <c r="G124" s="157" t="s">
        <v>370</v>
      </c>
      <c r="H124" s="157" t="s">
        <v>243</v>
      </c>
      <c r="I124" s="448" cm="1">
        <f t="array" ref="I124">_xlfn.XLOOKUP(F124&amp;G124&amp;H124,'Data input'!$I$963:$I$990&amp;'Data input'!$J$963:$J$990&amp;'Data input'!$K$963:$K$990,'Data input'!$L$963:$L$990)</f>
        <v>43.29</v>
      </c>
      <c r="J124" s="446" cm="1">
        <f t="array" ref="J124">_xlfn.XLOOKUP(F124&amp;G124&amp;H124,'Data input'!$I$996:$I$1023&amp;'Data input'!$J$996:$J$1023&amp;'Data input'!$K$996:$K$1023,'Data input'!$L$996:$L$1023)</f>
        <v>2.63</v>
      </c>
      <c r="K124" s="335">
        <f t="shared" si="10"/>
        <v>113.8527</v>
      </c>
      <c r="L124" s="426">
        <f>SUMIFS('Data input'!$L$915:$L$942,'Data input'!$I$915:$I$942,F124,'Data input'!$J$915:$J$942,G124,'Data input'!$K$915:$K$942,H124)</f>
        <v>4</v>
      </c>
      <c r="M124" s="443">
        <f t="shared" si="11"/>
        <v>455.41079999999999</v>
      </c>
      <c r="N124" s="181"/>
    </row>
    <row r="125" spans="4:14">
      <c r="D125" s="181"/>
      <c r="E125" s="181"/>
      <c r="F125" s="207">
        <v>2025</v>
      </c>
      <c r="G125" s="157" t="s">
        <v>370</v>
      </c>
      <c r="H125" s="157" t="s">
        <v>243</v>
      </c>
      <c r="I125" s="448" cm="1">
        <f t="array" ref="I125">_xlfn.XLOOKUP(F125&amp;G125&amp;H125,'Data input'!$I$963:$I$990&amp;'Data input'!$J$963:$J$990&amp;'Data input'!$K$963:$K$990,'Data input'!$L$963:$L$990)</f>
        <v>43.29</v>
      </c>
      <c r="J125" s="446" cm="1">
        <f t="array" ref="J125">_xlfn.XLOOKUP(F125&amp;G125&amp;H125,'Data input'!$I$996:$I$1023&amp;'Data input'!$J$996:$J$1023&amp;'Data input'!$K$996:$K$1023,'Data input'!$L$996:$L$1023)</f>
        <v>2.65</v>
      </c>
      <c r="K125" s="335">
        <f t="shared" si="10"/>
        <v>114.71849999999999</v>
      </c>
      <c r="L125" s="426">
        <f>SUMIFS('Data input'!$L$915:$L$942,'Data input'!$I$915:$I$942,F125,'Data input'!$J$915:$J$942,G125,'Data input'!$K$915:$K$942,H125)</f>
        <v>5</v>
      </c>
      <c r="M125" s="443">
        <f t="shared" si="11"/>
        <v>573.59249999999997</v>
      </c>
      <c r="N125" s="181"/>
    </row>
    <row r="126" spans="4:14">
      <c r="D126" s="181"/>
      <c r="E126" s="181"/>
      <c r="F126" s="207">
        <v>2026</v>
      </c>
      <c r="G126" s="157" t="s">
        <v>370</v>
      </c>
      <c r="H126" s="157" t="s">
        <v>243</v>
      </c>
      <c r="I126" s="448" cm="1">
        <f t="array" ref="I126">_xlfn.XLOOKUP(F126&amp;G126&amp;H126,'Data input'!$I$963:$I$990&amp;'Data input'!$J$963:$J$990&amp;'Data input'!$K$963:$K$990,'Data input'!$L$963:$L$990)</f>
        <v>43.284999999999997</v>
      </c>
      <c r="J126" s="446" cm="1">
        <f t="array" ref="J126">_xlfn.XLOOKUP(F126&amp;G126&amp;H126,'Data input'!$I$996:$I$1023&amp;'Data input'!$J$996:$J$1023&amp;'Data input'!$K$996:$K$1023,'Data input'!$L$996:$L$1023)</f>
        <v>2.67</v>
      </c>
      <c r="K126" s="335">
        <f t="shared" si="10"/>
        <v>115.57094999999998</v>
      </c>
      <c r="L126" s="426">
        <f>SUMIFS('Data input'!$L$915:$L$942,'Data input'!$I$915:$I$942,F126,'Data input'!$J$915:$J$942,G126,'Data input'!$K$915:$K$942,H126)</f>
        <v>4</v>
      </c>
      <c r="M126" s="443">
        <f t="shared" si="11"/>
        <v>462.28379999999993</v>
      </c>
      <c r="N126" s="181"/>
    </row>
    <row r="127" spans="4:14">
      <c r="D127" s="181"/>
      <c r="E127" s="181"/>
      <c r="F127" s="207">
        <v>2020</v>
      </c>
      <c r="G127" s="157" t="s">
        <v>370</v>
      </c>
      <c r="H127" s="157" t="s">
        <v>244</v>
      </c>
      <c r="I127" s="448" cm="1">
        <f t="array" ref="I127">_xlfn.XLOOKUP(F127&amp;G127&amp;H127,'Data input'!$I$963:$I$990&amp;'Data input'!$J$963:$J$990&amp;'Data input'!$K$963:$K$990,'Data input'!$L$963:$L$990)</f>
        <v>43.28</v>
      </c>
      <c r="J127" s="446" cm="1">
        <f t="array" ref="J127">_xlfn.XLOOKUP(F127&amp;G127&amp;H127,'Data input'!$I$996:$I$1023&amp;'Data input'!$J$996:$J$1023&amp;'Data input'!$K$996:$K$1023,'Data input'!$L$996:$L$1023)</f>
        <v>2.7</v>
      </c>
      <c r="K127" s="335">
        <f t="shared" si="10"/>
        <v>116.85600000000001</v>
      </c>
      <c r="L127" s="426">
        <f>SUMIFS('Data input'!$L$915:$L$942,'Data input'!$I$915:$I$942,F127,'Data input'!$J$915:$J$942,G127,'Data input'!$K$915:$K$942,H127)</f>
        <v>5</v>
      </c>
      <c r="M127" s="443">
        <f t="shared" si="11"/>
        <v>584.28000000000009</v>
      </c>
      <c r="N127" s="181"/>
    </row>
    <row r="128" spans="4:14">
      <c r="D128" s="181"/>
      <c r="E128" s="181"/>
      <c r="F128" s="207">
        <v>2021</v>
      </c>
      <c r="G128" s="157" t="s">
        <v>370</v>
      </c>
      <c r="H128" s="157" t="s">
        <v>244</v>
      </c>
      <c r="I128" s="448" cm="1">
        <f t="array" ref="I128">_xlfn.XLOOKUP(F128&amp;G128&amp;H128,'Data input'!$I$963:$I$990&amp;'Data input'!$J$963:$J$990&amp;'Data input'!$K$963:$K$990,'Data input'!$L$963:$L$990)</f>
        <v>43.274999999999999</v>
      </c>
      <c r="J128" s="446" cm="1">
        <f t="array" ref="J128">_xlfn.XLOOKUP(F128&amp;G128&amp;H128,'Data input'!$I$996:$I$1023&amp;'Data input'!$J$996:$J$1023&amp;'Data input'!$K$996:$K$1023,'Data input'!$L$996:$L$1023)</f>
        <v>3.2</v>
      </c>
      <c r="K128" s="335">
        <f t="shared" si="10"/>
        <v>138.47999999999999</v>
      </c>
      <c r="L128" s="426">
        <f>SUMIFS('Data input'!$L$915:$L$942,'Data input'!$I$915:$I$942,F128,'Data input'!$J$915:$J$942,G128,'Data input'!$K$915:$K$942,H128)</f>
        <v>4</v>
      </c>
      <c r="M128" s="443">
        <f t="shared" si="11"/>
        <v>553.91999999999996</v>
      </c>
      <c r="N128" s="181"/>
    </row>
    <row r="129" spans="4:14">
      <c r="D129" s="181"/>
      <c r="E129" s="181"/>
      <c r="F129" s="207">
        <v>2022</v>
      </c>
      <c r="G129" s="157" t="s">
        <v>370</v>
      </c>
      <c r="H129" s="157" t="s">
        <v>244</v>
      </c>
      <c r="I129" s="448" cm="1">
        <f t="array" ref="I129">_xlfn.XLOOKUP(F129&amp;G129&amp;H129,'Data input'!$I$963:$I$990&amp;'Data input'!$J$963:$J$990&amp;'Data input'!$K$963:$K$990,'Data input'!$L$963:$L$990)</f>
        <v>44.8</v>
      </c>
      <c r="J129" s="446" cm="1">
        <f t="array" ref="J129">_xlfn.XLOOKUP(F129&amp;G129&amp;H129,'Data input'!$I$996:$I$1023&amp;'Data input'!$J$996:$J$1023&amp;'Data input'!$K$996:$K$1023,'Data input'!$L$996:$L$1023)</f>
        <v>3.3</v>
      </c>
      <c r="K129" s="335">
        <f t="shared" si="10"/>
        <v>147.83999999999997</v>
      </c>
      <c r="L129" s="426">
        <f>SUMIFS('Data input'!$L$915:$L$942,'Data input'!$I$915:$I$942,F129,'Data input'!$J$915:$J$942,G129,'Data input'!$K$915:$K$942,H129)</f>
        <v>9</v>
      </c>
      <c r="M129" s="443">
        <f t="shared" si="11"/>
        <v>1330.5599999999997</v>
      </c>
      <c r="N129" s="181"/>
    </row>
    <row r="130" spans="4:14">
      <c r="D130" s="181"/>
      <c r="E130" s="181"/>
      <c r="F130" s="207">
        <v>2023</v>
      </c>
      <c r="G130" s="157" t="s">
        <v>370</v>
      </c>
      <c r="H130" s="157" t="s">
        <v>244</v>
      </c>
      <c r="I130" s="448" cm="1">
        <f t="array" ref="I130">_xlfn.XLOOKUP(F130&amp;G130&amp;H130,'Data input'!$I$963:$I$990&amp;'Data input'!$J$963:$J$990&amp;'Data input'!$K$963:$K$990,'Data input'!$L$963:$L$990)</f>
        <v>44.81</v>
      </c>
      <c r="J130" s="446" cm="1">
        <f t="array" ref="J130">_xlfn.XLOOKUP(F130&amp;G130&amp;H130,'Data input'!$I$996:$I$1023&amp;'Data input'!$J$996:$J$1023&amp;'Data input'!$K$996:$K$1023,'Data input'!$L$996:$L$1023)</f>
        <v>2.61</v>
      </c>
      <c r="K130" s="335">
        <f t="shared" si="10"/>
        <v>116.9541</v>
      </c>
      <c r="L130" s="426">
        <f>SUMIFS('Data input'!$L$915:$L$942,'Data input'!$I$915:$I$942,F130,'Data input'!$J$915:$J$942,G130,'Data input'!$K$915:$K$942,H130)</f>
        <v>8</v>
      </c>
      <c r="M130" s="443">
        <f t="shared" si="11"/>
        <v>935.63279999999997</v>
      </c>
      <c r="N130" s="181"/>
    </row>
    <row r="131" spans="4:14">
      <c r="D131" s="181"/>
      <c r="E131" s="181"/>
      <c r="F131" s="207">
        <v>2024</v>
      </c>
      <c r="G131" s="157" t="s">
        <v>370</v>
      </c>
      <c r="H131" s="157" t="s">
        <v>244</v>
      </c>
      <c r="I131" s="448" cm="1">
        <f t="array" ref="I131">_xlfn.XLOOKUP(F131&amp;G131&amp;H131,'Data input'!$I$963:$I$990&amp;'Data input'!$J$963:$J$990&amp;'Data input'!$K$963:$K$990,'Data input'!$L$963:$L$990)</f>
        <v>44.79</v>
      </c>
      <c r="J131" s="446" cm="1">
        <f t="array" ref="J131">_xlfn.XLOOKUP(F131&amp;G131&amp;H131,'Data input'!$I$996:$I$1023&amp;'Data input'!$J$996:$J$1023&amp;'Data input'!$K$996:$K$1023,'Data input'!$L$996:$L$1023)</f>
        <v>2.62</v>
      </c>
      <c r="K131" s="335">
        <f t="shared" si="10"/>
        <v>117.3498</v>
      </c>
      <c r="L131" s="426">
        <f>SUMIFS('Data input'!$L$915:$L$942,'Data input'!$I$915:$I$942,F131,'Data input'!$J$915:$J$942,G131,'Data input'!$K$915:$K$942,H131)</f>
        <v>7</v>
      </c>
      <c r="M131" s="443">
        <f t="shared" si="11"/>
        <v>821.44860000000006</v>
      </c>
      <c r="N131" s="181"/>
    </row>
    <row r="132" spans="4:14">
      <c r="D132" s="181"/>
      <c r="E132" s="181"/>
      <c r="F132" s="207">
        <v>2025</v>
      </c>
      <c r="G132" s="157" t="s">
        <v>370</v>
      </c>
      <c r="H132" s="157" t="s">
        <v>244</v>
      </c>
      <c r="I132" s="448" cm="1">
        <f t="array" ref="I132">_xlfn.XLOOKUP(F132&amp;G132&amp;H132,'Data input'!$I$963:$I$990&amp;'Data input'!$J$963:$J$990&amp;'Data input'!$K$963:$K$990,'Data input'!$L$963:$L$990)</f>
        <v>44.78</v>
      </c>
      <c r="J132" s="446" cm="1">
        <f t="array" ref="J132">_xlfn.XLOOKUP(F132&amp;G132&amp;H132,'Data input'!$I$996:$I$1023&amp;'Data input'!$J$996:$J$1023&amp;'Data input'!$K$996:$K$1023,'Data input'!$L$996:$L$1023)</f>
        <v>2.63</v>
      </c>
      <c r="K132" s="335">
        <f t="shared" si="10"/>
        <v>117.7714</v>
      </c>
      <c r="L132" s="426">
        <f>SUMIFS('Data input'!$L$915:$L$942,'Data input'!$I$915:$I$942,F132,'Data input'!$J$915:$J$942,G132,'Data input'!$K$915:$K$942,H132)</f>
        <v>5</v>
      </c>
      <c r="M132" s="443">
        <f t="shared" si="11"/>
        <v>588.85699999999997</v>
      </c>
      <c r="N132" s="181"/>
    </row>
    <row r="133" spans="4:14">
      <c r="D133" s="181"/>
      <c r="E133" s="181"/>
      <c r="F133" s="208">
        <v>2026</v>
      </c>
      <c r="G133" s="211" t="s">
        <v>370</v>
      </c>
      <c r="H133" s="211" t="s">
        <v>244</v>
      </c>
      <c r="I133" s="449" cm="1">
        <f t="array" ref="I133">_xlfn.XLOOKUP(F133&amp;G133&amp;H133,'Data input'!$I$963:$I$990&amp;'Data input'!$J$963:$J$990&amp;'Data input'!$K$963:$K$990,'Data input'!$L$963:$L$990)</f>
        <v>44.82</v>
      </c>
      <c r="J133" s="450" cm="1">
        <f t="array" ref="J133">_xlfn.XLOOKUP(F133&amp;G133&amp;H133,'Data input'!$I$996:$I$1023&amp;'Data input'!$J$996:$J$1023&amp;'Data input'!$K$996:$K$1023,'Data input'!$L$996:$L$1023)</f>
        <v>2.63</v>
      </c>
      <c r="K133" s="440">
        <f t="shared" si="10"/>
        <v>117.8766</v>
      </c>
      <c r="L133" s="432">
        <f>SUMIFS('Data input'!$L$915:$L$942,'Data input'!$I$915:$I$942,F133,'Data input'!$J$915:$J$942,G133,'Data input'!$K$915:$K$942,H133)</f>
        <v>5</v>
      </c>
      <c r="M133" s="444">
        <f t="shared" si="11"/>
        <v>589.38300000000004</v>
      </c>
      <c r="N133" s="181"/>
    </row>
    <row r="134" spans="4:14">
      <c r="D134" s="181"/>
      <c r="E134" s="181"/>
      <c r="F134" s="330"/>
      <c r="G134" s="330"/>
      <c r="H134" s="330"/>
      <c r="I134" s="330"/>
      <c r="J134" s="330"/>
      <c r="K134" s="330"/>
      <c r="L134" s="330"/>
      <c r="M134" s="338">
        <f>SUM(M106:M133)</f>
        <v>17218.268769999999</v>
      </c>
      <c r="N134" s="181"/>
    </row>
    <row r="135" spans="4:14">
      <c r="D135" s="181"/>
      <c r="E135" s="181"/>
      <c r="F135" s="181"/>
      <c r="G135" s="181"/>
      <c r="H135" s="181"/>
      <c r="I135" s="181"/>
      <c r="J135" s="181"/>
      <c r="K135" s="181"/>
      <c r="L135" s="181"/>
      <c r="M135" s="181"/>
      <c r="N135" s="181"/>
    </row>
    <row r="136" spans="4:14" s="380" customFormat="1" ht="33" customHeight="1">
      <c r="D136" s="379"/>
      <c r="E136" s="379"/>
      <c r="F136" s="388" t="s">
        <v>379</v>
      </c>
      <c r="G136" s="379"/>
      <c r="H136" s="379"/>
      <c r="I136" s="379"/>
      <c r="J136" s="379"/>
      <c r="K136" s="379"/>
      <c r="L136" s="379"/>
      <c r="M136" s="379"/>
      <c r="N136" s="379"/>
    </row>
    <row r="137" spans="4:14">
      <c r="D137" s="181"/>
      <c r="E137" s="181"/>
      <c r="F137" s="181"/>
      <c r="G137" s="181"/>
      <c r="H137" s="181"/>
      <c r="I137" s="181"/>
      <c r="J137" s="181"/>
      <c r="K137" s="181"/>
      <c r="L137" s="181"/>
      <c r="M137" s="181"/>
      <c r="N137" s="181"/>
    </row>
    <row r="139" spans="4:14">
      <c r="F139" s="292" t="s">
        <v>380</v>
      </c>
      <c r="G139" s="159"/>
      <c r="H139" s="159"/>
      <c r="I139" s="159"/>
      <c r="J139" s="159"/>
      <c r="K139" s="159"/>
      <c r="L139" s="159"/>
      <c r="M139" s="159"/>
    </row>
    <row r="140" spans="4:14">
      <c r="F140" s="292"/>
      <c r="G140" s="159"/>
      <c r="H140" s="159"/>
      <c r="I140" s="159"/>
      <c r="J140" s="159"/>
      <c r="K140" s="159"/>
      <c r="L140" s="159"/>
      <c r="M140" s="159"/>
    </row>
    <row r="141" spans="4:14">
      <c r="F141" s="159" t="s">
        <v>381</v>
      </c>
      <c r="G141" s="159"/>
      <c r="H141" s="159"/>
      <c r="I141" s="159"/>
      <c r="J141" s="159"/>
      <c r="K141" s="159"/>
      <c r="L141" s="159"/>
      <c r="M141" s="159"/>
    </row>
    <row r="142" spans="4:14">
      <c r="F142" s="159" t="s">
        <v>359</v>
      </c>
      <c r="G142" s="159"/>
      <c r="H142" s="159"/>
      <c r="I142" s="159"/>
      <c r="J142" s="159"/>
      <c r="K142" s="159"/>
      <c r="L142" s="159"/>
      <c r="M142" s="159"/>
    </row>
    <row r="143" spans="4:14">
      <c r="F143" s="159" t="s">
        <v>360</v>
      </c>
      <c r="G143" s="159"/>
      <c r="H143" s="159"/>
      <c r="I143" s="159"/>
      <c r="J143" s="159"/>
      <c r="K143" s="159"/>
      <c r="L143" s="159"/>
      <c r="M143" s="159"/>
    </row>
    <row r="144" spans="4:14">
      <c r="F144" s="159" t="s">
        <v>361</v>
      </c>
      <c r="G144" s="159"/>
      <c r="H144" s="159"/>
      <c r="I144" s="159"/>
      <c r="J144" s="159"/>
      <c r="K144" s="159"/>
      <c r="L144" s="159"/>
      <c r="M144" s="159"/>
    </row>
    <row r="145" spans="6:13">
      <c r="F145" s="292"/>
      <c r="G145" s="159"/>
      <c r="H145" s="159"/>
      <c r="I145" s="159"/>
      <c r="J145" s="159"/>
      <c r="K145" s="159"/>
      <c r="L145" s="159"/>
      <c r="M145" s="159"/>
    </row>
    <row r="146" spans="6:13">
      <c r="F146" s="292"/>
      <c r="G146" s="159"/>
      <c r="H146" s="159"/>
      <c r="I146" s="159"/>
      <c r="J146" s="159"/>
      <c r="K146" s="159"/>
      <c r="L146" s="159"/>
      <c r="M146" s="159"/>
    </row>
    <row r="147" spans="6:13">
      <c r="F147" s="372" t="s">
        <v>362</v>
      </c>
      <c r="G147" s="372"/>
      <c r="H147" s="372"/>
      <c r="I147" s="159"/>
      <c r="J147" s="159"/>
      <c r="K147" s="159"/>
      <c r="L147" s="159"/>
      <c r="M147" s="159"/>
    </row>
    <row r="148" spans="6:13">
      <c r="F148" s="372" t="s">
        <v>226</v>
      </c>
      <c r="G148" s="159"/>
      <c r="H148" s="159"/>
      <c r="I148" s="159"/>
      <c r="J148" s="159"/>
      <c r="K148" s="159"/>
      <c r="L148" s="159"/>
      <c r="M148" s="159"/>
    </row>
    <row r="149" spans="6:13">
      <c r="F149" s="359"/>
      <c r="G149" s="318" t="s">
        <v>84</v>
      </c>
      <c r="H149" s="159"/>
      <c r="I149" s="159"/>
      <c r="J149" s="159"/>
      <c r="K149" s="159"/>
      <c r="L149" s="159"/>
      <c r="M149" s="159"/>
    </row>
    <row r="150" spans="6:13">
      <c r="F150" s="360"/>
      <c r="G150" s="319" t="s">
        <v>12</v>
      </c>
      <c r="H150" s="159"/>
      <c r="I150" s="159"/>
      <c r="J150" s="159"/>
      <c r="K150" s="159"/>
      <c r="L150" s="159"/>
      <c r="M150" s="159"/>
    </row>
    <row r="151" spans="6:13" ht="17">
      <c r="F151" s="360" t="s">
        <v>233</v>
      </c>
      <c r="G151" s="382" t="s">
        <v>382</v>
      </c>
      <c r="H151" s="159"/>
      <c r="I151" s="159"/>
      <c r="J151" s="159"/>
      <c r="K151" s="159"/>
      <c r="L151" s="159"/>
      <c r="M151" s="159"/>
    </row>
    <row r="152" spans="6:13" ht="17">
      <c r="F152" s="361"/>
      <c r="G152" s="366" t="s">
        <v>11</v>
      </c>
      <c r="H152" s="159"/>
      <c r="I152" s="159"/>
      <c r="J152" s="159"/>
      <c r="K152" s="159"/>
      <c r="L152" s="159"/>
      <c r="M152" s="159"/>
    </row>
    <row r="153" spans="6:13">
      <c r="F153" s="384">
        <v>2020</v>
      </c>
      <c r="G153" s="373">
        <f>IF('Tool 03 Calcs'!$F$148="Option A1", SUMIFS('Tool 03 Calcs'!$L$168:$L$195, 'Tool 03 Calcs'!$F$168:$F$195, F153),
 IF('Tool 03 Calcs'!$F$148="Option A2", SUMIFS('Tool 03 Calcs'!$M$203:$M$230, 'Tool 03 Calcs'!$F$203:$F$230, F153),
 IF('Tool 03 Calcs'!$F$148="Option B", SUMIFS('Tool 03 Calcs'!$M$238:$M$265, 'Tool 03 Calcs'!$F$238:$F$265, F153), 0)))</f>
        <v>1.3792608499999999E-2</v>
      </c>
      <c r="H153" s="181"/>
      <c r="I153" s="159"/>
      <c r="J153" s="159"/>
      <c r="K153" s="159"/>
      <c r="L153" s="159"/>
      <c r="M153" s="159"/>
    </row>
    <row r="154" spans="6:13">
      <c r="F154" s="384">
        <v>2021</v>
      </c>
      <c r="G154" s="364">
        <f>IF('Tool 03 Calcs'!$F$148="Option A1", SUMIFS('Tool 03 Calcs'!$L$168:$L$195, 'Tool 03 Calcs'!$F$168:$F$195, F154),
 IF('Tool 03 Calcs'!$F$148="Option A2", SUMIFS('Tool 03 Calcs'!$M$203:$M$230, 'Tool 03 Calcs'!$F$203:$F$230, F154),
 IF('Tool 03 Calcs'!$F$148="Option B", SUMIFS('Tool 03 Calcs'!$M$238:$M$265, 'Tool 03 Calcs'!$F$238:$F$265, F154), 0)))</f>
        <v>1.09185054E-2</v>
      </c>
      <c r="H154" s="181"/>
      <c r="I154" s="159"/>
      <c r="J154" s="159"/>
      <c r="K154" s="159"/>
      <c r="L154" s="159"/>
      <c r="M154" s="159"/>
    </row>
    <row r="155" spans="6:13">
      <c r="F155" s="384">
        <v>2022</v>
      </c>
      <c r="G155" s="364">
        <f>IF('Tool 03 Calcs'!$F$148="Option A1", SUMIFS('Tool 03 Calcs'!$L$168:$L$195, 'Tool 03 Calcs'!$F$168:$F$195, F155),
 IF('Tool 03 Calcs'!$F$148="Option A2", SUMIFS('Tool 03 Calcs'!$M$203:$M$230, 'Tool 03 Calcs'!$F$203:$F$230, F155),
 IF('Tool 03 Calcs'!$F$148="Option B", SUMIFS('Tool 03 Calcs'!$M$238:$M$265, 'Tool 03 Calcs'!$F$238:$F$265, F155), 0)))</f>
        <v>1.1470784599999999E-2</v>
      </c>
      <c r="H155" s="181"/>
      <c r="I155" s="159"/>
      <c r="J155" s="159"/>
      <c r="K155" s="159"/>
      <c r="L155" s="159"/>
      <c r="M155" s="159"/>
    </row>
    <row r="156" spans="6:13">
      <c r="F156" s="384">
        <v>2023</v>
      </c>
      <c r="G156" s="364">
        <f>IF('Tool 03 Calcs'!$F$148="Option A1", SUMIFS('Tool 03 Calcs'!$L$168:$L$195, 'Tool 03 Calcs'!$F$168:$F$195, F156),
 IF('Tool 03 Calcs'!$F$148="Option A2", SUMIFS('Tool 03 Calcs'!$M$203:$M$230, 'Tool 03 Calcs'!$F$203:$F$230, F156),
 IF('Tool 03 Calcs'!$F$148="Option B", SUMIFS('Tool 03 Calcs'!$M$238:$M$265, 'Tool 03 Calcs'!$F$238:$F$265, F156), 0)))</f>
        <v>1.2024286999999998E-2</v>
      </c>
      <c r="H156" s="181"/>
      <c r="I156" s="159"/>
      <c r="J156" s="159"/>
      <c r="K156" s="159"/>
      <c r="L156" s="159"/>
      <c r="M156" s="159"/>
    </row>
    <row r="157" spans="6:13">
      <c r="F157" s="384">
        <v>2024</v>
      </c>
      <c r="G157" s="364">
        <f>IF('Tool 03 Calcs'!$F$148="Option A1", SUMIFS('Tool 03 Calcs'!$L$168:$L$195, 'Tool 03 Calcs'!$F$168:$F$195, F157),
 IF('Tool 03 Calcs'!$F$148="Option A2", SUMIFS('Tool 03 Calcs'!$M$203:$M$230, 'Tool 03 Calcs'!$F$203:$F$230, F157),
 IF('Tool 03 Calcs'!$F$148="Option B", SUMIFS('Tool 03 Calcs'!$M$238:$M$265, 'Tool 03 Calcs'!$F$238:$F$265, F157), 0)))</f>
        <v>1.2858861399999998E-2</v>
      </c>
      <c r="H157" s="181"/>
      <c r="I157" s="159"/>
      <c r="J157" s="159"/>
      <c r="K157" s="159"/>
      <c r="L157" s="159"/>
      <c r="M157" s="159"/>
    </row>
    <row r="158" spans="6:13">
      <c r="F158" s="384">
        <v>2025</v>
      </c>
      <c r="G158" s="364">
        <f>IF('Tool 03 Calcs'!$F$148="Option A1", SUMIFS('Tool 03 Calcs'!$L$168:$L$195, 'Tool 03 Calcs'!$F$168:$F$195, F158),
 IF('Tool 03 Calcs'!$F$148="Option A2", SUMIFS('Tool 03 Calcs'!$M$203:$M$230, 'Tool 03 Calcs'!$F$203:$F$230, F158),
 IF('Tool 03 Calcs'!$F$148="Option B", SUMIFS('Tool 03 Calcs'!$M$238:$M$265, 'Tool 03 Calcs'!$F$238:$F$265, F158), 0)))</f>
        <v>1.34867249E-2</v>
      </c>
      <c r="H158" s="181"/>
      <c r="I158" s="159"/>
      <c r="J158" s="159"/>
      <c r="K158" s="159"/>
      <c r="L158" s="159"/>
      <c r="M158" s="159"/>
    </row>
    <row r="159" spans="6:13">
      <c r="F159" s="385">
        <v>2026</v>
      </c>
      <c r="G159" s="368">
        <f>IF('Tool 03 Calcs'!$F$148="Option A1", SUMIFS('Tool 03 Calcs'!$L$168:$L$195, 'Tool 03 Calcs'!$F$168:$F$195, F159),
 IF('Tool 03 Calcs'!$F$148="Option A2", SUMIFS('Tool 03 Calcs'!$M$203:$M$230, 'Tool 03 Calcs'!$F$203:$F$230, F159),
 IF('Tool 03 Calcs'!$F$148="Option B", SUMIFS('Tool 03 Calcs'!$M$238:$M$265, 'Tool 03 Calcs'!$F$238:$F$265, F159), 0)))</f>
        <v>1.4038870999999998E-2</v>
      </c>
      <c r="H159" s="181"/>
      <c r="I159" s="159"/>
      <c r="J159" s="159"/>
      <c r="K159" s="159"/>
      <c r="L159" s="159"/>
      <c r="M159" s="159"/>
    </row>
    <row r="160" spans="6:13">
      <c r="F160" s="159"/>
      <c r="G160" s="284">
        <f>SUM(G153:G159)</f>
        <v>8.8590642799999994E-2</v>
      </c>
      <c r="H160" s="159"/>
      <c r="I160" s="159"/>
      <c r="J160" s="159"/>
      <c r="K160" s="159"/>
      <c r="L160" s="159"/>
      <c r="M160" s="159"/>
    </row>
    <row r="161" spans="5:13">
      <c r="F161" s="159"/>
      <c r="G161" s="159"/>
      <c r="H161" s="159"/>
      <c r="I161" s="159"/>
      <c r="J161" s="159"/>
      <c r="K161" s="159"/>
      <c r="L161" s="159"/>
      <c r="M161" s="159"/>
    </row>
    <row r="162" spans="5:13">
      <c r="F162" s="159"/>
      <c r="G162" s="159"/>
      <c r="H162" s="159"/>
      <c r="I162" s="159"/>
      <c r="J162" s="159"/>
      <c r="K162" s="159"/>
      <c r="L162" s="159"/>
      <c r="M162" s="159"/>
    </row>
    <row r="163" spans="5:13">
      <c r="F163" s="381" t="s">
        <v>383</v>
      </c>
    </row>
    <row r="164" spans="5:13">
      <c r="F164" s="309"/>
      <c r="G164" s="310"/>
      <c r="H164" s="311"/>
      <c r="I164" s="312"/>
      <c r="J164" s="317" t="s">
        <v>84</v>
      </c>
      <c r="K164" s="310"/>
      <c r="L164" s="318" t="s">
        <v>84</v>
      </c>
    </row>
    <row r="165" spans="5:13">
      <c r="F165" s="313"/>
      <c r="H165" s="314"/>
      <c r="I165" s="315"/>
      <c r="J165" s="374" t="s">
        <v>33</v>
      </c>
      <c r="L165" s="319" t="s">
        <v>12</v>
      </c>
    </row>
    <row r="166" spans="5:13" ht="17">
      <c r="F166" s="152" t="s">
        <v>335</v>
      </c>
      <c r="G166" s="147" t="s">
        <v>364</v>
      </c>
      <c r="H166" s="229" t="s">
        <v>242</v>
      </c>
      <c r="I166" s="152" t="s">
        <v>365</v>
      </c>
      <c r="J166" s="375" t="s">
        <v>123</v>
      </c>
      <c r="K166" s="147" t="s">
        <v>120</v>
      </c>
      <c r="L166" s="383" t="s">
        <v>384</v>
      </c>
    </row>
    <row r="167" spans="5:13" ht="17">
      <c r="F167" s="152"/>
      <c r="G167" s="157"/>
      <c r="H167" s="153"/>
      <c r="I167" s="152" t="s">
        <v>124</v>
      </c>
      <c r="J167" s="333" t="s">
        <v>124</v>
      </c>
      <c r="K167" s="157" t="s">
        <v>367</v>
      </c>
      <c r="L167" s="320" t="s">
        <v>368</v>
      </c>
    </row>
    <row r="168" spans="5:13">
      <c r="E168" s="330"/>
      <c r="F168" s="205">
        <v>2020</v>
      </c>
      <c r="G168" s="226" t="s">
        <v>385</v>
      </c>
      <c r="H168" s="225" t="s">
        <v>243</v>
      </c>
      <c r="I168" s="205" cm="1">
        <f t="array" ref="I168">_xlfn.XLOOKUP(F168&amp;G168&amp;H168,'Data input'!$I$1035:$I$1062&amp;'Data input'!$J$1035:$J$1062&amp;'Data input'!$K$1035:$K$1062,'Data input'!$L$1035:$L$1062)</f>
        <v>0.50219999999999998</v>
      </c>
      <c r="J168" s="427">
        <f t="shared" ref="J168" si="12">I168*(44/12)</f>
        <v>1.8413999999999999</v>
      </c>
      <c r="K168" s="452">
        <f>SUMIFS('Data input'!$L$1067:$L$1094,'Data input'!$I$1067:$I$1094,F168,'Data input'!$J$1067:$J$1094,G168,'Data input'!$K$1067:$K$1094,H168)</f>
        <v>3</v>
      </c>
      <c r="L168" s="429">
        <f t="shared" ref="L168" si="13">J168*K168</f>
        <v>5.5241999999999996</v>
      </c>
      <c r="M168" s="330"/>
    </row>
    <row r="169" spans="5:13">
      <c r="E169" s="330"/>
      <c r="F169" s="207">
        <v>2021</v>
      </c>
      <c r="G169" s="147" t="s">
        <v>385</v>
      </c>
      <c r="H169" s="214" t="s">
        <v>243</v>
      </c>
      <c r="I169" s="207" cm="1">
        <f t="array" ref="I169">_xlfn.XLOOKUP(F169&amp;G169&amp;H169,'Data input'!$I$1035:$I$1062&amp;'Data input'!$J$1035:$J$1062&amp;'Data input'!$K$1035:$K$1062,'Data input'!$L$1035:$L$1062)</f>
        <v>0.50229999999999997</v>
      </c>
      <c r="J169" s="337">
        <f t="shared" ref="J169:J195" si="14">I169*(44/12)</f>
        <v>1.8417666666666666</v>
      </c>
      <c r="K169" s="453">
        <f>SUMIFS('Data input'!$L$1067:$L$1094,'Data input'!$I$1067:$I$1094,F169,'Data input'!$J$1067:$J$1094,G169,'Data input'!$K$1067:$K$1094,H169)</f>
        <v>1.1000000000000001</v>
      </c>
      <c r="L169" s="430">
        <f t="shared" ref="L169:L195" si="15">J169*K169</f>
        <v>2.0259433333333332</v>
      </c>
      <c r="M169" s="330"/>
    </row>
    <row r="170" spans="5:13">
      <c r="E170" s="330"/>
      <c r="F170" s="207">
        <v>2022</v>
      </c>
      <c r="G170" s="147" t="s">
        <v>385</v>
      </c>
      <c r="H170" s="214" t="s">
        <v>243</v>
      </c>
      <c r="I170" s="207" cm="1">
        <f t="array" ref="I170">_xlfn.XLOOKUP(F170&amp;G170&amp;H170,'Data input'!$I$1035:$I$1062&amp;'Data input'!$J$1035:$J$1062&amp;'Data input'!$K$1035:$K$1062,'Data input'!$L$1035:$L$1062)</f>
        <v>0.50239999999999996</v>
      </c>
      <c r="J170" s="337">
        <f t="shared" si="14"/>
        <v>1.8421333333333332</v>
      </c>
      <c r="K170" s="453">
        <f>SUMIFS('Data input'!$L$1067:$L$1094,'Data input'!$I$1067:$I$1094,F170,'Data input'!$J$1067:$J$1094,G170,'Data input'!$K$1067:$K$1094,H170)</f>
        <v>1.2</v>
      </c>
      <c r="L170" s="430">
        <f t="shared" si="15"/>
        <v>2.2105599999999996</v>
      </c>
      <c r="M170" s="330"/>
    </row>
    <row r="171" spans="5:13">
      <c r="E171" s="330"/>
      <c r="F171" s="207">
        <v>2023</v>
      </c>
      <c r="G171" s="147" t="s">
        <v>385</v>
      </c>
      <c r="H171" s="214" t="s">
        <v>243</v>
      </c>
      <c r="I171" s="207" cm="1">
        <f t="array" ref="I171">_xlfn.XLOOKUP(F171&amp;G171&amp;H171,'Data input'!$I$1035:$I$1062&amp;'Data input'!$J$1035:$J$1062&amp;'Data input'!$K$1035:$K$1062,'Data input'!$L$1035:$L$1062)</f>
        <v>0.50249999999999995</v>
      </c>
      <c r="J171" s="337">
        <f t="shared" si="14"/>
        <v>1.8424999999999998</v>
      </c>
      <c r="K171" s="453">
        <f>SUMIFS('Data input'!$L$1067:$L$1094,'Data input'!$I$1067:$I$1094,F171,'Data input'!$J$1067:$J$1094,G171,'Data input'!$K$1067:$K$1094,H171)</f>
        <v>1.3</v>
      </c>
      <c r="L171" s="430">
        <f t="shared" si="15"/>
        <v>2.3952499999999999</v>
      </c>
      <c r="M171" s="330"/>
    </row>
    <row r="172" spans="5:13">
      <c r="E172" s="330"/>
      <c r="F172" s="207">
        <v>2024</v>
      </c>
      <c r="G172" s="147" t="s">
        <v>385</v>
      </c>
      <c r="H172" s="214" t="s">
        <v>243</v>
      </c>
      <c r="I172" s="207" cm="1">
        <f t="array" ref="I172">_xlfn.XLOOKUP(F172&amp;G172&amp;H172,'Data input'!$I$1035:$I$1062&amp;'Data input'!$J$1035:$J$1062&amp;'Data input'!$K$1035:$K$1062,'Data input'!$L$1035:$L$1062)</f>
        <v>0.41</v>
      </c>
      <c r="J172" s="337">
        <f t="shared" si="14"/>
        <v>1.5033333333333332</v>
      </c>
      <c r="K172" s="453">
        <f>SUMIFS('Data input'!$L$1067:$L$1094,'Data input'!$I$1067:$I$1094,F172,'Data input'!$J$1067:$J$1094,G172,'Data input'!$K$1067:$K$1094,H172)</f>
        <v>1.4</v>
      </c>
      <c r="L172" s="430">
        <f t="shared" si="15"/>
        <v>2.1046666666666662</v>
      </c>
      <c r="M172" s="330"/>
    </row>
    <row r="173" spans="5:13">
      <c r="E173" s="330"/>
      <c r="F173" s="207">
        <v>2025</v>
      </c>
      <c r="G173" s="147" t="s">
        <v>385</v>
      </c>
      <c r="H173" s="214" t="s">
        <v>243</v>
      </c>
      <c r="I173" s="207" cm="1">
        <f t="array" ref="I173">_xlfn.XLOOKUP(F173&amp;G173&amp;H173,'Data input'!$I$1035:$I$1062&amp;'Data input'!$J$1035:$J$1062&amp;'Data input'!$K$1035:$K$1062,'Data input'!$L$1035:$L$1062)</f>
        <v>0.41099999999999998</v>
      </c>
      <c r="J173" s="337">
        <f t="shared" si="14"/>
        <v>1.5069999999999999</v>
      </c>
      <c r="K173" s="453">
        <f>SUMIFS('Data input'!$L$1067:$L$1094,'Data input'!$I$1067:$I$1094,F173,'Data input'!$J$1067:$J$1094,G173,'Data input'!$K$1067:$K$1094,H173)</f>
        <v>1.5</v>
      </c>
      <c r="L173" s="430">
        <f t="shared" si="15"/>
        <v>2.2605</v>
      </c>
      <c r="M173" s="330"/>
    </row>
    <row r="174" spans="5:13">
      <c r="E174" s="330"/>
      <c r="F174" s="207">
        <v>2026</v>
      </c>
      <c r="G174" s="147" t="s">
        <v>385</v>
      </c>
      <c r="H174" s="214" t="s">
        <v>243</v>
      </c>
      <c r="I174" s="207" cm="1">
        <f t="array" ref="I174">_xlfn.XLOOKUP(F174&amp;G174&amp;H174,'Data input'!$I$1035:$I$1062&amp;'Data input'!$J$1035:$J$1062&amp;'Data input'!$K$1035:$K$1062,'Data input'!$L$1035:$L$1062)</f>
        <v>0.41199999999999998</v>
      </c>
      <c r="J174" s="337">
        <f t="shared" si="14"/>
        <v>1.5106666666666666</v>
      </c>
      <c r="K174" s="453">
        <f>SUMIFS('Data input'!$L$1067:$L$1094,'Data input'!$I$1067:$I$1094,F174,'Data input'!$J$1067:$J$1094,G174,'Data input'!$K$1067:$K$1094,H174)</f>
        <v>1.6</v>
      </c>
      <c r="L174" s="430">
        <f t="shared" si="15"/>
        <v>2.4170666666666669</v>
      </c>
      <c r="M174" s="330"/>
    </row>
    <row r="175" spans="5:13">
      <c r="E175" s="330"/>
      <c r="F175" s="207">
        <v>2020</v>
      </c>
      <c r="G175" s="147" t="s">
        <v>385</v>
      </c>
      <c r="H175" s="214" t="s">
        <v>244</v>
      </c>
      <c r="I175" s="207" cm="1">
        <f t="array" ref="I175">_xlfn.XLOOKUP(F175&amp;G175&amp;H175,'Data input'!$I$1035:$I$1062&amp;'Data input'!$J$1035:$J$1062&amp;'Data input'!$K$1035:$K$1062,'Data input'!$L$1035:$L$1062)</f>
        <v>0.41299999999999998</v>
      </c>
      <c r="J175" s="337">
        <f t="shared" si="14"/>
        <v>1.5143333333333331</v>
      </c>
      <c r="K175" s="453">
        <f>SUMIFS('Data input'!$L$1067:$L$1094,'Data input'!$I$1067:$I$1094,F175,'Data input'!$J$1067:$J$1094,G175,'Data input'!$K$1067:$K$1094,H175)</f>
        <v>1.7</v>
      </c>
      <c r="L175" s="430">
        <f t="shared" si="15"/>
        <v>2.5743666666666662</v>
      </c>
      <c r="M175" s="330"/>
    </row>
    <row r="176" spans="5:13">
      <c r="E176" s="330"/>
      <c r="F176" s="207">
        <v>2021</v>
      </c>
      <c r="G176" s="147" t="s">
        <v>385</v>
      </c>
      <c r="H176" s="214" t="s">
        <v>244</v>
      </c>
      <c r="I176" s="207" cm="1">
        <f t="array" ref="I176">_xlfn.XLOOKUP(F176&amp;G176&amp;H176,'Data input'!$I$1035:$I$1062&amp;'Data input'!$J$1035:$J$1062&amp;'Data input'!$K$1035:$K$1062,'Data input'!$L$1035:$L$1062)</f>
        <v>0.502</v>
      </c>
      <c r="J176" s="337">
        <f t="shared" si="14"/>
        <v>1.8406666666666667</v>
      </c>
      <c r="K176" s="453">
        <f>SUMIFS('Data input'!$L$1067:$L$1094,'Data input'!$I$1067:$I$1094,F176,'Data input'!$J$1067:$J$1094,G176,'Data input'!$K$1067:$K$1094,H176)</f>
        <v>1.8</v>
      </c>
      <c r="L176" s="430">
        <f t="shared" si="15"/>
        <v>3.3132000000000001</v>
      </c>
      <c r="M176" s="330"/>
    </row>
    <row r="177" spans="5:13">
      <c r="E177" s="330"/>
      <c r="F177" s="207">
        <v>2022</v>
      </c>
      <c r="G177" s="147" t="s">
        <v>385</v>
      </c>
      <c r="H177" s="214" t="s">
        <v>244</v>
      </c>
      <c r="I177" s="207" cm="1">
        <f t="array" ref="I177">_xlfn.XLOOKUP(F177&amp;G177&amp;H177,'Data input'!$I$1035:$I$1062&amp;'Data input'!$J$1035:$J$1062&amp;'Data input'!$K$1035:$K$1062,'Data input'!$L$1035:$L$1062)</f>
        <v>0.50209999999999999</v>
      </c>
      <c r="J177" s="337">
        <f t="shared" si="14"/>
        <v>1.8410333333333333</v>
      </c>
      <c r="K177" s="453">
        <f>SUMIFS('Data input'!$L$1067:$L$1094,'Data input'!$I$1067:$I$1094,F177,'Data input'!$J$1067:$J$1094,G177,'Data input'!$K$1067:$K$1094,H177)</f>
        <v>1.9</v>
      </c>
      <c r="L177" s="430">
        <f t="shared" si="15"/>
        <v>3.4979633333333333</v>
      </c>
      <c r="M177" s="330"/>
    </row>
    <row r="178" spans="5:13">
      <c r="E178" s="330"/>
      <c r="F178" s="207">
        <v>2023</v>
      </c>
      <c r="G178" s="147" t="s">
        <v>385</v>
      </c>
      <c r="H178" s="214" t="s">
        <v>244</v>
      </c>
      <c r="I178" s="207" cm="1">
        <f t="array" ref="I178">_xlfn.XLOOKUP(F178&amp;G178&amp;H178,'Data input'!$I$1035:$I$1062&amp;'Data input'!$J$1035:$J$1062&amp;'Data input'!$K$1035:$K$1062,'Data input'!$L$1035:$L$1062)</f>
        <v>0.50219999999999998</v>
      </c>
      <c r="J178" s="337">
        <f t="shared" si="14"/>
        <v>1.8413999999999999</v>
      </c>
      <c r="K178" s="453">
        <f>SUMIFS('Data input'!$L$1067:$L$1094,'Data input'!$I$1067:$I$1094,F178,'Data input'!$J$1067:$J$1094,G178,'Data input'!$K$1067:$K$1094,H178)</f>
        <v>2</v>
      </c>
      <c r="L178" s="430">
        <f t="shared" si="15"/>
        <v>3.6827999999999999</v>
      </c>
      <c r="M178" s="330"/>
    </row>
    <row r="179" spans="5:13">
      <c r="E179" s="330"/>
      <c r="F179" s="207">
        <v>2024</v>
      </c>
      <c r="G179" s="147" t="s">
        <v>385</v>
      </c>
      <c r="H179" s="214" t="s">
        <v>244</v>
      </c>
      <c r="I179" s="207" cm="1">
        <f t="array" ref="I179">_xlfn.XLOOKUP(F179&amp;G179&amp;H179,'Data input'!$I$1035:$I$1062&amp;'Data input'!$J$1035:$J$1062&amp;'Data input'!$K$1035:$K$1062,'Data input'!$L$1035:$L$1062)</f>
        <v>0.50229999999999997</v>
      </c>
      <c r="J179" s="337">
        <f t="shared" si="14"/>
        <v>1.8417666666666666</v>
      </c>
      <c r="K179" s="453">
        <f>SUMIFS('Data input'!$L$1067:$L$1094,'Data input'!$I$1067:$I$1094,F179,'Data input'!$J$1067:$J$1094,G179,'Data input'!$K$1067:$K$1094,H179)</f>
        <v>2.1</v>
      </c>
      <c r="L179" s="430">
        <f t="shared" si="15"/>
        <v>3.8677099999999998</v>
      </c>
      <c r="M179" s="330"/>
    </row>
    <row r="180" spans="5:13">
      <c r="E180" s="330"/>
      <c r="F180" s="207">
        <v>2025</v>
      </c>
      <c r="G180" s="147" t="s">
        <v>385</v>
      </c>
      <c r="H180" s="214" t="s">
        <v>244</v>
      </c>
      <c r="I180" s="207" cm="1">
        <f t="array" ref="I180">_xlfn.XLOOKUP(F180&amp;G180&amp;H180,'Data input'!$I$1035:$I$1062&amp;'Data input'!$J$1035:$J$1062&amp;'Data input'!$K$1035:$K$1062,'Data input'!$L$1035:$L$1062)</f>
        <v>0.50239999999999996</v>
      </c>
      <c r="J180" s="337">
        <f t="shared" si="14"/>
        <v>1.8421333333333332</v>
      </c>
      <c r="K180" s="453">
        <f>SUMIFS('Data input'!$L$1067:$L$1094,'Data input'!$I$1067:$I$1094,F180,'Data input'!$J$1067:$J$1094,G180,'Data input'!$K$1067:$K$1094,H180)</f>
        <v>2.2000000000000002</v>
      </c>
      <c r="L180" s="430">
        <f t="shared" si="15"/>
        <v>4.052693333333333</v>
      </c>
      <c r="M180" s="330"/>
    </row>
    <row r="181" spans="5:13">
      <c r="E181" s="330"/>
      <c r="F181" s="207">
        <v>2026</v>
      </c>
      <c r="G181" s="147" t="s">
        <v>385</v>
      </c>
      <c r="H181" s="214" t="s">
        <v>244</v>
      </c>
      <c r="I181" s="207" cm="1">
        <f t="array" ref="I181">_xlfn.XLOOKUP(F181&amp;G181&amp;H181,'Data input'!$I$1035:$I$1062&amp;'Data input'!$J$1035:$J$1062&amp;'Data input'!$K$1035:$K$1062,'Data input'!$L$1035:$L$1062)</f>
        <v>0.50249999999999995</v>
      </c>
      <c r="J181" s="337">
        <f t="shared" si="14"/>
        <v>1.8424999999999998</v>
      </c>
      <c r="K181" s="453">
        <f>SUMIFS('Data input'!$L$1067:$L$1094,'Data input'!$I$1067:$I$1094,F181,'Data input'!$J$1067:$J$1094,G181,'Data input'!$K$1067:$K$1094,H181)</f>
        <v>2.2999999999999998</v>
      </c>
      <c r="L181" s="430">
        <f t="shared" si="15"/>
        <v>4.2377499999999992</v>
      </c>
      <c r="M181" s="330"/>
    </row>
    <row r="182" spans="5:13">
      <c r="E182" s="330"/>
      <c r="F182" s="207">
        <v>2020</v>
      </c>
      <c r="G182" s="147" t="s">
        <v>386</v>
      </c>
      <c r="H182" s="214" t="s">
        <v>243</v>
      </c>
      <c r="I182" s="207" cm="1">
        <f t="array" ref="I182">_xlfn.XLOOKUP(F182&amp;G182&amp;H182,'Data input'!$I$1035:$I$1062&amp;'Data input'!$J$1035:$J$1062&amp;'Data input'!$K$1035:$K$1062,'Data input'!$L$1035:$L$1062)</f>
        <v>0.41</v>
      </c>
      <c r="J182" s="337">
        <f t="shared" si="14"/>
        <v>1.5033333333333332</v>
      </c>
      <c r="K182" s="453">
        <f>SUMIFS('Data input'!$L$1067:$L$1094,'Data input'!$I$1067:$I$1094,F182,'Data input'!$J$1067:$J$1094,G182,'Data input'!$K$1067:$K$1094,H182)</f>
        <v>2.4</v>
      </c>
      <c r="L182" s="430">
        <f t="shared" si="15"/>
        <v>3.6079999999999997</v>
      </c>
      <c r="M182" s="330"/>
    </row>
    <row r="183" spans="5:13">
      <c r="E183" s="330"/>
      <c r="F183" s="207">
        <v>2021</v>
      </c>
      <c r="G183" s="147" t="s">
        <v>386</v>
      </c>
      <c r="H183" s="214" t="s">
        <v>243</v>
      </c>
      <c r="I183" s="207" cm="1">
        <f t="array" ref="I183">_xlfn.XLOOKUP(F183&amp;G183&amp;H183,'Data input'!$I$1035:$I$1062&amp;'Data input'!$J$1035:$J$1062&amp;'Data input'!$K$1035:$K$1062,'Data input'!$L$1035:$L$1062)</f>
        <v>0.41099999999999998</v>
      </c>
      <c r="J183" s="337">
        <f t="shared" si="14"/>
        <v>1.5069999999999999</v>
      </c>
      <c r="K183" s="453">
        <f>SUMIFS('Data input'!$L$1067:$L$1094,'Data input'!$I$1067:$I$1094,F183,'Data input'!$J$1067:$J$1094,G183,'Data input'!$K$1067:$K$1094,H183)</f>
        <v>2.5</v>
      </c>
      <c r="L183" s="430">
        <f t="shared" si="15"/>
        <v>3.7674999999999996</v>
      </c>
      <c r="M183" s="330"/>
    </row>
    <row r="184" spans="5:13">
      <c r="E184" s="330"/>
      <c r="F184" s="207">
        <v>2022</v>
      </c>
      <c r="G184" s="147" t="s">
        <v>386</v>
      </c>
      <c r="H184" s="214" t="s">
        <v>243</v>
      </c>
      <c r="I184" s="207" cm="1">
        <f t="array" ref="I184">_xlfn.XLOOKUP(F184&amp;G184&amp;H184,'Data input'!$I$1035:$I$1062&amp;'Data input'!$J$1035:$J$1062&amp;'Data input'!$K$1035:$K$1062,'Data input'!$L$1035:$L$1062)</f>
        <v>0.41199999999999998</v>
      </c>
      <c r="J184" s="337">
        <f t="shared" si="14"/>
        <v>1.5106666666666666</v>
      </c>
      <c r="K184" s="453">
        <f>SUMIFS('Data input'!$L$1067:$L$1094,'Data input'!$I$1067:$I$1094,F184,'Data input'!$J$1067:$J$1094,G184,'Data input'!$K$1067:$K$1094,H184)</f>
        <v>2.6</v>
      </c>
      <c r="L184" s="430">
        <f t="shared" si="15"/>
        <v>3.9277333333333333</v>
      </c>
      <c r="M184" s="330"/>
    </row>
    <row r="185" spans="5:13">
      <c r="E185" s="330"/>
      <c r="F185" s="207">
        <v>2023</v>
      </c>
      <c r="G185" s="147" t="s">
        <v>386</v>
      </c>
      <c r="H185" s="214" t="s">
        <v>243</v>
      </c>
      <c r="I185" s="207" cm="1">
        <f t="array" ref="I185">_xlfn.XLOOKUP(F185&amp;G185&amp;H185,'Data input'!$I$1035:$I$1062&amp;'Data input'!$J$1035:$J$1062&amp;'Data input'!$K$1035:$K$1062,'Data input'!$L$1035:$L$1062)</f>
        <v>0.41299999999999998</v>
      </c>
      <c r="J185" s="337">
        <f t="shared" si="14"/>
        <v>1.5143333333333331</v>
      </c>
      <c r="K185" s="453">
        <f>SUMIFS('Data input'!$L$1067:$L$1094,'Data input'!$I$1067:$I$1094,F185,'Data input'!$J$1067:$J$1094,G185,'Data input'!$K$1067:$K$1094,H185)</f>
        <v>2.7</v>
      </c>
      <c r="L185" s="430">
        <f t="shared" si="15"/>
        <v>4.0886999999999993</v>
      </c>
      <c r="M185" s="330"/>
    </row>
    <row r="186" spans="5:13">
      <c r="E186" s="330"/>
      <c r="F186" s="207">
        <v>2024</v>
      </c>
      <c r="G186" s="147" t="s">
        <v>386</v>
      </c>
      <c r="H186" s="214" t="s">
        <v>243</v>
      </c>
      <c r="I186" s="207" cm="1">
        <f t="array" ref="I186">_xlfn.XLOOKUP(F186&amp;G186&amp;H186,'Data input'!$I$1035:$I$1062&amp;'Data input'!$J$1035:$J$1062&amp;'Data input'!$K$1035:$K$1062,'Data input'!$L$1035:$L$1062)</f>
        <v>0.50219999999999998</v>
      </c>
      <c r="J186" s="337">
        <f t="shared" si="14"/>
        <v>1.8413999999999999</v>
      </c>
      <c r="K186" s="453">
        <f>SUMIFS('Data input'!$L$1067:$L$1094,'Data input'!$I$1067:$I$1094,F186,'Data input'!$J$1067:$J$1094,G186,'Data input'!$K$1067:$K$1094,H186)</f>
        <v>2.8</v>
      </c>
      <c r="L186" s="430">
        <f t="shared" si="15"/>
        <v>5.1559199999999992</v>
      </c>
      <c r="M186" s="330"/>
    </row>
    <row r="187" spans="5:13">
      <c r="E187" s="330"/>
      <c r="F187" s="207">
        <v>2025</v>
      </c>
      <c r="G187" s="147" t="s">
        <v>386</v>
      </c>
      <c r="H187" s="214" t="s">
        <v>243</v>
      </c>
      <c r="I187" s="207" cm="1">
        <f t="array" ref="I187">_xlfn.XLOOKUP(F187&amp;G187&amp;H187,'Data input'!$I$1035:$I$1062&amp;'Data input'!$J$1035:$J$1062&amp;'Data input'!$K$1035:$K$1062,'Data input'!$L$1035:$L$1062)</f>
        <v>0.50229999999999997</v>
      </c>
      <c r="J187" s="337">
        <f t="shared" si="14"/>
        <v>1.8417666666666666</v>
      </c>
      <c r="K187" s="453">
        <f>SUMIFS('Data input'!$L$1067:$L$1094,'Data input'!$I$1067:$I$1094,F187,'Data input'!$J$1067:$J$1094,G187,'Data input'!$K$1067:$K$1094,H187)</f>
        <v>2.9</v>
      </c>
      <c r="L187" s="430">
        <f t="shared" si="15"/>
        <v>5.341123333333333</v>
      </c>
      <c r="M187" s="330"/>
    </row>
    <row r="188" spans="5:13">
      <c r="E188" s="330"/>
      <c r="F188" s="207">
        <v>2026</v>
      </c>
      <c r="G188" s="147" t="s">
        <v>386</v>
      </c>
      <c r="H188" s="214" t="s">
        <v>243</v>
      </c>
      <c r="I188" s="207" cm="1">
        <f t="array" ref="I188">_xlfn.XLOOKUP(F188&amp;G188&amp;H188,'Data input'!$I$1035:$I$1062&amp;'Data input'!$J$1035:$J$1062&amp;'Data input'!$K$1035:$K$1062,'Data input'!$L$1035:$L$1062)</f>
        <v>0.50239999999999996</v>
      </c>
      <c r="J188" s="337">
        <f t="shared" si="14"/>
        <v>1.8421333333333332</v>
      </c>
      <c r="K188" s="453">
        <f>SUMIFS('Data input'!$L$1067:$L$1094,'Data input'!$I$1067:$I$1094,F188,'Data input'!$J$1067:$J$1094,G188,'Data input'!$K$1067:$K$1094,H188)</f>
        <v>3</v>
      </c>
      <c r="L188" s="430">
        <f t="shared" si="15"/>
        <v>5.5263999999999998</v>
      </c>
      <c r="M188" s="330"/>
    </row>
    <row r="189" spans="5:13">
      <c r="E189" s="330"/>
      <c r="F189" s="207">
        <v>2020</v>
      </c>
      <c r="G189" s="147" t="s">
        <v>386</v>
      </c>
      <c r="H189" s="214" t="s">
        <v>244</v>
      </c>
      <c r="I189" s="207" cm="1">
        <f t="array" ref="I189">_xlfn.XLOOKUP(F189&amp;G189&amp;H189,'Data input'!$I$1035:$I$1062&amp;'Data input'!$J$1035:$J$1062&amp;'Data input'!$K$1035:$K$1062,'Data input'!$L$1035:$L$1062)</f>
        <v>0.50249999999999995</v>
      </c>
      <c r="J189" s="337">
        <f t="shared" si="14"/>
        <v>1.8424999999999998</v>
      </c>
      <c r="K189" s="453">
        <f>SUMIFS('Data input'!$L$1067:$L$1094,'Data input'!$I$1067:$I$1094,F189,'Data input'!$J$1067:$J$1094,G189,'Data input'!$K$1067:$K$1094,H189)</f>
        <v>3.1</v>
      </c>
      <c r="L189" s="430">
        <f t="shared" si="15"/>
        <v>5.7117499999999994</v>
      </c>
      <c r="M189" s="330"/>
    </row>
    <row r="190" spans="5:13">
      <c r="E190" s="330"/>
      <c r="F190" s="207">
        <v>2021</v>
      </c>
      <c r="G190" s="147" t="s">
        <v>386</v>
      </c>
      <c r="H190" s="214" t="s">
        <v>244</v>
      </c>
      <c r="I190" s="207" cm="1">
        <f t="array" ref="I190">_xlfn.XLOOKUP(F190&amp;G190&amp;H190,'Data input'!$I$1035:$I$1062&amp;'Data input'!$J$1035:$J$1062&amp;'Data input'!$K$1035:$K$1062,'Data input'!$L$1035:$L$1062)</f>
        <v>0.41</v>
      </c>
      <c r="J190" s="337">
        <f t="shared" si="14"/>
        <v>1.5033333333333332</v>
      </c>
      <c r="K190" s="453">
        <f>SUMIFS('Data input'!$L$1067:$L$1094,'Data input'!$I$1067:$I$1094,F190,'Data input'!$J$1067:$J$1094,G190,'Data input'!$K$1067:$K$1094,H190)</f>
        <v>3.2</v>
      </c>
      <c r="L190" s="430">
        <f t="shared" si="15"/>
        <v>4.8106666666666662</v>
      </c>
      <c r="M190" s="330"/>
    </row>
    <row r="191" spans="5:13">
      <c r="E191" s="330"/>
      <c r="F191" s="207">
        <v>2022</v>
      </c>
      <c r="G191" s="147" t="s">
        <v>386</v>
      </c>
      <c r="H191" s="214" t="s">
        <v>244</v>
      </c>
      <c r="I191" s="207" cm="1">
        <f t="array" ref="I191">_xlfn.XLOOKUP(F191&amp;G191&amp;H191,'Data input'!$I$1035:$I$1062&amp;'Data input'!$J$1035:$J$1062&amp;'Data input'!$K$1035:$K$1062,'Data input'!$L$1035:$L$1062)</f>
        <v>0.41099999999999998</v>
      </c>
      <c r="J191" s="337">
        <f t="shared" si="14"/>
        <v>1.5069999999999999</v>
      </c>
      <c r="K191" s="453">
        <f>SUMIFS('Data input'!$L$1067:$L$1094,'Data input'!$I$1067:$I$1094,F191,'Data input'!$J$1067:$J$1094,G191,'Data input'!$K$1067:$K$1094,H191)</f>
        <v>3.3</v>
      </c>
      <c r="L191" s="430">
        <f t="shared" si="15"/>
        <v>4.9730999999999996</v>
      </c>
      <c r="M191" s="330"/>
    </row>
    <row r="192" spans="5:13">
      <c r="E192" s="330"/>
      <c r="F192" s="207">
        <v>2023</v>
      </c>
      <c r="G192" s="147" t="s">
        <v>386</v>
      </c>
      <c r="H192" s="214" t="s">
        <v>244</v>
      </c>
      <c r="I192" s="207" cm="1">
        <f t="array" ref="I192">_xlfn.XLOOKUP(F192&amp;G192&amp;H192,'Data input'!$I$1035:$I$1062&amp;'Data input'!$J$1035:$J$1062&amp;'Data input'!$K$1035:$K$1062,'Data input'!$L$1035:$L$1062)</f>
        <v>0.41199999999999998</v>
      </c>
      <c r="J192" s="337">
        <f t="shared" si="14"/>
        <v>1.5106666666666666</v>
      </c>
      <c r="K192" s="453">
        <f>SUMIFS('Data input'!$L$1067:$L$1094,'Data input'!$I$1067:$I$1094,F192,'Data input'!$J$1067:$J$1094,G192,'Data input'!$K$1067:$K$1094,H192)</f>
        <v>3.4</v>
      </c>
      <c r="L192" s="430">
        <f t="shared" si="15"/>
        <v>5.1362666666666659</v>
      </c>
      <c r="M192" s="330"/>
    </row>
    <row r="193" spans="5:14">
      <c r="E193" s="330"/>
      <c r="F193" s="207">
        <v>2024</v>
      </c>
      <c r="G193" s="147" t="s">
        <v>386</v>
      </c>
      <c r="H193" s="214" t="s">
        <v>244</v>
      </c>
      <c r="I193" s="207" cm="1">
        <f t="array" ref="I193">_xlfn.XLOOKUP(F193&amp;G193&amp;H193,'Data input'!$I$1035:$I$1062&amp;'Data input'!$J$1035:$J$1062&amp;'Data input'!$K$1035:$K$1062,'Data input'!$L$1035:$L$1062)</f>
        <v>0.41299999999999998</v>
      </c>
      <c r="J193" s="337">
        <f t="shared" si="14"/>
        <v>1.5143333333333331</v>
      </c>
      <c r="K193" s="453">
        <f>SUMIFS('Data input'!$L$1067:$L$1094,'Data input'!$I$1067:$I$1094,F193,'Data input'!$J$1067:$J$1094,G193,'Data input'!$K$1067:$K$1094,H193)</f>
        <v>3.5</v>
      </c>
      <c r="L193" s="430">
        <f t="shared" si="15"/>
        <v>5.3001666666666658</v>
      </c>
      <c r="M193" s="330"/>
    </row>
    <row r="194" spans="5:14">
      <c r="E194" s="330"/>
      <c r="F194" s="207">
        <v>2025</v>
      </c>
      <c r="G194" s="147" t="s">
        <v>386</v>
      </c>
      <c r="H194" s="214" t="s">
        <v>244</v>
      </c>
      <c r="I194" s="207" cm="1">
        <f t="array" ref="I194">_xlfn.XLOOKUP(F194&amp;G194&amp;H194,'Data input'!$I$1035:$I$1062&amp;'Data input'!$J$1035:$J$1062&amp;'Data input'!$K$1035:$K$1062,'Data input'!$L$1035:$L$1062)</f>
        <v>0.42199999999999999</v>
      </c>
      <c r="J194" s="337">
        <f t="shared" si="14"/>
        <v>1.5473333333333332</v>
      </c>
      <c r="K194" s="453">
        <f>SUMIFS('Data input'!$L$1067:$L$1094,'Data input'!$I$1067:$I$1094,F194,'Data input'!$J$1067:$J$1094,G194,'Data input'!$K$1067:$K$1094,H194)</f>
        <v>3.6</v>
      </c>
      <c r="L194" s="430">
        <f t="shared" si="15"/>
        <v>5.5703999999999994</v>
      </c>
      <c r="M194" s="330"/>
    </row>
    <row r="195" spans="5:14">
      <c r="E195" s="330"/>
      <c r="F195" s="208">
        <v>2026</v>
      </c>
      <c r="G195" s="211" t="s">
        <v>386</v>
      </c>
      <c r="H195" s="215" t="s">
        <v>244</v>
      </c>
      <c r="I195" s="208" cm="1">
        <f t="array" ref="I195">_xlfn.XLOOKUP(F195&amp;G195&amp;H195,'Data input'!$I$1035:$I$1062&amp;'Data input'!$J$1035:$J$1062&amp;'Data input'!$K$1035:$K$1062,'Data input'!$L$1035:$L$1062)</f>
        <v>0.42299999999999999</v>
      </c>
      <c r="J195" s="431">
        <f t="shared" si="14"/>
        <v>1.5509999999999999</v>
      </c>
      <c r="K195" s="454">
        <f>SUMIFS('Data input'!$L$1067:$L$1094,'Data input'!$I$1067:$I$1094,F195,'Data input'!$J$1067:$J$1094,G195,'Data input'!$K$1067:$K$1094,H195)</f>
        <v>3.7</v>
      </c>
      <c r="L195" s="433">
        <f t="shared" si="15"/>
        <v>5.7386999999999997</v>
      </c>
      <c r="M195" s="330"/>
    </row>
    <row r="196" spans="5:14">
      <c r="F196" s="330"/>
      <c r="G196" s="330"/>
      <c r="H196" s="330"/>
      <c r="I196" s="330"/>
      <c r="J196" s="330"/>
      <c r="K196" s="330"/>
      <c r="L196" s="338">
        <f>SUM(L168:L195)</f>
        <v>112.82109666666665</v>
      </c>
    </row>
    <row r="198" spans="5:14">
      <c r="F198" s="381" t="s">
        <v>387</v>
      </c>
    </row>
    <row r="199" spans="5:14">
      <c r="F199" s="309"/>
      <c r="G199" s="310"/>
      <c r="H199" s="311"/>
      <c r="I199" s="312"/>
      <c r="J199" s="310"/>
      <c r="K199" s="317" t="s">
        <v>84</v>
      </c>
      <c r="L199" s="310"/>
      <c r="M199" s="318" t="s">
        <v>84</v>
      </c>
    </row>
    <row r="200" spans="5:14">
      <c r="F200" s="313"/>
      <c r="H200" s="314"/>
      <c r="I200" s="315"/>
      <c r="K200" s="374" t="s">
        <v>38</v>
      </c>
      <c r="M200" s="319" t="s">
        <v>12</v>
      </c>
    </row>
    <row r="201" spans="5:14" ht="17">
      <c r="F201" s="152" t="s">
        <v>335</v>
      </c>
      <c r="G201" s="147" t="s">
        <v>364</v>
      </c>
      <c r="H201" s="229" t="s">
        <v>242</v>
      </c>
      <c r="I201" s="152" t="s">
        <v>365</v>
      </c>
      <c r="J201" s="377" t="s">
        <v>372</v>
      </c>
      <c r="K201" s="375" t="s">
        <v>123</v>
      </c>
      <c r="L201" s="147" t="s">
        <v>120</v>
      </c>
      <c r="M201" s="383" t="s">
        <v>384</v>
      </c>
    </row>
    <row r="202" spans="5:14" ht="17">
      <c r="F202" s="152"/>
      <c r="G202" s="157"/>
      <c r="H202" s="153"/>
      <c r="I202" s="152" t="s">
        <v>124</v>
      </c>
      <c r="J202" s="157" t="s">
        <v>373</v>
      </c>
      <c r="K202" s="333" t="s">
        <v>124</v>
      </c>
      <c r="L202" s="157" t="s">
        <v>367</v>
      </c>
      <c r="M202" s="320" t="s">
        <v>368</v>
      </c>
    </row>
    <row r="203" spans="5:14">
      <c r="E203" s="330"/>
      <c r="F203" s="205">
        <v>2020</v>
      </c>
      <c r="G203" s="226" t="s">
        <v>385</v>
      </c>
      <c r="H203" s="225" t="s">
        <v>243</v>
      </c>
      <c r="I203" s="205" cm="1">
        <f t="array" ref="I203">_xlfn.XLOOKUP(F203&amp;G203&amp;H203,'Data input'!$I$1035:$I$1062&amp;'Data input'!$J$1035:$J$1062&amp;'Data input'!$K$1035:$K$1062,'Data input'!$L$1035:$L$1062)</f>
        <v>0.50219999999999998</v>
      </c>
      <c r="J203" s="195">
        <f>_xlfn.XLOOKUP(G203,'Data input'!$I$1104:$I$1105,'Data input'!$J$1104:$J$1105)</f>
        <v>8.4000000000000003E-4</v>
      </c>
      <c r="K203" s="437">
        <f t="shared" ref="K203:K230" si="16">I203*J203*(44/12)</f>
        <v>1.5467759999999999E-3</v>
      </c>
      <c r="L203" s="428">
        <f>SUMIFS('Data input'!$L$1067:$L$1094,'Data input'!$I$1067:$I$1094,F203,'Data input'!$J$1067:$J$1094,G203,'Data input'!$K$1067:$K$1094,H203)</f>
        <v>3</v>
      </c>
      <c r="M203" s="438">
        <f t="shared" ref="M203" si="17">K203*L203</f>
        <v>4.640328E-3</v>
      </c>
      <c r="N203" s="330"/>
    </row>
    <row r="204" spans="5:14">
      <c r="E204" s="330"/>
      <c r="F204" s="207">
        <v>2021</v>
      </c>
      <c r="G204" s="147" t="s">
        <v>385</v>
      </c>
      <c r="H204" s="214" t="s">
        <v>243</v>
      </c>
      <c r="I204" s="207" cm="1">
        <f t="array" ref="I204">_xlfn.XLOOKUP(F204&amp;G204&amp;H204,'Data input'!$I$1035:$I$1062&amp;'Data input'!$J$1035:$J$1062&amp;'Data input'!$K$1035:$K$1062,'Data input'!$L$1035:$L$1062)</f>
        <v>0.50229999999999997</v>
      </c>
      <c r="J204" s="181">
        <f>_xlfn.XLOOKUP(G204,'Data input'!$I$1104:$I$1105,'Data input'!$J$1104:$J$1105)</f>
        <v>8.4000000000000003E-4</v>
      </c>
      <c r="K204" s="335">
        <f t="shared" si="16"/>
        <v>1.5470839999999998E-3</v>
      </c>
      <c r="L204" s="426">
        <f>SUMIFS('Data input'!$L$1067:$L$1094,'Data input'!$I$1067:$I$1094,F204,'Data input'!$J$1067:$J$1094,G204,'Data input'!$K$1067:$K$1094,H204)</f>
        <v>1.1000000000000001</v>
      </c>
      <c r="M204" s="439">
        <f t="shared" ref="M204:M230" si="18">K204*L204</f>
        <v>1.7017923999999999E-3</v>
      </c>
      <c r="N204" s="330"/>
    </row>
    <row r="205" spans="5:14">
      <c r="E205" s="330"/>
      <c r="F205" s="207">
        <v>2022</v>
      </c>
      <c r="G205" s="147" t="s">
        <v>385</v>
      </c>
      <c r="H205" s="214" t="s">
        <v>243</v>
      </c>
      <c r="I205" s="207" cm="1">
        <f t="array" ref="I205">_xlfn.XLOOKUP(F205&amp;G205&amp;H205,'Data input'!$I$1035:$I$1062&amp;'Data input'!$J$1035:$J$1062&amp;'Data input'!$K$1035:$K$1062,'Data input'!$L$1035:$L$1062)</f>
        <v>0.50239999999999996</v>
      </c>
      <c r="J205" s="181">
        <f>_xlfn.XLOOKUP(G205,'Data input'!$I$1104:$I$1105,'Data input'!$J$1104:$J$1105)</f>
        <v>8.4000000000000003E-4</v>
      </c>
      <c r="K205" s="335">
        <f t="shared" si="16"/>
        <v>1.5473919999999999E-3</v>
      </c>
      <c r="L205" s="426">
        <f>SUMIFS('Data input'!$L$1067:$L$1094,'Data input'!$I$1067:$I$1094,F205,'Data input'!$J$1067:$J$1094,G205,'Data input'!$K$1067:$K$1094,H205)</f>
        <v>1.2</v>
      </c>
      <c r="M205" s="439">
        <f t="shared" si="18"/>
        <v>1.8568703999999998E-3</v>
      </c>
      <c r="N205" s="330"/>
    </row>
    <row r="206" spans="5:14">
      <c r="E206" s="330"/>
      <c r="F206" s="207">
        <v>2023</v>
      </c>
      <c r="G206" s="147" t="s">
        <v>385</v>
      </c>
      <c r="H206" s="214" t="s">
        <v>243</v>
      </c>
      <c r="I206" s="207" cm="1">
        <f t="array" ref="I206">_xlfn.XLOOKUP(F206&amp;G206&amp;H206,'Data input'!$I$1035:$I$1062&amp;'Data input'!$J$1035:$J$1062&amp;'Data input'!$K$1035:$K$1062,'Data input'!$L$1035:$L$1062)</f>
        <v>0.50249999999999995</v>
      </c>
      <c r="J206" s="181">
        <f>_xlfn.XLOOKUP(G206,'Data input'!$I$1104:$I$1105,'Data input'!$J$1104:$J$1105)</f>
        <v>8.4000000000000003E-4</v>
      </c>
      <c r="K206" s="335">
        <f t="shared" si="16"/>
        <v>1.5476999999999997E-3</v>
      </c>
      <c r="L206" s="426">
        <f>SUMIFS('Data input'!$L$1067:$L$1094,'Data input'!$I$1067:$I$1094,F206,'Data input'!$J$1067:$J$1094,G206,'Data input'!$K$1067:$K$1094,H206)</f>
        <v>1.3</v>
      </c>
      <c r="M206" s="439">
        <f t="shared" si="18"/>
        <v>2.0120099999999998E-3</v>
      </c>
      <c r="N206" s="330"/>
    </row>
    <row r="207" spans="5:14">
      <c r="E207" s="330"/>
      <c r="F207" s="207">
        <v>2024</v>
      </c>
      <c r="G207" s="147" t="s">
        <v>385</v>
      </c>
      <c r="H207" s="214" t="s">
        <v>243</v>
      </c>
      <c r="I207" s="207" cm="1">
        <f t="array" ref="I207">_xlfn.XLOOKUP(F207&amp;G207&amp;H207,'Data input'!$I$1035:$I$1062&amp;'Data input'!$J$1035:$J$1062&amp;'Data input'!$K$1035:$K$1062,'Data input'!$L$1035:$L$1062)</f>
        <v>0.41</v>
      </c>
      <c r="J207" s="181">
        <f>_xlfn.XLOOKUP(G207,'Data input'!$I$1104:$I$1105,'Data input'!$J$1104:$J$1105)</f>
        <v>8.4000000000000003E-4</v>
      </c>
      <c r="K207" s="335">
        <f t="shared" si="16"/>
        <v>1.2627999999999999E-3</v>
      </c>
      <c r="L207" s="426">
        <f>SUMIFS('Data input'!$L$1067:$L$1094,'Data input'!$I$1067:$I$1094,F207,'Data input'!$J$1067:$J$1094,G207,'Data input'!$K$1067:$K$1094,H207)</f>
        <v>1.4</v>
      </c>
      <c r="M207" s="439">
        <f t="shared" si="18"/>
        <v>1.7679199999999996E-3</v>
      </c>
      <c r="N207" s="330"/>
    </row>
    <row r="208" spans="5:14">
      <c r="E208" s="330"/>
      <c r="F208" s="207">
        <v>2025</v>
      </c>
      <c r="G208" s="147" t="s">
        <v>385</v>
      </c>
      <c r="H208" s="214" t="s">
        <v>243</v>
      </c>
      <c r="I208" s="207" cm="1">
        <f t="array" ref="I208">_xlfn.XLOOKUP(F208&amp;G208&amp;H208,'Data input'!$I$1035:$I$1062&amp;'Data input'!$J$1035:$J$1062&amp;'Data input'!$K$1035:$K$1062,'Data input'!$L$1035:$L$1062)</f>
        <v>0.41099999999999998</v>
      </c>
      <c r="J208" s="181">
        <f>_xlfn.XLOOKUP(G208,'Data input'!$I$1104:$I$1105,'Data input'!$J$1104:$J$1105)</f>
        <v>8.4000000000000003E-4</v>
      </c>
      <c r="K208" s="335">
        <f t="shared" si="16"/>
        <v>1.2658799999999998E-3</v>
      </c>
      <c r="L208" s="426">
        <f>SUMIFS('Data input'!$L$1067:$L$1094,'Data input'!$I$1067:$I$1094,F208,'Data input'!$J$1067:$J$1094,G208,'Data input'!$K$1067:$K$1094,H208)</f>
        <v>1.5</v>
      </c>
      <c r="M208" s="439">
        <f t="shared" si="18"/>
        <v>1.8988199999999998E-3</v>
      </c>
      <c r="N208" s="330"/>
    </row>
    <row r="209" spans="5:14">
      <c r="E209" s="330"/>
      <c r="F209" s="207">
        <v>2026</v>
      </c>
      <c r="G209" s="147" t="s">
        <v>385</v>
      </c>
      <c r="H209" s="214" t="s">
        <v>243</v>
      </c>
      <c r="I209" s="207" cm="1">
        <f t="array" ref="I209">_xlfn.XLOOKUP(F209&amp;G209&amp;H209,'Data input'!$I$1035:$I$1062&amp;'Data input'!$J$1035:$J$1062&amp;'Data input'!$K$1035:$K$1062,'Data input'!$L$1035:$L$1062)</f>
        <v>0.41199999999999998</v>
      </c>
      <c r="J209" s="181">
        <f>_xlfn.XLOOKUP(G209,'Data input'!$I$1104:$I$1105,'Data input'!$J$1104:$J$1105)</f>
        <v>8.4000000000000003E-4</v>
      </c>
      <c r="K209" s="335">
        <f t="shared" si="16"/>
        <v>1.26896E-3</v>
      </c>
      <c r="L209" s="426">
        <f>SUMIFS('Data input'!$L$1067:$L$1094,'Data input'!$I$1067:$I$1094,F209,'Data input'!$J$1067:$J$1094,G209,'Data input'!$K$1067:$K$1094,H209)</f>
        <v>1.6</v>
      </c>
      <c r="M209" s="439">
        <f t="shared" si="18"/>
        <v>2.0303360000000002E-3</v>
      </c>
      <c r="N209" s="330"/>
    </row>
    <row r="210" spans="5:14">
      <c r="E210" s="330"/>
      <c r="F210" s="207">
        <v>2020</v>
      </c>
      <c r="G210" s="147" t="s">
        <v>385</v>
      </c>
      <c r="H210" s="214" t="s">
        <v>244</v>
      </c>
      <c r="I210" s="207" cm="1">
        <f t="array" ref="I210">_xlfn.XLOOKUP(F210&amp;G210&amp;H210,'Data input'!$I$1035:$I$1062&amp;'Data input'!$J$1035:$J$1062&amp;'Data input'!$K$1035:$K$1062,'Data input'!$L$1035:$L$1062)</f>
        <v>0.41299999999999998</v>
      </c>
      <c r="J210" s="181">
        <f>_xlfn.XLOOKUP(G210,'Data input'!$I$1104:$I$1105,'Data input'!$J$1104:$J$1105)</f>
        <v>8.4000000000000003E-4</v>
      </c>
      <c r="K210" s="335">
        <f t="shared" si="16"/>
        <v>1.2720400000000001E-3</v>
      </c>
      <c r="L210" s="426">
        <f>SUMIFS('Data input'!$L$1067:$L$1094,'Data input'!$I$1067:$I$1094,F210,'Data input'!$J$1067:$J$1094,G210,'Data input'!$K$1067:$K$1094,H210)</f>
        <v>1.7</v>
      </c>
      <c r="M210" s="439">
        <f t="shared" si="18"/>
        <v>2.1624680000000003E-3</v>
      </c>
      <c r="N210" s="330"/>
    </row>
    <row r="211" spans="5:14">
      <c r="E211" s="330"/>
      <c r="F211" s="207">
        <v>2021</v>
      </c>
      <c r="G211" s="147" t="s">
        <v>385</v>
      </c>
      <c r="H211" s="214" t="s">
        <v>244</v>
      </c>
      <c r="I211" s="207" cm="1">
        <f t="array" ref="I211">_xlfn.XLOOKUP(F211&amp;G211&amp;H211,'Data input'!$I$1035:$I$1062&amp;'Data input'!$J$1035:$J$1062&amp;'Data input'!$K$1035:$K$1062,'Data input'!$L$1035:$L$1062)</f>
        <v>0.502</v>
      </c>
      <c r="J211" s="181">
        <f>_xlfn.XLOOKUP(G211,'Data input'!$I$1104:$I$1105,'Data input'!$J$1104:$J$1105)</f>
        <v>8.4000000000000003E-4</v>
      </c>
      <c r="K211" s="335">
        <f t="shared" si="16"/>
        <v>1.54616E-3</v>
      </c>
      <c r="L211" s="426">
        <f>SUMIFS('Data input'!$L$1067:$L$1094,'Data input'!$I$1067:$I$1094,F211,'Data input'!$J$1067:$J$1094,G211,'Data input'!$K$1067:$K$1094,H211)</f>
        <v>1.8</v>
      </c>
      <c r="M211" s="439">
        <f t="shared" si="18"/>
        <v>2.783088E-3</v>
      </c>
      <c r="N211" s="330"/>
    </row>
    <row r="212" spans="5:14">
      <c r="E212" s="330"/>
      <c r="F212" s="207">
        <v>2022</v>
      </c>
      <c r="G212" s="147" t="s">
        <v>385</v>
      </c>
      <c r="H212" s="214" t="s">
        <v>244</v>
      </c>
      <c r="I212" s="207" cm="1">
        <f t="array" ref="I212">_xlfn.XLOOKUP(F212&amp;G212&amp;H212,'Data input'!$I$1035:$I$1062&amp;'Data input'!$J$1035:$J$1062&amp;'Data input'!$K$1035:$K$1062,'Data input'!$L$1035:$L$1062)</f>
        <v>0.50209999999999999</v>
      </c>
      <c r="J212" s="181">
        <f>_xlfn.XLOOKUP(G212,'Data input'!$I$1104:$I$1105,'Data input'!$J$1104:$J$1105)</f>
        <v>8.4000000000000003E-4</v>
      </c>
      <c r="K212" s="335">
        <f t="shared" si="16"/>
        <v>1.5464680000000001E-3</v>
      </c>
      <c r="L212" s="426">
        <f>SUMIFS('Data input'!$L$1067:$L$1094,'Data input'!$I$1067:$I$1094,F212,'Data input'!$J$1067:$J$1094,G212,'Data input'!$K$1067:$K$1094,H212)</f>
        <v>1.9</v>
      </c>
      <c r="M212" s="439">
        <f t="shared" si="18"/>
        <v>2.9382891999999998E-3</v>
      </c>
      <c r="N212" s="330"/>
    </row>
    <row r="213" spans="5:14">
      <c r="E213" s="330"/>
      <c r="F213" s="207">
        <v>2023</v>
      </c>
      <c r="G213" s="147" t="s">
        <v>385</v>
      </c>
      <c r="H213" s="214" t="s">
        <v>244</v>
      </c>
      <c r="I213" s="207" cm="1">
        <f t="array" ref="I213">_xlfn.XLOOKUP(F213&amp;G213&amp;H213,'Data input'!$I$1035:$I$1062&amp;'Data input'!$J$1035:$J$1062&amp;'Data input'!$K$1035:$K$1062,'Data input'!$L$1035:$L$1062)</f>
        <v>0.50219999999999998</v>
      </c>
      <c r="J213" s="181">
        <f>_xlfn.XLOOKUP(G213,'Data input'!$I$1104:$I$1105,'Data input'!$J$1104:$J$1105)</f>
        <v>8.4000000000000003E-4</v>
      </c>
      <c r="K213" s="335">
        <f t="shared" si="16"/>
        <v>1.5467759999999999E-3</v>
      </c>
      <c r="L213" s="426">
        <f>SUMIFS('Data input'!$L$1067:$L$1094,'Data input'!$I$1067:$I$1094,F213,'Data input'!$J$1067:$J$1094,G213,'Data input'!$K$1067:$K$1094,H213)</f>
        <v>2</v>
      </c>
      <c r="M213" s="439">
        <f t="shared" si="18"/>
        <v>3.0935519999999998E-3</v>
      </c>
      <c r="N213" s="330"/>
    </row>
    <row r="214" spans="5:14">
      <c r="E214" s="330"/>
      <c r="F214" s="207">
        <v>2024</v>
      </c>
      <c r="G214" s="147" t="s">
        <v>385</v>
      </c>
      <c r="H214" s="214" t="s">
        <v>244</v>
      </c>
      <c r="I214" s="207" cm="1">
        <f t="array" ref="I214">_xlfn.XLOOKUP(F214&amp;G214&amp;H214,'Data input'!$I$1035:$I$1062&amp;'Data input'!$J$1035:$J$1062&amp;'Data input'!$K$1035:$K$1062,'Data input'!$L$1035:$L$1062)</f>
        <v>0.50229999999999997</v>
      </c>
      <c r="J214" s="181">
        <f>_xlfn.XLOOKUP(G214,'Data input'!$I$1104:$I$1105,'Data input'!$J$1104:$J$1105)</f>
        <v>8.4000000000000003E-4</v>
      </c>
      <c r="K214" s="335">
        <f t="shared" si="16"/>
        <v>1.5470839999999998E-3</v>
      </c>
      <c r="L214" s="426">
        <f>SUMIFS('Data input'!$L$1067:$L$1094,'Data input'!$I$1067:$I$1094,F214,'Data input'!$J$1067:$J$1094,G214,'Data input'!$K$1067:$K$1094,H214)</f>
        <v>2.1</v>
      </c>
      <c r="M214" s="439">
        <f t="shared" si="18"/>
        <v>3.2488763999999996E-3</v>
      </c>
      <c r="N214" s="330"/>
    </row>
    <row r="215" spans="5:14">
      <c r="E215" s="330"/>
      <c r="F215" s="207">
        <v>2025</v>
      </c>
      <c r="G215" s="147" t="s">
        <v>385</v>
      </c>
      <c r="H215" s="214" t="s">
        <v>244</v>
      </c>
      <c r="I215" s="207" cm="1">
        <f t="array" ref="I215">_xlfn.XLOOKUP(F215&amp;G215&amp;H215,'Data input'!$I$1035:$I$1062&amp;'Data input'!$J$1035:$J$1062&amp;'Data input'!$K$1035:$K$1062,'Data input'!$L$1035:$L$1062)</f>
        <v>0.50239999999999996</v>
      </c>
      <c r="J215" s="181">
        <f>_xlfn.XLOOKUP(G215,'Data input'!$I$1104:$I$1105,'Data input'!$J$1104:$J$1105)</f>
        <v>8.4000000000000003E-4</v>
      </c>
      <c r="K215" s="335">
        <f t="shared" si="16"/>
        <v>1.5473919999999999E-3</v>
      </c>
      <c r="L215" s="426">
        <f>SUMIFS('Data input'!$L$1067:$L$1094,'Data input'!$I$1067:$I$1094,F215,'Data input'!$J$1067:$J$1094,G215,'Data input'!$K$1067:$K$1094,H215)</f>
        <v>2.2000000000000002</v>
      </c>
      <c r="M215" s="439">
        <f t="shared" si="18"/>
        <v>3.4042624E-3</v>
      </c>
      <c r="N215" s="330"/>
    </row>
    <row r="216" spans="5:14">
      <c r="E216" s="330"/>
      <c r="F216" s="207">
        <v>2026</v>
      </c>
      <c r="G216" s="147" t="s">
        <v>385</v>
      </c>
      <c r="H216" s="214" t="s">
        <v>244</v>
      </c>
      <c r="I216" s="207" cm="1">
        <f t="array" ref="I216">_xlfn.XLOOKUP(F216&amp;G216&amp;H216,'Data input'!$I$1035:$I$1062&amp;'Data input'!$J$1035:$J$1062&amp;'Data input'!$K$1035:$K$1062,'Data input'!$L$1035:$L$1062)</f>
        <v>0.50249999999999995</v>
      </c>
      <c r="J216" s="181">
        <f>_xlfn.XLOOKUP(G216,'Data input'!$I$1104:$I$1105,'Data input'!$J$1104:$J$1105)</f>
        <v>8.4000000000000003E-4</v>
      </c>
      <c r="K216" s="335">
        <f t="shared" si="16"/>
        <v>1.5476999999999997E-3</v>
      </c>
      <c r="L216" s="426">
        <f>SUMIFS('Data input'!$L$1067:$L$1094,'Data input'!$I$1067:$I$1094,F216,'Data input'!$J$1067:$J$1094,G216,'Data input'!$K$1067:$K$1094,H216)</f>
        <v>2.2999999999999998</v>
      </c>
      <c r="M216" s="439">
        <f t="shared" si="18"/>
        <v>3.5597099999999989E-3</v>
      </c>
      <c r="N216" s="330"/>
    </row>
    <row r="217" spans="5:14">
      <c r="E217" s="330"/>
      <c r="F217" s="207">
        <v>2020</v>
      </c>
      <c r="G217" s="147" t="s">
        <v>386</v>
      </c>
      <c r="H217" s="214" t="s">
        <v>243</v>
      </c>
      <c r="I217" s="207" cm="1">
        <f t="array" ref="I217">_xlfn.XLOOKUP(F217&amp;G217&amp;H217,'Data input'!$I$1035:$I$1062&amp;'Data input'!$J$1035:$J$1062&amp;'Data input'!$K$1035:$K$1062,'Data input'!$L$1035:$L$1062)</f>
        <v>0.41</v>
      </c>
      <c r="J217" s="181">
        <f>_xlfn.XLOOKUP(G217,'Data input'!$I$1104:$I$1105,'Data input'!$J$1104:$J$1105)</f>
        <v>7.5000000000000002E-4</v>
      </c>
      <c r="K217" s="335">
        <f t="shared" si="16"/>
        <v>1.1275E-3</v>
      </c>
      <c r="L217" s="426">
        <f>SUMIFS('Data input'!$L$1067:$L$1094,'Data input'!$I$1067:$I$1094,F217,'Data input'!$J$1067:$J$1094,G217,'Data input'!$K$1067:$K$1094,H217)</f>
        <v>2.4</v>
      </c>
      <c r="M217" s="439">
        <f t="shared" si="18"/>
        <v>2.7060000000000001E-3</v>
      </c>
      <c r="N217" s="330"/>
    </row>
    <row r="218" spans="5:14">
      <c r="E218" s="330"/>
      <c r="F218" s="207">
        <v>2021</v>
      </c>
      <c r="G218" s="147" t="s">
        <v>386</v>
      </c>
      <c r="H218" s="214" t="s">
        <v>243</v>
      </c>
      <c r="I218" s="207" cm="1">
        <f t="array" ref="I218">_xlfn.XLOOKUP(F218&amp;G218&amp;H218,'Data input'!$I$1035:$I$1062&amp;'Data input'!$J$1035:$J$1062&amp;'Data input'!$K$1035:$K$1062,'Data input'!$L$1035:$L$1062)</f>
        <v>0.41099999999999998</v>
      </c>
      <c r="J218" s="181">
        <f>_xlfn.XLOOKUP(G218,'Data input'!$I$1104:$I$1105,'Data input'!$J$1104:$J$1105)</f>
        <v>7.5000000000000002E-4</v>
      </c>
      <c r="K218" s="335">
        <f t="shared" si="16"/>
        <v>1.13025E-3</v>
      </c>
      <c r="L218" s="426">
        <f>SUMIFS('Data input'!$L$1067:$L$1094,'Data input'!$I$1067:$I$1094,F218,'Data input'!$J$1067:$J$1094,G218,'Data input'!$K$1067:$K$1094,H218)</f>
        <v>2.5</v>
      </c>
      <c r="M218" s="439">
        <f t="shared" si="18"/>
        <v>2.825625E-3</v>
      </c>
      <c r="N218" s="330"/>
    </row>
    <row r="219" spans="5:14">
      <c r="E219" s="330"/>
      <c r="F219" s="207">
        <v>2022</v>
      </c>
      <c r="G219" s="147" t="s">
        <v>386</v>
      </c>
      <c r="H219" s="214" t="s">
        <v>243</v>
      </c>
      <c r="I219" s="207" cm="1">
        <f t="array" ref="I219">_xlfn.XLOOKUP(F219&amp;G219&amp;H219,'Data input'!$I$1035:$I$1062&amp;'Data input'!$J$1035:$J$1062&amp;'Data input'!$K$1035:$K$1062,'Data input'!$L$1035:$L$1062)</f>
        <v>0.41199999999999998</v>
      </c>
      <c r="J219" s="181">
        <f>_xlfn.XLOOKUP(G219,'Data input'!$I$1104:$I$1105,'Data input'!$J$1104:$J$1105)</f>
        <v>7.5000000000000002E-4</v>
      </c>
      <c r="K219" s="335">
        <f t="shared" si="16"/>
        <v>1.1329999999999999E-3</v>
      </c>
      <c r="L219" s="426">
        <f>SUMIFS('Data input'!$L$1067:$L$1094,'Data input'!$I$1067:$I$1094,F219,'Data input'!$J$1067:$J$1094,G219,'Data input'!$K$1067:$K$1094,H219)</f>
        <v>2.6</v>
      </c>
      <c r="M219" s="439">
        <f t="shared" si="18"/>
        <v>2.9457999999999997E-3</v>
      </c>
      <c r="N219" s="330"/>
    </row>
    <row r="220" spans="5:14">
      <c r="E220" s="330"/>
      <c r="F220" s="207">
        <v>2023</v>
      </c>
      <c r="G220" s="147" t="s">
        <v>386</v>
      </c>
      <c r="H220" s="214" t="s">
        <v>243</v>
      </c>
      <c r="I220" s="207" cm="1">
        <f t="array" ref="I220">_xlfn.XLOOKUP(F220&amp;G220&amp;H220,'Data input'!$I$1035:$I$1062&amp;'Data input'!$J$1035:$J$1062&amp;'Data input'!$K$1035:$K$1062,'Data input'!$L$1035:$L$1062)</f>
        <v>0.41299999999999998</v>
      </c>
      <c r="J220" s="181">
        <f>_xlfn.XLOOKUP(G220,'Data input'!$I$1104:$I$1105,'Data input'!$J$1104:$J$1105)</f>
        <v>7.5000000000000002E-4</v>
      </c>
      <c r="K220" s="335">
        <f t="shared" si="16"/>
        <v>1.1357499999999998E-3</v>
      </c>
      <c r="L220" s="426">
        <f>SUMIFS('Data input'!$L$1067:$L$1094,'Data input'!$I$1067:$I$1094,F220,'Data input'!$J$1067:$J$1094,G220,'Data input'!$K$1067:$K$1094,H220)</f>
        <v>2.7</v>
      </c>
      <c r="M220" s="439">
        <f t="shared" si="18"/>
        <v>3.0665249999999996E-3</v>
      </c>
      <c r="N220" s="330"/>
    </row>
    <row r="221" spans="5:14">
      <c r="E221" s="330"/>
      <c r="F221" s="207">
        <v>2024</v>
      </c>
      <c r="G221" s="147" t="s">
        <v>386</v>
      </c>
      <c r="H221" s="214" t="s">
        <v>243</v>
      </c>
      <c r="I221" s="207" cm="1">
        <f t="array" ref="I221">_xlfn.XLOOKUP(F221&amp;G221&amp;H221,'Data input'!$I$1035:$I$1062&amp;'Data input'!$J$1035:$J$1062&amp;'Data input'!$K$1035:$K$1062,'Data input'!$L$1035:$L$1062)</f>
        <v>0.50219999999999998</v>
      </c>
      <c r="J221" s="181">
        <f>_xlfn.XLOOKUP(G221,'Data input'!$I$1104:$I$1105,'Data input'!$J$1104:$J$1105)</f>
        <v>7.5000000000000002E-4</v>
      </c>
      <c r="K221" s="335">
        <f t="shared" si="16"/>
        <v>1.3810499999999998E-3</v>
      </c>
      <c r="L221" s="426">
        <f>SUMIFS('Data input'!$L$1067:$L$1094,'Data input'!$I$1067:$I$1094,F221,'Data input'!$J$1067:$J$1094,G221,'Data input'!$K$1067:$K$1094,H221)</f>
        <v>2.8</v>
      </c>
      <c r="M221" s="439">
        <f t="shared" si="18"/>
        <v>3.8669399999999993E-3</v>
      </c>
      <c r="N221" s="330"/>
    </row>
    <row r="222" spans="5:14">
      <c r="E222" s="330"/>
      <c r="F222" s="207">
        <v>2025</v>
      </c>
      <c r="G222" s="147" t="s">
        <v>386</v>
      </c>
      <c r="H222" s="214" t="s">
        <v>243</v>
      </c>
      <c r="I222" s="207" cm="1">
        <f t="array" ref="I222">_xlfn.XLOOKUP(F222&amp;G222&amp;H222,'Data input'!$I$1035:$I$1062&amp;'Data input'!$J$1035:$J$1062&amp;'Data input'!$K$1035:$K$1062,'Data input'!$L$1035:$L$1062)</f>
        <v>0.50229999999999997</v>
      </c>
      <c r="J222" s="181">
        <f>_xlfn.XLOOKUP(G222,'Data input'!$I$1104:$I$1105,'Data input'!$J$1104:$J$1105)</f>
        <v>7.5000000000000002E-4</v>
      </c>
      <c r="K222" s="335">
        <f t="shared" si="16"/>
        <v>1.3813249999999999E-3</v>
      </c>
      <c r="L222" s="426">
        <f>SUMIFS('Data input'!$L$1067:$L$1094,'Data input'!$I$1067:$I$1094,F222,'Data input'!$J$1067:$J$1094,G222,'Data input'!$K$1067:$K$1094,H222)</f>
        <v>2.9</v>
      </c>
      <c r="M222" s="439">
        <f t="shared" si="18"/>
        <v>4.0058424999999996E-3</v>
      </c>
      <c r="N222" s="330"/>
    </row>
    <row r="223" spans="5:14">
      <c r="E223" s="330"/>
      <c r="F223" s="207">
        <v>2026</v>
      </c>
      <c r="G223" s="147" t="s">
        <v>386</v>
      </c>
      <c r="H223" s="214" t="s">
        <v>243</v>
      </c>
      <c r="I223" s="207" cm="1">
        <f t="array" ref="I223">_xlfn.XLOOKUP(F223&amp;G223&amp;H223,'Data input'!$I$1035:$I$1062&amp;'Data input'!$J$1035:$J$1062&amp;'Data input'!$K$1035:$K$1062,'Data input'!$L$1035:$L$1062)</f>
        <v>0.50239999999999996</v>
      </c>
      <c r="J223" s="181">
        <f>_xlfn.XLOOKUP(G223,'Data input'!$I$1104:$I$1105,'Data input'!$J$1104:$J$1105)</f>
        <v>7.5000000000000002E-4</v>
      </c>
      <c r="K223" s="335">
        <f t="shared" si="16"/>
        <v>1.3816E-3</v>
      </c>
      <c r="L223" s="426">
        <f>SUMIFS('Data input'!$L$1067:$L$1094,'Data input'!$I$1067:$I$1094,F223,'Data input'!$J$1067:$J$1094,G223,'Data input'!$K$1067:$K$1094,H223)</f>
        <v>3</v>
      </c>
      <c r="M223" s="439">
        <f t="shared" si="18"/>
        <v>4.1447999999999997E-3</v>
      </c>
      <c r="N223" s="330"/>
    </row>
    <row r="224" spans="5:14">
      <c r="E224" s="330"/>
      <c r="F224" s="207">
        <v>2020</v>
      </c>
      <c r="G224" s="147" t="s">
        <v>386</v>
      </c>
      <c r="H224" s="214" t="s">
        <v>244</v>
      </c>
      <c r="I224" s="207" cm="1">
        <f t="array" ref="I224">_xlfn.XLOOKUP(F224&amp;G224&amp;H224,'Data input'!$I$1035:$I$1062&amp;'Data input'!$J$1035:$J$1062&amp;'Data input'!$K$1035:$K$1062,'Data input'!$L$1035:$L$1062)</f>
        <v>0.50249999999999995</v>
      </c>
      <c r="J224" s="181">
        <f>_xlfn.XLOOKUP(G224,'Data input'!$I$1104:$I$1105,'Data input'!$J$1104:$J$1105)</f>
        <v>7.5000000000000002E-4</v>
      </c>
      <c r="K224" s="335">
        <f t="shared" si="16"/>
        <v>1.3818749999999999E-3</v>
      </c>
      <c r="L224" s="426">
        <f>SUMIFS('Data input'!$L$1067:$L$1094,'Data input'!$I$1067:$I$1094,F224,'Data input'!$J$1067:$J$1094,G224,'Data input'!$K$1067:$K$1094,H224)</f>
        <v>3.1</v>
      </c>
      <c r="M224" s="439">
        <f t="shared" si="18"/>
        <v>4.2838124999999994E-3</v>
      </c>
      <c r="N224" s="330"/>
    </row>
    <row r="225" spans="5:14">
      <c r="E225" s="330"/>
      <c r="F225" s="207">
        <v>2021</v>
      </c>
      <c r="G225" s="147" t="s">
        <v>386</v>
      </c>
      <c r="H225" s="214" t="s">
        <v>244</v>
      </c>
      <c r="I225" s="207" cm="1">
        <f t="array" ref="I225">_xlfn.XLOOKUP(F225&amp;G225&amp;H225,'Data input'!$I$1035:$I$1062&amp;'Data input'!$J$1035:$J$1062&amp;'Data input'!$K$1035:$K$1062,'Data input'!$L$1035:$L$1062)</f>
        <v>0.41</v>
      </c>
      <c r="J225" s="181">
        <f>_xlfn.XLOOKUP(G225,'Data input'!$I$1104:$I$1105,'Data input'!$J$1104:$J$1105)</f>
        <v>7.5000000000000002E-4</v>
      </c>
      <c r="K225" s="335">
        <f t="shared" si="16"/>
        <v>1.1275E-3</v>
      </c>
      <c r="L225" s="426">
        <f>SUMIFS('Data input'!$L$1067:$L$1094,'Data input'!$I$1067:$I$1094,F225,'Data input'!$J$1067:$J$1094,G225,'Data input'!$K$1067:$K$1094,H225)</f>
        <v>3.2</v>
      </c>
      <c r="M225" s="439">
        <f t="shared" si="18"/>
        <v>3.6080000000000001E-3</v>
      </c>
      <c r="N225" s="330"/>
    </row>
    <row r="226" spans="5:14">
      <c r="E226" s="330"/>
      <c r="F226" s="207">
        <v>2022</v>
      </c>
      <c r="G226" s="147" t="s">
        <v>386</v>
      </c>
      <c r="H226" s="214" t="s">
        <v>244</v>
      </c>
      <c r="I226" s="207" cm="1">
        <f t="array" ref="I226">_xlfn.XLOOKUP(F226&amp;G226&amp;H226,'Data input'!$I$1035:$I$1062&amp;'Data input'!$J$1035:$J$1062&amp;'Data input'!$K$1035:$K$1062,'Data input'!$L$1035:$L$1062)</f>
        <v>0.41099999999999998</v>
      </c>
      <c r="J226" s="181">
        <f>_xlfn.XLOOKUP(G226,'Data input'!$I$1104:$I$1105,'Data input'!$J$1104:$J$1105)</f>
        <v>7.5000000000000002E-4</v>
      </c>
      <c r="K226" s="335">
        <f t="shared" si="16"/>
        <v>1.13025E-3</v>
      </c>
      <c r="L226" s="426">
        <f>SUMIFS('Data input'!$L$1067:$L$1094,'Data input'!$I$1067:$I$1094,F226,'Data input'!$J$1067:$J$1094,G226,'Data input'!$K$1067:$K$1094,H226)</f>
        <v>3.3</v>
      </c>
      <c r="M226" s="439">
        <f t="shared" si="18"/>
        <v>3.7298249999999995E-3</v>
      </c>
      <c r="N226" s="330"/>
    </row>
    <row r="227" spans="5:14">
      <c r="E227" s="330"/>
      <c r="F227" s="207">
        <v>2023</v>
      </c>
      <c r="G227" s="147" t="s">
        <v>386</v>
      </c>
      <c r="H227" s="214" t="s">
        <v>244</v>
      </c>
      <c r="I227" s="207" cm="1">
        <f t="array" ref="I227">_xlfn.XLOOKUP(F227&amp;G227&amp;H227,'Data input'!$I$1035:$I$1062&amp;'Data input'!$J$1035:$J$1062&amp;'Data input'!$K$1035:$K$1062,'Data input'!$L$1035:$L$1062)</f>
        <v>0.41199999999999998</v>
      </c>
      <c r="J227" s="181">
        <f>_xlfn.XLOOKUP(G227,'Data input'!$I$1104:$I$1105,'Data input'!$J$1104:$J$1105)</f>
        <v>7.5000000000000002E-4</v>
      </c>
      <c r="K227" s="335">
        <f t="shared" si="16"/>
        <v>1.1329999999999999E-3</v>
      </c>
      <c r="L227" s="426">
        <f>SUMIFS('Data input'!$L$1067:$L$1094,'Data input'!$I$1067:$I$1094,F227,'Data input'!$J$1067:$J$1094,G227,'Data input'!$K$1067:$K$1094,H227)</f>
        <v>3.4</v>
      </c>
      <c r="M227" s="439">
        <f t="shared" si="18"/>
        <v>3.8521999999999996E-3</v>
      </c>
      <c r="N227" s="330"/>
    </row>
    <row r="228" spans="5:14">
      <c r="E228" s="330"/>
      <c r="F228" s="207">
        <v>2024</v>
      </c>
      <c r="G228" s="147" t="s">
        <v>386</v>
      </c>
      <c r="H228" s="214" t="s">
        <v>244</v>
      </c>
      <c r="I228" s="207" cm="1">
        <f t="array" ref="I228">_xlfn.XLOOKUP(F228&amp;G228&amp;H228,'Data input'!$I$1035:$I$1062&amp;'Data input'!$J$1035:$J$1062&amp;'Data input'!$K$1035:$K$1062,'Data input'!$L$1035:$L$1062)</f>
        <v>0.41299999999999998</v>
      </c>
      <c r="J228" s="181">
        <f>_xlfn.XLOOKUP(G228,'Data input'!$I$1104:$I$1105,'Data input'!$J$1104:$J$1105)</f>
        <v>7.5000000000000002E-4</v>
      </c>
      <c r="K228" s="335">
        <f t="shared" si="16"/>
        <v>1.1357499999999998E-3</v>
      </c>
      <c r="L228" s="426">
        <f>SUMIFS('Data input'!$L$1067:$L$1094,'Data input'!$I$1067:$I$1094,F228,'Data input'!$J$1067:$J$1094,G228,'Data input'!$K$1067:$K$1094,H228)</f>
        <v>3.5</v>
      </c>
      <c r="M228" s="439">
        <f t="shared" si="18"/>
        <v>3.9751249999999995E-3</v>
      </c>
      <c r="N228" s="330"/>
    </row>
    <row r="229" spans="5:14">
      <c r="E229" s="330"/>
      <c r="F229" s="207">
        <v>2025</v>
      </c>
      <c r="G229" s="147" t="s">
        <v>386</v>
      </c>
      <c r="H229" s="214" t="s">
        <v>244</v>
      </c>
      <c r="I229" s="207" cm="1">
        <f t="array" ref="I229">_xlfn.XLOOKUP(F229&amp;G229&amp;H229,'Data input'!$I$1035:$I$1062&amp;'Data input'!$J$1035:$J$1062&amp;'Data input'!$K$1035:$K$1062,'Data input'!$L$1035:$L$1062)</f>
        <v>0.42199999999999999</v>
      </c>
      <c r="J229" s="181">
        <f>_xlfn.XLOOKUP(G229,'Data input'!$I$1104:$I$1105,'Data input'!$J$1104:$J$1105)</f>
        <v>7.5000000000000002E-4</v>
      </c>
      <c r="K229" s="335">
        <f t="shared" si="16"/>
        <v>1.1604999999999999E-3</v>
      </c>
      <c r="L229" s="426">
        <f>SUMIFS('Data input'!$L$1067:$L$1094,'Data input'!$I$1067:$I$1094,F229,'Data input'!$J$1067:$J$1094,G229,'Data input'!$K$1067:$K$1094,H229)</f>
        <v>3.6</v>
      </c>
      <c r="M229" s="439">
        <f t="shared" si="18"/>
        <v>4.1777999999999997E-3</v>
      </c>
      <c r="N229" s="330"/>
    </row>
    <row r="230" spans="5:14">
      <c r="E230" s="330"/>
      <c r="F230" s="208">
        <v>2026</v>
      </c>
      <c r="G230" s="211" t="s">
        <v>386</v>
      </c>
      <c r="H230" s="215" t="s">
        <v>244</v>
      </c>
      <c r="I230" s="208" cm="1">
        <f t="array" ref="I230">_xlfn.XLOOKUP(F230&amp;G230&amp;H230,'Data input'!$I$1035:$I$1062&amp;'Data input'!$J$1035:$J$1062&amp;'Data input'!$K$1035:$K$1062,'Data input'!$L$1035:$L$1062)</f>
        <v>0.42299999999999999</v>
      </c>
      <c r="J230" s="201">
        <f>_xlfn.XLOOKUP(G230,'Data input'!$I$1104:$I$1105,'Data input'!$J$1104:$J$1105)</f>
        <v>7.5000000000000002E-4</v>
      </c>
      <c r="K230" s="440">
        <f t="shared" si="16"/>
        <v>1.16325E-3</v>
      </c>
      <c r="L230" s="432">
        <f>SUMIFS('Data input'!$L$1067:$L$1094,'Data input'!$I$1067:$I$1094,F230,'Data input'!$J$1067:$J$1094,G230,'Data input'!$K$1067:$K$1094,H230)</f>
        <v>3.7</v>
      </c>
      <c r="M230" s="441">
        <f t="shared" si="18"/>
        <v>4.3040250000000004E-3</v>
      </c>
      <c r="N230" s="330"/>
    </row>
    <row r="231" spans="5:14">
      <c r="F231" s="330"/>
      <c r="G231" s="330"/>
      <c r="H231" s="330"/>
      <c r="I231" s="330"/>
      <c r="J231" s="330"/>
      <c r="K231" s="330"/>
      <c r="L231" s="330"/>
      <c r="M231" s="338">
        <f>SUM(M203:M230)</f>
        <v>8.8590642799999994E-2</v>
      </c>
    </row>
    <row r="233" spans="5:14">
      <c r="F233" s="381" t="s">
        <v>388</v>
      </c>
    </row>
    <row r="234" spans="5:14">
      <c r="F234" s="323"/>
      <c r="G234" s="324"/>
      <c r="H234" s="325"/>
      <c r="I234" s="326"/>
      <c r="J234" s="324"/>
      <c r="K234" s="378" t="s">
        <v>84</v>
      </c>
      <c r="L234" s="324"/>
      <c r="M234" s="328" t="s">
        <v>84</v>
      </c>
    </row>
    <row r="235" spans="5:14">
      <c r="F235" s="329"/>
      <c r="H235" s="314"/>
      <c r="I235" s="315"/>
      <c r="K235" s="374" t="s">
        <v>134</v>
      </c>
      <c r="M235" s="332" t="s">
        <v>12</v>
      </c>
    </row>
    <row r="236" spans="5:14" ht="17">
      <c r="F236" s="207" t="s">
        <v>335</v>
      </c>
      <c r="G236" s="147" t="s">
        <v>364</v>
      </c>
      <c r="H236" s="229" t="s">
        <v>242</v>
      </c>
      <c r="I236" s="152" t="s">
        <v>375</v>
      </c>
      <c r="J236" s="147" t="s">
        <v>376</v>
      </c>
      <c r="K236" s="375" t="s">
        <v>123</v>
      </c>
      <c r="L236" s="147" t="s">
        <v>120</v>
      </c>
      <c r="M236" s="383" t="s">
        <v>384</v>
      </c>
    </row>
    <row r="237" spans="5:14" ht="17">
      <c r="F237" s="207"/>
      <c r="G237" s="157"/>
      <c r="H237" s="153"/>
      <c r="I237" s="152" t="s">
        <v>389</v>
      </c>
      <c r="J237" s="157" t="s">
        <v>378</v>
      </c>
      <c r="K237" s="333" t="s">
        <v>124</v>
      </c>
      <c r="L237" s="157" t="s">
        <v>390</v>
      </c>
      <c r="M237" s="334" t="s">
        <v>368</v>
      </c>
    </row>
    <row r="238" spans="5:14">
      <c r="E238" s="330"/>
      <c r="F238" s="205">
        <v>2020</v>
      </c>
      <c r="G238" s="226" t="s">
        <v>385</v>
      </c>
      <c r="H238" s="225" t="s">
        <v>243</v>
      </c>
      <c r="I238" s="447" cm="1">
        <f t="array" ref="I238">_xlfn.XLOOKUP(F238&amp;G238&amp;H238,'Data input'!$I$1115:$I$1142&amp;'Data input'!$J$1115:$J$1142&amp;'Data input'!$K$1115:$K$1142,'Data input'!$L$1115:$L$1142)</f>
        <v>43.3</v>
      </c>
      <c r="J238" s="445" cm="1">
        <f t="array" ref="J238">_xlfn.XLOOKUP(F238&amp;G238&amp;H238,'Data input'!$I$1148:$I$1175&amp;'Data input'!$J$1148:$J$1175&amp;'Data input'!$K$1148:$K$1175,'Data input'!$L$1148:$L$1175)</f>
        <v>2.6</v>
      </c>
      <c r="K238" s="437">
        <f t="shared" ref="K238" si="19">I238*J238</f>
        <v>112.58</v>
      </c>
      <c r="L238" s="428">
        <f>SUMIFS('Data input'!$L$1067:$L$1094,'Data input'!$I$1067:$I$1094,F238,'Data input'!$J$1067:$J$1094,G238,'Data input'!$K$1067:$K$1094,H238)</f>
        <v>3</v>
      </c>
      <c r="M238" s="442">
        <f t="shared" ref="M238" si="20">K238*L238</f>
        <v>337.74</v>
      </c>
      <c r="N238" s="330"/>
    </row>
    <row r="239" spans="5:14">
      <c r="E239" s="330"/>
      <c r="F239" s="207">
        <v>2021</v>
      </c>
      <c r="G239" s="147" t="s">
        <v>385</v>
      </c>
      <c r="H239" s="214" t="s">
        <v>243</v>
      </c>
      <c r="I239" s="448" cm="1">
        <f t="array" ref="I239">_xlfn.XLOOKUP(F239&amp;G239&amp;H239,'Data input'!$I$1115:$I$1142&amp;'Data input'!$J$1115:$J$1142&amp;'Data input'!$K$1115:$K$1142,'Data input'!$L$1115:$L$1142)</f>
        <v>43.31</v>
      </c>
      <c r="J239" s="446" cm="1">
        <f t="array" ref="J239">_xlfn.XLOOKUP(F239&amp;G239&amp;H239,'Data input'!$I$1148:$I$1175&amp;'Data input'!$J$1148:$J$1175&amp;'Data input'!$K$1148:$K$1175,'Data input'!$L$1148:$L$1175)</f>
        <v>2.61</v>
      </c>
      <c r="K239" s="335">
        <f t="shared" ref="K239:K265" si="21">I239*J239</f>
        <v>113.0391</v>
      </c>
      <c r="L239" s="426">
        <f>SUMIFS('Data input'!$L$1067:$L$1094,'Data input'!$I$1067:$I$1094,F239,'Data input'!$J$1067:$J$1094,G239,'Data input'!$K$1067:$K$1094,H239)</f>
        <v>1.1000000000000001</v>
      </c>
      <c r="M239" s="443">
        <f t="shared" ref="M239:M265" si="22">K239*L239</f>
        <v>124.34301000000002</v>
      </c>
      <c r="N239" s="330"/>
    </row>
    <row r="240" spans="5:14">
      <c r="E240" s="330"/>
      <c r="F240" s="207">
        <v>2022</v>
      </c>
      <c r="G240" s="147" t="s">
        <v>385</v>
      </c>
      <c r="H240" s="214" t="s">
        <v>243</v>
      </c>
      <c r="I240" s="448" cm="1">
        <f t="array" ref="I240">_xlfn.XLOOKUP(F240&amp;G240&amp;H240,'Data input'!$I$1115:$I$1142&amp;'Data input'!$J$1115:$J$1142&amp;'Data input'!$K$1115:$K$1142,'Data input'!$L$1115:$L$1142)</f>
        <v>43.29</v>
      </c>
      <c r="J240" s="446" cm="1">
        <f t="array" ref="J240">_xlfn.XLOOKUP(F240&amp;G240&amp;H240,'Data input'!$I$1148:$I$1175&amp;'Data input'!$J$1148:$J$1175&amp;'Data input'!$K$1148:$K$1175,'Data input'!$L$1148:$L$1175)</f>
        <v>2.62</v>
      </c>
      <c r="K240" s="335">
        <f t="shared" si="21"/>
        <v>113.41980000000001</v>
      </c>
      <c r="L240" s="426">
        <f>SUMIFS('Data input'!$L$1067:$L$1094,'Data input'!$I$1067:$I$1094,F240,'Data input'!$J$1067:$J$1094,G240,'Data input'!$K$1067:$K$1094,H240)</f>
        <v>1.2</v>
      </c>
      <c r="M240" s="443">
        <f t="shared" si="22"/>
        <v>136.10375999999999</v>
      </c>
      <c r="N240" s="330"/>
    </row>
    <row r="241" spans="5:14">
      <c r="E241" s="330"/>
      <c r="F241" s="207">
        <v>2023</v>
      </c>
      <c r="G241" s="147" t="s">
        <v>385</v>
      </c>
      <c r="H241" s="214" t="s">
        <v>243</v>
      </c>
      <c r="I241" s="448" cm="1">
        <f t="array" ref="I241">_xlfn.XLOOKUP(F241&amp;G241&amp;H241,'Data input'!$I$1115:$I$1142&amp;'Data input'!$J$1115:$J$1142&amp;'Data input'!$K$1115:$K$1142,'Data input'!$L$1115:$L$1142)</f>
        <v>43.29</v>
      </c>
      <c r="J241" s="446" cm="1">
        <f t="array" ref="J241">_xlfn.XLOOKUP(F241&amp;G241&amp;H241,'Data input'!$I$1148:$I$1175&amp;'Data input'!$J$1148:$J$1175&amp;'Data input'!$K$1148:$K$1175,'Data input'!$L$1148:$L$1175)</f>
        <v>2.63</v>
      </c>
      <c r="K241" s="335">
        <f t="shared" si="21"/>
        <v>113.8527</v>
      </c>
      <c r="L241" s="426">
        <f>SUMIFS('Data input'!$L$1067:$L$1094,'Data input'!$I$1067:$I$1094,F241,'Data input'!$J$1067:$J$1094,G241,'Data input'!$K$1067:$K$1094,H241)</f>
        <v>1.3</v>
      </c>
      <c r="M241" s="443">
        <f t="shared" si="22"/>
        <v>148.00851</v>
      </c>
      <c r="N241" s="330"/>
    </row>
    <row r="242" spans="5:14">
      <c r="E242" s="330"/>
      <c r="F242" s="207">
        <v>2024</v>
      </c>
      <c r="G242" s="147" t="s">
        <v>385</v>
      </c>
      <c r="H242" s="214" t="s">
        <v>243</v>
      </c>
      <c r="I242" s="448" cm="1">
        <f t="array" ref="I242">_xlfn.XLOOKUP(F242&amp;G242&amp;H242,'Data input'!$I$1115:$I$1142&amp;'Data input'!$J$1115:$J$1142&amp;'Data input'!$K$1115:$K$1142,'Data input'!$L$1115:$L$1142)</f>
        <v>43.284999999999997</v>
      </c>
      <c r="J242" s="446" cm="1">
        <f t="array" ref="J242">_xlfn.XLOOKUP(F242&amp;G242&amp;H242,'Data input'!$I$1148:$I$1175&amp;'Data input'!$J$1148:$J$1175&amp;'Data input'!$K$1148:$K$1175,'Data input'!$L$1148:$L$1175)</f>
        <v>2.63</v>
      </c>
      <c r="K242" s="335">
        <f t="shared" si="21"/>
        <v>113.83954999999999</v>
      </c>
      <c r="L242" s="426">
        <f>SUMIFS('Data input'!$L$1067:$L$1094,'Data input'!$I$1067:$I$1094,F242,'Data input'!$J$1067:$J$1094,G242,'Data input'!$K$1067:$K$1094,H242)</f>
        <v>1.4</v>
      </c>
      <c r="M242" s="443">
        <f t="shared" si="22"/>
        <v>159.37536999999998</v>
      </c>
      <c r="N242" s="330"/>
    </row>
    <row r="243" spans="5:14">
      <c r="E243" s="330"/>
      <c r="F243" s="207">
        <v>2025</v>
      </c>
      <c r="G243" s="147" t="s">
        <v>385</v>
      </c>
      <c r="H243" s="214" t="s">
        <v>243</v>
      </c>
      <c r="I243" s="448" cm="1">
        <f t="array" ref="I243">_xlfn.XLOOKUP(F243&amp;G243&amp;H243,'Data input'!$I$1115:$I$1142&amp;'Data input'!$J$1115:$J$1142&amp;'Data input'!$K$1115:$K$1142,'Data input'!$L$1115:$L$1142)</f>
        <v>43.28</v>
      </c>
      <c r="J243" s="446" cm="1">
        <f t="array" ref="J243">_xlfn.XLOOKUP(F243&amp;G243&amp;H243,'Data input'!$I$1148:$I$1175&amp;'Data input'!$J$1148:$J$1175&amp;'Data input'!$K$1148:$K$1175,'Data input'!$L$1148:$L$1175)</f>
        <v>2.65</v>
      </c>
      <c r="K243" s="335">
        <f t="shared" si="21"/>
        <v>114.69199999999999</v>
      </c>
      <c r="L243" s="426">
        <f>SUMIFS('Data input'!$L$1067:$L$1094,'Data input'!$I$1067:$I$1094,F243,'Data input'!$J$1067:$J$1094,G243,'Data input'!$K$1067:$K$1094,H243)</f>
        <v>1.5</v>
      </c>
      <c r="M243" s="443">
        <f t="shared" si="22"/>
        <v>172.03799999999998</v>
      </c>
      <c r="N243" s="330"/>
    </row>
    <row r="244" spans="5:14">
      <c r="E244" s="330"/>
      <c r="F244" s="207">
        <v>2026</v>
      </c>
      <c r="G244" s="147" t="s">
        <v>385</v>
      </c>
      <c r="H244" s="214" t="s">
        <v>243</v>
      </c>
      <c r="I244" s="448" cm="1">
        <f t="array" ref="I244">_xlfn.XLOOKUP(F244&amp;G244&amp;H244,'Data input'!$I$1115:$I$1142&amp;'Data input'!$J$1115:$J$1142&amp;'Data input'!$K$1115:$K$1142,'Data input'!$L$1115:$L$1142)</f>
        <v>43.274999999999999</v>
      </c>
      <c r="J244" s="446" cm="1">
        <f t="array" ref="J244">_xlfn.XLOOKUP(F244&amp;G244&amp;H244,'Data input'!$I$1148:$I$1175&amp;'Data input'!$J$1148:$J$1175&amp;'Data input'!$K$1148:$K$1175,'Data input'!$L$1148:$L$1175)</f>
        <v>2.67</v>
      </c>
      <c r="K244" s="335">
        <f t="shared" si="21"/>
        <v>115.54424999999999</v>
      </c>
      <c r="L244" s="426">
        <f>SUMIFS('Data input'!$L$1067:$L$1094,'Data input'!$I$1067:$I$1094,F244,'Data input'!$J$1067:$J$1094,G244,'Data input'!$K$1067:$K$1094,H244)</f>
        <v>1.6</v>
      </c>
      <c r="M244" s="443">
        <f t="shared" si="22"/>
        <v>184.8708</v>
      </c>
      <c r="N244" s="330"/>
    </row>
    <row r="245" spans="5:14">
      <c r="E245" s="330"/>
      <c r="F245" s="207">
        <v>2020</v>
      </c>
      <c r="G245" s="147" t="s">
        <v>385</v>
      </c>
      <c r="H245" s="214" t="s">
        <v>244</v>
      </c>
      <c r="I245" s="448" cm="1">
        <f t="array" ref="I245">_xlfn.XLOOKUP(F245&amp;G245&amp;H245,'Data input'!$I$1115:$I$1142&amp;'Data input'!$J$1115:$J$1142&amp;'Data input'!$K$1115:$K$1142,'Data input'!$L$1115:$L$1142)</f>
        <v>44.8</v>
      </c>
      <c r="J245" s="446" cm="1">
        <f t="array" ref="J245">_xlfn.XLOOKUP(F245&amp;G245&amp;H245,'Data input'!$I$1148:$I$1175&amp;'Data input'!$J$1148:$J$1175&amp;'Data input'!$K$1148:$K$1175,'Data input'!$L$1148:$L$1175)</f>
        <v>2.7</v>
      </c>
      <c r="K245" s="335">
        <f t="shared" si="21"/>
        <v>120.96</v>
      </c>
      <c r="L245" s="426">
        <f>SUMIFS('Data input'!$L$1067:$L$1094,'Data input'!$I$1067:$I$1094,F245,'Data input'!$J$1067:$J$1094,G245,'Data input'!$K$1067:$K$1094,H245)</f>
        <v>1.7</v>
      </c>
      <c r="M245" s="443">
        <f t="shared" si="22"/>
        <v>205.63199999999998</v>
      </c>
      <c r="N245" s="330"/>
    </row>
    <row r="246" spans="5:14">
      <c r="E246" s="330"/>
      <c r="F246" s="207">
        <v>2021</v>
      </c>
      <c r="G246" s="147" t="s">
        <v>385</v>
      </c>
      <c r="H246" s="214" t="s">
        <v>244</v>
      </c>
      <c r="I246" s="448" cm="1">
        <f t="array" ref="I246">_xlfn.XLOOKUP(F246&amp;G246&amp;H246,'Data input'!$I$1115:$I$1142&amp;'Data input'!$J$1115:$J$1142&amp;'Data input'!$K$1115:$K$1142,'Data input'!$L$1115:$L$1142)</f>
        <v>44.81</v>
      </c>
      <c r="J246" s="446" cm="1">
        <f t="array" ref="J246">_xlfn.XLOOKUP(F246&amp;G246&amp;H246,'Data input'!$I$1148:$I$1175&amp;'Data input'!$J$1148:$J$1175&amp;'Data input'!$K$1148:$K$1175,'Data input'!$L$1148:$L$1175)</f>
        <v>3.2</v>
      </c>
      <c r="K246" s="335">
        <f t="shared" si="21"/>
        <v>143.39200000000002</v>
      </c>
      <c r="L246" s="426">
        <f>SUMIFS('Data input'!$L$1067:$L$1094,'Data input'!$I$1067:$I$1094,F246,'Data input'!$J$1067:$J$1094,G246,'Data input'!$K$1067:$K$1094,H246)</f>
        <v>1.8</v>
      </c>
      <c r="M246" s="443">
        <f t="shared" si="22"/>
        <v>258.10560000000004</v>
      </c>
      <c r="N246" s="330"/>
    </row>
    <row r="247" spans="5:14">
      <c r="E247" s="330"/>
      <c r="F247" s="207">
        <v>2022</v>
      </c>
      <c r="G247" s="147" t="s">
        <v>385</v>
      </c>
      <c r="H247" s="214" t="s">
        <v>244</v>
      </c>
      <c r="I247" s="448" cm="1">
        <f t="array" ref="I247">_xlfn.XLOOKUP(F247&amp;G247&amp;H247,'Data input'!$I$1115:$I$1142&amp;'Data input'!$J$1115:$J$1142&amp;'Data input'!$K$1115:$K$1142,'Data input'!$L$1115:$L$1142)</f>
        <v>44.79</v>
      </c>
      <c r="J247" s="446" cm="1">
        <f t="array" ref="J247">_xlfn.XLOOKUP(F247&amp;G247&amp;H247,'Data input'!$I$1148:$I$1175&amp;'Data input'!$J$1148:$J$1175&amp;'Data input'!$K$1148:$K$1175,'Data input'!$L$1148:$L$1175)</f>
        <v>3.3</v>
      </c>
      <c r="K247" s="335">
        <f t="shared" si="21"/>
        <v>147.80699999999999</v>
      </c>
      <c r="L247" s="426">
        <f>SUMIFS('Data input'!$L$1067:$L$1094,'Data input'!$I$1067:$I$1094,F247,'Data input'!$J$1067:$J$1094,G247,'Data input'!$K$1067:$K$1094,H247)</f>
        <v>1.9</v>
      </c>
      <c r="M247" s="443">
        <f t="shared" si="22"/>
        <v>280.83329999999995</v>
      </c>
      <c r="N247" s="330"/>
    </row>
    <row r="248" spans="5:14">
      <c r="E248" s="330"/>
      <c r="F248" s="207">
        <v>2023</v>
      </c>
      <c r="G248" s="147" t="s">
        <v>385</v>
      </c>
      <c r="H248" s="214" t="s">
        <v>244</v>
      </c>
      <c r="I248" s="448" cm="1">
        <f t="array" ref="I248">_xlfn.XLOOKUP(F248&amp;G248&amp;H248,'Data input'!$I$1115:$I$1142&amp;'Data input'!$J$1115:$J$1142&amp;'Data input'!$K$1115:$K$1142,'Data input'!$L$1115:$L$1142)</f>
        <v>44.78</v>
      </c>
      <c r="J248" s="446" cm="1">
        <f t="array" ref="J248">_xlfn.XLOOKUP(F248&amp;G248&amp;H248,'Data input'!$I$1148:$I$1175&amp;'Data input'!$J$1148:$J$1175&amp;'Data input'!$K$1148:$K$1175,'Data input'!$L$1148:$L$1175)</f>
        <v>3.4</v>
      </c>
      <c r="K248" s="335">
        <f t="shared" si="21"/>
        <v>152.25200000000001</v>
      </c>
      <c r="L248" s="426">
        <f>SUMIFS('Data input'!$L$1067:$L$1094,'Data input'!$I$1067:$I$1094,F248,'Data input'!$J$1067:$J$1094,G248,'Data input'!$K$1067:$K$1094,H248)</f>
        <v>2</v>
      </c>
      <c r="M248" s="443">
        <f t="shared" si="22"/>
        <v>304.50400000000002</v>
      </c>
      <c r="N248" s="330"/>
    </row>
    <row r="249" spans="5:14">
      <c r="E249" s="330"/>
      <c r="F249" s="207">
        <v>2024</v>
      </c>
      <c r="G249" s="147" t="s">
        <v>385</v>
      </c>
      <c r="H249" s="214" t="s">
        <v>244</v>
      </c>
      <c r="I249" s="448" cm="1">
        <f t="array" ref="I249">_xlfn.XLOOKUP(F249&amp;G249&amp;H249,'Data input'!$I$1115:$I$1142&amp;'Data input'!$J$1115:$J$1142&amp;'Data input'!$K$1115:$K$1142,'Data input'!$L$1115:$L$1142)</f>
        <v>43.3</v>
      </c>
      <c r="J249" s="446" cm="1">
        <f t="array" ref="J249">_xlfn.XLOOKUP(F249&amp;G249&amp;H249,'Data input'!$I$1148:$I$1175&amp;'Data input'!$J$1148:$J$1175&amp;'Data input'!$K$1148:$K$1175,'Data input'!$L$1148:$L$1175)</f>
        <v>3.5</v>
      </c>
      <c r="K249" s="335">
        <f t="shared" si="21"/>
        <v>151.54999999999998</v>
      </c>
      <c r="L249" s="426">
        <f>SUMIFS('Data input'!$L$1067:$L$1094,'Data input'!$I$1067:$I$1094,F249,'Data input'!$J$1067:$J$1094,G249,'Data input'!$K$1067:$K$1094,H249)</f>
        <v>2.1</v>
      </c>
      <c r="M249" s="443">
        <f t="shared" si="22"/>
        <v>318.255</v>
      </c>
      <c r="N249" s="330"/>
    </row>
    <row r="250" spans="5:14">
      <c r="E250" s="330"/>
      <c r="F250" s="207">
        <v>2025</v>
      </c>
      <c r="G250" s="147" t="s">
        <v>385</v>
      </c>
      <c r="H250" s="214" t="s">
        <v>244</v>
      </c>
      <c r="I250" s="448" cm="1">
        <f t="array" ref="I250">_xlfn.XLOOKUP(F250&amp;G250&amp;H250,'Data input'!$I$1115:$I$1142&amp;'Data input'!$J$1115:$J$1142&amp;'Data input'!$K$1115:$K$1142,'Data input'!$L$1115:$L$1142)</f>
        <v>43.31</v>
      </c>
      <c r="J250" s="446" cm="1">
        <f t="array" ref="J250">_xlfn.XLOOKUP(F250&amp;G250&amp;H250,'Data input'!$I$1148:$I$1175&amp;'Data input'!$J$1148:$J$1175&amp;'Data input'!$K$1148:$K$1175,'Data input'!$L$1148:$L$1175)</f>
        <v>3.1</v>
      </c>
      <c r="K250" s="335">
        <f t="shared" si="21"/>
        <v>134.26100000000002</v>
      </c>
      <c r="L250" s="426">
        <f>SUMIFS('Data input'!$L$1067:$L$1094,'Data input'!$I$1067:$I$1094,F250,'Data input'!$J$1067:$J$1094,G250,'Data input'!$K$1067:$K$1094,H250)</f>
        <v>2.2000000000000002</v>
      </c>
      <c r="M250" s="443">
        <f t="shared" si="22"/>
        <v>295.37420000000009</v>
      </c>
      <c r="N250" s="330"/>
    </row>
    <row r="251" spans="5:14">
      <c r="E251" s="330"/>
      <c r="F251" s="207">
        <v>2026</v>
      </c>
      <c r="G251" s="147" t="s">
        <v>385</v>
      </c>
      <c r="H251" s="214" t="s">
        <v>244</v>
      </c>
      <c r="I251" s="448" cm="1">
        <f t="array" ref="I251">_xlfn.XLOOKUP(F251&amp;G251&amp;H251,'Data input'!$I$1115:$I$1142&amp;'Data input'!$J$1115:$J$1142&amp;'Data input'!$K$1115:$K$1142,'Data input'!$L$1115:$L$1142)</f>
        <v>43.29</v>
      </c>
      <c r="J251" s="446" cm="1">
        <f t="array" ref="J251">_xlfn.XLOOKUP(F251&amp;G251&amp;H251,'Data input'!$I$1148:$I$1175&amp;'Data input'!$J$1148:$J$1175&amp;'Data input'!$K$1148:$K$1175,'Data input'!$L$1148:$L$1175)</f>
        <v>3.2</v>
      </c>
      <c r="K251" s="335">
        <f t="shared" si="21"/>
        <v>138.52799999999999</v>
      </c>
      <c r="L251" s="426">
        <f>SUMIFS('Data input'!$L$1067:$L$1094,'Data input'!$I$1067:$I$1094,F251,'Data input'!$J$1067:$J$1094,G251,'Data input'!$K$1067:$K$1094,H251)</f>
        <v>2.2999999999999998</v>
      </c>
      <c r="M251" s="443">
        <f t="shared" si="22"/>
        <v>318.61439999999993</v>
      </c>
      <c r="N251" s="330"/>
    </row>
    <row r="252" spans="5:14">
      <c r="E252" s="330"/>
      <c r="F252" s="207">
        <v>2020</v>
      </c>
      <c r="G252" s="147" t="s">
        <v>386</v>
      </c>
      <c r="H252" s="214" t="s">
        <v>243</v>
      </c>
      <c r="I252" s="448" cm="1">
        <f t="array" ref="I252">_xlfn.XLOOKUP(F252&amp;G252&amp;H252,'Data input'!$I$1115:$I$1142&amp;'Data input'!$J$1115:$J$1142&amp;'Data input'!$K$1115:$K$1142,'Data input'!$L$1115:$L$1142)</f>
        <v>43.29</v>
      </c>
      <c r="J252" s="446" cm="1">
        <f t="array" ref="J252">_xlfn.XLOOKUP(F252&amp;G252&amp;H252,'Data input'!$I$1148:$I$1175&amp;'Data input'!$J$1148:$J$1175&amp;'Data input'!$K$1148:$K$1175,'Data input'!$L$1148:$L$1175)</f>
        <v>3.4347252747252699</v>
      </c>
      <c r="K252" s="335">
        <f t="shared" si="21"/>
        <v>148.68925714285692</v>
      </c>
      <c r="L252" s="426">
        <f>SUMIFS('Data input'!$L$1067:$L$1094,'Data input'!$I$1067:$I$1094,F252,'Data input'!$J$1067:$J$1094,G252,'Data input'!$K$1067:$K$1094,H252)</f>
        <v>2.4</v>
      </c>
      <c r="M252" s="443">
        <f t="shared" si="22"/>
        <v>356.85421714285661</v>
      </c>
      <c r="N252" s="330"/>
    </row>
    <row r="253" spans="5:14">
      <c r="E253" s="330"/>
      <c r="F253" s="207">
        <v>2021</v>
      </c>
      <c r="G253" s="147" t="s">
        <v>386</v>
      </c>
      <c r="H253" s="214" t="s">
        <v>243</v>
      </c>
      <c r="I253" s="448" cm="1">
        <f t="array" ref="I253">_xlfn.XLOOKUP(F253&amp;G253&amp;H253,'Data input'!$I$1115:$I$1142&amp;'Data input'!$J$1115:$J$1142&amp;'Data input'!$K$1115:$K$1142,'Data input'!$L$1115:$L$1142)</f>
        <v>43.284999999999997</v>
      </c>
      <c r="J253" s="446" cm="1">
        <f t="array" ref="J253">_xlfn.XLOOKUP(F253&amp;G253&amp;H253,'Data input'!$I$1148:$I$1175&amp;'Data input'!$J$1148:$J$1175&amp;'Data input'!$K$1148:$K$1175,'Data input'!$L$1148:$L$1175)</f>
        <v>3.5040219780219801</v>
      </c>
      <c r="K253" s="335">
        <f t="shared" si="21"/>
        <v>151.67159131868141</v>
      </c>
      <c r="L253" s="426">
        <f>SUMIFS('Data input'!$L$1067:$L$1094,'Data input'!$I$1067:$I$1094,F253,'Data input'!$J$1067:$J$1094,G253,'Data input'!$K$1067:$K$1094,H253)</f>
        <v>2.5</v>
      </c>
      <c r="M253" s="443">
        <f t="shared" si="22"/>
        <v>379.17897829670352</v>
      </c>
      <c r="N253" s="330"/>
    </row>
    <row r="254" spans="5:14">
      <c r="E254" s="330"/>
      <c r="F254" s="207">
        <v>2022</v>
      </c>
      <c r="G254" s="147" t="s">
        <v>386</v>
      </c>
      <c r="H254" s="214" t="s">
        <v>243</v>
      </c>
      <c r="I254" s="448" cm="1">
        <f t="array" ref="I254">_xlfn.XLOOKUP(F254&amp;G254&amp;H254,'Data input'!$I$1115:$I$1142&amp;'Data input'!$J$1115:$J$1142&amp;'Data input'!$K$1115:$K$1142,'Data input'!$L$1115:$L$1142)</f>
        <v>43.28</v>
      </c>
      <c r="J254" s="446" cm="1">
        <f t="array" ref="J254">_xlfn.XLOOKUP(F254&amp;G254&amp;H254,'Data input'!$I$1148:$I$1175&amp;'Data input'!$J$1148:$J$1175&amp;'Data input'!$K$1148:$K$1175,'Data input'!$L$1148:$L$1175)</f>
        <v>3.5733186813186801</v>
      </c>
      <c r="K254" s="335">
        <f t="shared" si="21"/>
        <v>154.65323252747248</v>
      </c>
      <c r="L254" s="426">
        <f>SUMIFS('Data input'!$L$1067:$L$1094,'Data input'!$I$1067:$I$1094,F254,'Data input'!$J$1067:$J$1094,G254,'Data input'!$K$1067:$K$1094,H254)</f>
        <v>2.6</v>
      </c>
      <c r="M254" s="443">
        <f t="shared" si="22"/>
        <v>402.09840457142849</v>
      </c>
      <c r="N254" s="330"/>
    </row>
    <row r="255" spans="5:14">
      <c r="E255" s="330"/>
      <c r="F255" s="207">
        <v>2023</v>
      </c>
      <c r="G255" s="147" t="s">
        <v>386</v>
      </c>
      <c r="H255" s="214" t="s">
        <v>243</v>
      </c>
      <c r="I255" s="448" cm="1">
        <f t="array" ref="I255">_xlfn.XLOOKUP(F255&amp;G255&amp;H255,'Data input'!$I$1115:$I$1142&amp;'Data input'!$J$1115:$J$1142&amp;'Data input'!$K$1115:$K$1142,'Data input'!$L$1115:$L$1142)</f>
        <v>43.274999999999999</v>
      </c>
      <c r="J255" s="446" cm="1">
        <f t="array" ref="J255">_xlfn.XLOOKUP(F255&amp;G255&amp;H255,'Data input'!$I$1148:$I$1175&amp;'Data input'!$J$1148:$J$1175&amp;'Data input'!$K$1148:$K$1175,'Data input'!$L$1148:$L$1175)</f>
        <v>3.6426153846153899</v>
      </c>
      <c r="K255" s="335">
        <f t="shared" si="21"/>
        <v>157.63418076923099</v>
      </c>
      <c r="L255" s="426">
        <f>SUMIFS('Data input'!$L$1067:$L$1094,'Data input'!$I$1067:$I$1094,F255,'Data input'!$J$1067:$J$1094,G255,'Data input'!$K$1067:$K$1094,H255)</f>
        <v>2.7</v>
      </c>
      <c r="M255" s="443">
        <f t="shared" si="22"/>
        <v>425.61228807692373</v>
      </c>
      <c r="N255" s="330"/>
    </row>
    <row r="256" spans="5:14">
      <c r="E256" s="330"/>
      <c r="F256" s="207">
        <v>2024</v>
      </c>
      <c r="G256" s="147" t="s">
        <v>386</v>
      </c>
      <c r="H256" s="214" t="s">
        <v>243</v>
      </c>
      <c r="I256" s="448" cm="1">
        <f t="array" ref="I256">_xlfn.XLOOKUP(F256&amp;G256&amp;H256,'Data input'!$I$1115:$I$1142&amp;'Data input'!$J$1115:$J$1142&amp;'Data input'!$K$1115:$K$1142,'Data input'!$L$1115:$L$1142)</f>
        <v>44.8</v>
      </c>
      <c r="J256" s="446" cm="1">
        <f t="array" ref="J256">_xlfn.XLOOKUP(F256&amp;G256&amp;H256,'Data input'!$I$1148:$I$1175&amp;'Data input'!$J$1148:$J$1175&amp;'Data input'!$K$1148:$K$1175,'Data input'!$L$1148:$L$1175)</f>
        <v>3.7119120879120899</v>
      </c>
      <c r="K256" s="335">
        <f t="shared" si="21"/>
        <v>166.29366153846161</v>
      </c>
      <c r="L256" s="426">
        <f>SUMIFS('Data input'!$L$1067:$L$1094,'Data input'!$I$1067:$I$1094,F256,'Data input'!$J$1067:$J$1094,G256,'Data input'!$K$1067:$K$1094,H256)</f>
        <v>2.8</v>
      </c>
      <c r="M256" s="443">
        <f t="shared" si="22"/>
        <v>465.62225230769246</v>
      </c>
      <c r="N256" s="330"/>
    </row>
    <row r="257" spans="5:14">
      <c r="E257" s="330"/>
      <c r="F257" s="207">
        <v>2025</v>
      </c>
      <c r="G257" s="147" t="s">
        <v>386</v>
      </c>
      <c r="H257" s="214" t="s">
        <v>243</v>
      </c>
      <c r="I257" s="448" cm="1">
        <f t="array" ref="I257">_xlfn.XLOOKUP(F257&amp;G257&amp;H257,'Data input'!$I$1115:$I$1142&amp;'Data input'!$J$1115:$J$1142&amp;'Data input'!$K$1115:$K$1142,'Data input'!$L$1115:$L$1142)</f>
        <v>43.3</v>
      </c>
      <c r="J257" s="446" cm="1">
        <f t="array" ref="J257">_xlfn.XLOOKUP(F257&amp;G257&amp;H257,'Data input'!$I$1148:$I$1175&amp;'Data input'!$J$1148:$J$1175&amp;'Data input'!$K$1148:$K$1175,'Data input'!$L$1148:$L$1175)</f>
        <v>3.7812087912087899</v>
      </c>
      <c r="K257" s="335">
        <f t="shared" si="21"/>
        <v>163.72634065934059</v>
      </c>
      <c r="L257" s="426">
        <f>SUMIFS('Data input'!$L$1067:$L$1094,'Data input'!$I$1067:$I$1094,F257,'Data input'!$J$1067:$J$1094,G257,'Data input'!$K$1067:$K$1094,H257)</f>
        <v>2.9</v>
      </c>
      <c r="M257" s="443">
        <f t="shared" si="22"/>
        <v>474.8063879120877</v>
      </c>
      <c r="N257" s="330"/>
    </row>
    <row r="258" spans="5:14">
      <c r="E258" s="330"/>
      <c r="F258" s="207">
        <v>2026</v>
      </c>
      <c r="G258" s="147" t="s">
        <v>386</v>
      </c>
      <c r="H258" s="214" t="s">
        <v>243</v>
      </c>
      <c r="I258" s="448" cm="1">
        <f t="array" ref="I258">_xlfn.XLOOKUP(F258&amp;G258&amp;H258,'Data input'!$I$1115:$I$1142&amp;'Data input'!$J$1115:$J$1142&amp;'Data input'!$K$1115:$K$1142,'Data input'!$L$1115:$L$1142)</f>
        <v>43.31</v>
      </c>
      <c r="J258" s="446" cm="1">
        <f t="array" ref="J258">_xlfn.XLOOKUP(F258&amp;G258&amp;H258,'Data input'!$I$1148:$I$1175&amp;'Data input'!$J$1148:$J$1175&amp;'Data input'!$K$1148:$K$1175,'Data input'!$L$1148:$L$1175)</f>
        <v>3.8505054945055002</v>
      </c>
      <c r="K258" s="335">
        <f t="shared" si="21"/>
        <v>166.76539296703322</v>
      </c>
      <c r="L258" s="426">
        <f>SUMIFS('Data input'!$L$1067:$L$1094,'Data input'!$I$1067:$I$1094,F258,'Data input'!$J$1067:$J$1094,G258,'Data input'!$K$1067:$K$1094,H258)</f>
        <v>3</v>
      </c>
      <c r="M258" s="443">
        <f t="shared" si="22"/>
        <v>500.29617890109967</v>
      </c>
      <c r="N258" s="330"/>
    </row>
    <row r="259" spans="5:14">
      <c r="E259" s="330"/>
      <c r="F259" s="207">
        <v>2020</v>
      </c>
      <c r="G259" s="147" t="s">
        <v>386</v>
      </c>
      <c r="H259" s="214" t="s">
        <v>244</v>
      </c>
      <c r="I259" s="448" cm="1">
        <f t="array" ref="I259">_xlfn.XLOOKUP(F259&amp;G259&amp;H259,'Data input'!$I$1115:$I$1142&amp;'Data input'!$J$1115:$J$1142&amp;'Data input'!$K$1115:$K$1142,'Data input'!$L$1115:$L$1142)</f>
        <v>43.29</v>
      </c>
      <c r="J259" s="446" cm="1">
        <f t="array" ref="J259">_xlfn.XLOOKUP(F259&amp;G259&amp;H259,'Data input'!$I$1148:$I$1175&amp;'Data input'!$J$1148:$J$1175&amp;'Data input'!$K$1148:$K$1175,'Data input'!$L$1148:$L$1175)</f>
        <v>3.9198021978022002</v>
      </c>
      <c r="K259" s="335">
        <f t="shared" si="21"/>
        <v>169.68823714285725</v>
      </c>
      <c r="L259" s="426">
        <f>SUMIFS('Data input'!$L$1067:$L$1094,'Data input'!$I$1067:$I$1094,F259,'Data input'!$J$1067:$J$1094,G259,'Data input'!$K$1067:$K$1094,H259)</f>
        <v>3.1</v>
      </c>
      <c r="M259" s="443">
        <f t="shared" si="22"/>
        <v>526.03353514285743</v>
      </c>
      <c r="N259" s="330"/>
    </row>
    <row r="260" spans="5:14">
      <c r="E260" s="330"/>
      <c r="F260" s="207">
        <v>2021</v>
      </c>
      <c r="G260" s="147" t="s">
        <v>386</v>
      </c>
      <c r="H260" s="214" t="s">
        <v>244</v>
      </c>
      <c r="I260" s="448" cm="1">
        <f t="array" ref="I260">_xlfn.XLOOKUP(F260&amp;G260&amp;H260,'Data input'!$I$1115:$I$1142&amp;'Data input'!$J$1115:$J$1142&amp;'Data input'!$K$1115:$K$1142,'Data input'!$L$1115:$L$1142)</f>
        <v>43.29</v>
      </c>
      <c r="J260" s="446" cm="1">
        <f t="array" ref="J260">_xlfn.XLOOKUP(F260&amp;G260&amp;H260,'Data input'!$I$1148:$I$1175&amp;'Data input'!$J$1148:$J$1175&amp;'Data input'!$K$1148:$K$1175,'Data input'!$L$1148:$L$1175)</f>
        <v>3.9890989010989002</v>
      </c>
      <c r="K260" s="335">
        <f t="shared" si="21"/>
        <v>172.6880914285714</v>
      </c>
      <c r="L260" s="426">
        <f>SUMIFS('Data input'!$L$1067:$L$1094,'Data input'!$I$1067:$I$1094,F260,'Data input'!$J$1067:$J$1094,G260,'Data input'!$K$1067:$K$1094,H260)</f>
        <v>3.2</v>
      </c>
      <c r="M260" s="443">
        <f t="shared" si="22"/>
        <v>552.60189257142849</v>
      </c>
      <c r="N260" s="330"/>
    </row>
    <row r="261" spans="5:14">
      <c r="E261" s="330"/>
      <c r="F261" s="207">
        <v>2022</v>
      </c>
      <c r="G261" s="147" t="s">
        <v>386</v>
      </c>
      <c r="H261" s="214" t="s">
        <v>244</v>
      </c>
      <c r="I261" s="448" cm="1">
        <f t="array" ref="I261">_xlfn.XLOOKUP(F261&amp;G261&amp;H261,'Data input'!$I$1115:$I$1142&amp;'Data input'!$J$1115:$J$1142&amp;'Data input'!$K$1115:$K$1142,'Data input'!$L$1115:$L$1142)</f>
        <v>43.284999999999997</v>
      </c>
      <c r="J261" s="446" cm="1">
        <f t="array" ref="J261">_xlfn.XLOOKUP(F261&amp;G261&amp;H261,'Data input'!$I$1148:$I$1175&amp;'Data input'!$J$1148:$J$1175&amp;'Data input'!$K$1148:$K$1175,'Data input'!$L$1148:$L$1175)</f>
        <v>4.05839560439561</v>
      </c>
      <c r="K261" s="335">
        <f t="shared" si="21"/>
        <v>175.66765373626396</v>
      </c>
      <c r="L261" s="426">
        <f>SUMIFS('Data input'!$L$1067:$L$1094,'Data input'!$I$1067:$I$1094,F261,'Data input'!$J$1067:$J$1094,G261,'Data input'!$K$1067:$K$1094,H261)</f>
        <v>3.3</v>
      </c>
      <c r="M261" s="443">
        <f t="shared" si="22"/>
        <v>579.70325732967103</v>
      </c>
      <c r="N261" s="330"/>
    </row>
    <row r="262" spans="5:14">
      <c r="E262" s="330"/>
      <c r="F262" s="207">
        <v>2023</v>
      </c>
      <c r="G262" s="147" t="s">
        <v>386</v>
      </c>
      <c r="H262" s="214" t="s">
        <v>244</v>
      </c>
      <c r="I262" s="448" cm="1">
        <f t="array" ref="I262">_xlfn.XLOOKUP(F262&amp;G262&amp;H262,'Data input'!$I$1115:$I$1142&amp;'Data input'!$J$1115:$J$1142&amp;'Data input'!$K$1115:$K$1142,'Data input'!$L$1115:$L$1142)</f>
        <v>43.28</v>
      </c>
      <c r="J262" s="446" cm="1">
        <f t="array" ref="J262">_xlfn.XLOOKUP(F262&amp;G262&amp;H262,'Data input'!$I$1148:$I$1175&amp;'Data input'!$J$1148:$J$1175&amp;'Data input'!$K$1148:$K$1175,'Data input'!$L$1148:$L$1175)</f>
        <v>4.1276923076923104</v>
      </c>
      <c r="K262" s="335">
        <f t="shared" si="21"/>
        <v>178.64652307692319</v>
      </c>
      <c r="L262" s="426">
        <f>SUMIFS('Data input'!$L$1067:$L$1094,'Data input'!$I$1067:$I$1094,F262,'Data input'!$J$1067:$J$1094,G262,'Data input'!$K$1067:$K$1094,H262)</f>
        <v>3.4</v>
      </c>
      <c r="M262" s="443">
        <f t="shared" si="22"/>
        <v>607.39817846153881</v>
      </c>
      <c r="N262" s="330"/>
    </row>
    <row r="263" spans="5:14">
      <c r="E263" s="330"/>
      <c r="F263" s="207">
        <v>2024</v>
      </c>
      <c r="G263" s="147" t="s">
        <v>386</v>
      </c>
      <c r="H263" s="214" t="s">
        <v>244</v>
      </c>
      <c r="I263" s="448" cm="1">
        <f t="array" ref="I263">_xlfn.XLOOKUP(F263&amp;G263&amp;H263,'Data input'!$I$1115:$I$1142&amp;'Data input'!$J$1115:$J$1142&amp;'Data input'!$K$1115:$K$1142,'Data input'!$L$1115:$L$1142)</f>
        <v>43.274999999999999</v>
      </c>
      <c r="J263" s="446" cm="1">
        <f t="array" ref="J263">_xlfn.XLOOKUP(F263&amp;G263&amp;H263,'Data input'!$I$1148:$I$1175&amp;'Data input'!$J$1148:$J$1175&amp;'Data input'!$K$1148:$K$1175,'Data input'!$L$1148:$L$1175)</f>
        <v>4.19698901098901</v>
      </c>
      <c r="K263" s="335">
        <f t="shared" si="21"/>
        <v>181.6246994505494</v>
      </c>
      <c r="L263" s="426">
        <f>SUMIFS('Data input'!$L$1067:$L$1094,'Data input'!$I$1067:$I$1094,F263,'Data input'!$J$1067:$J$1094,G263,'Data input'!$K$1067:$K$1094,H263)</f>
        <v>3.5</v>
      </c>
      <c r="M263" s="443">
        <f t="shared" si="22"/>
        <v>635.68644807692294</v>
      </c>
      <c r="N263" s="330"/>
    </row>
    <row r="264" spans="5:14">
      <c r="E264" s="330"/>
      <c r="F264" s="207">
        <v>2025</v>
      </c>
      <c r="G264" s="147" t="s">
        <v>386</v>
      </c>
      <c r="H264" s="214" t="s">
        <v>244</v>
      </c>
      <c r="I264" s="448" cm="1">
        <f t="array" ref="I264">_xlfn.XLOOKUP(F264&amp;G264&amp;H264,'Data input'!$I$1115:$I$1142&amp;'Data input'!$J$1115:$J$1142&amp;'Data input'!$K$1115:$K$1142,'Data input'!$L$1115:$L$1142)</f>
        <v>44.8</v>
      </c>
      <c r="J264" s="446" cm="1">
        <f t="array" ref="J264">_xlfn.XLOOKUP(F264&amp;G264&amp;H264,'Data input'!$I$1148:$I$1175&amp;'Data input'!$J$1148:$J$1175&amp;'Data input'!$K$1148:$K$1175,'Data input'!$L$1148:$L$1175)</f>
        <v>4.2662857142857202</v>
      </c>
      <c r="K264" s="335">
        <f t="shared" si="21"/>
        <v>191.12960000000027</v>
      </c>
      <c r="L264" s="426">
        <f>SUMIFS('Data input'!$L$1067:$L$1094,'Data input'!$I$1067:$I$1094,F264,'Data input'!$J$1067:$J$1094,G264,'Data input'!$K$1067:$K$1094,H264)</f>
        <v>3.6</v>
      </c>
      <c r="M264" s="443">
        <f t="shared" si="22"/>
        <v>688.066560000001</v>
      </c>
      <c r="N264" s="330"/>
    </row>
    <row r="265" spans="5:14">
      <c r="E265" s="330"/>
      <c r="F265" s="208">
        <v>2026</v>
      </c>
      <c r="G265" s="211" t="s">
        <v>386</v>
      </c>
      <c r="H265" s="215" t="s">
        <v>244</v>
      </c>
      <c r="I265" s="449" cm="1">
        <f t="array" ref="I265">_xlfn.XLOOKUP(F265&amp;G265&amp;H265,'Data input'!$I$1115:$I$1142&amp;'Data input'!$J$1115:$J$1142&amp;'Data input'!$K$1115:$K$1142,'Data input'!$L$1115:$L$1142)</f>
        <v>44.81</v>
      </c>
      <c r="J265" s="450" cm="1">
        <f t="array" ref="J265">_xlfn.XLOOKUP(F265&amp;G265&amp;H265,'Data input'!$I$1148:$I$1175&amp;'Data input'!$J$1148:$J$1175&amp;'Data input'!$K$1148:$K$1175,'Data input'!$L$1148:$L$1175)</f>
        <v>4.3355824175824198</v>
      </c>
      <c r="K265" s="440">
        <f t="shared" si="21"/>
        <v>194.27744813186825</v>
      </c>
      <c r="L265" s="432">
        <f>SUMIFS('Data input'!$L$1067:$L$1094,'Data input'!$I$1067:$I$1094,F265,'Data input'!$J$1067:$J$1094,G265,'Data input'!$K$1067:$K$1094,H265)</f>
        <v>3.7</v>
      </c>
      <c r="M265" s="444">
        <f t="shared" si="22"/>
        <v>718.82655808791253</v>
      </c>
      <c r="N265" s="330"/>
    </row>
    <row r="266" spans="5:14">
      <c r="F266" s="330"/>
      <c r="G266" s="330"/>
      <c r="H266" s="330"/>
      <c r="I266" s="330"/>
      <c r="J266" s="330"/>
      <c r="K266" s="330"/>
      <c r="L266" s="330"/>
      <c r="M266" s="338">
        <f>SUM(M238:M265)</f>
        <v>10556.583086879124</v>
      </c>
    </row>
    <row r="270" spans="5:14" s="380" customFormat="1" ht="40.5" customHeight="1">
      <c r="F270" s="387" t="s">
        <v>354</v>
      </c>
    </row>
    <row r="273" spans="6:13">
      <c r="F273" s="292" t="s">
        <v>391</v>
      </c>
      <c r="G273" s="159"/>
      <c r="H273" s="159"/>
      <c r="I273" s="159"/>
      <c r="J273" s="159"/>
      <c r="K273" s="159"/>
      <c r="L273" s="159"/>
      <c r="M273" s="159"/>
    </row>
    <row r="274" spans="6:13">
      <c r="F274" s="372" t="s">
        <v>228</v>
      </c>
      <c r="G274" s="159"/>
      <c r="H274" s="159"/>
      <c r="I274" s="159"/>
      <c r="J274" s="159"/>
      <c r="K274" s="159"/>
      <c r="L274" s="159"/>
      <c r="M274" s="159"/>
    </row>
    <row r="275" spans="6:13">
      <c r="F275" s="359"/>
      <c r="G275" s="373"/>
      <c r="H275" s="159"/>
      <c r="I275" s="159"/>
      <c r="J275" s="159"/>
      <c r="K275" s="159"/>
      <c r="L275" s="159"/>
      <c r="M275" s="159"/>
    </row>
    <row r="276" spans="6:13">
      <c r="F276" s="360"/>
      <c r="G276" s="364"/>
      <c r="H276" s="159"/>
      <c r="I276" s="159"/>
      <c r="J276" s="159"/>
      <c r="K276" s="159"/>
      <c r="L276" s="159"/>
      <c r="M276" s="159"/>
    </row>
    <row r="277" spans="6:13" ht="17">
      <c r="F277" s="360" t="s">
        <v>233</v>
      </c>
      <c r="G277" s="382" t="s">
        <v>392</v>
      </c>
      <c r="H277" s="159"/>
      <c r="I277" s="159"/>
      <c r="J277" s="159"/>
      <c r="K277" s="159"/>
      <c r="L277" s="159"/>
      <c r="M277" s="159"/>
    </row>
    <row r="278" spans="6:13" ht="18" thickBot="1">
      <c r="F278" s="361"/>
      <c r="G278" s="366" t="s">
        <v>11</v>
      </c>
      <c r="H278" s="159"/>
      <c r="I278" s="159"/>
      <c r="J278" s="159"/>
      <c r="K278" s="159"/>
      <c r="L278" s="159"/>
      <c r="M278" s="159"/>
    </row>
    <row r="279" spans="6:13">
      <c r="F279" s="384">
        <v>2020</v>
      </c>
      <c r="G279" s="631">
        <f>IF('Tool 03 Calcs'!$F$274="Option A1", SUMIFS('Tool 03 Calcs'!$L$294:$L$321, 'Tool 03 Calcs'!$F$294:$F$321, F279),
 IF('Tool 03 Calcs'!$F$274="Option A2", SUMIFS('Tool 03 Calcs'!$M$332:$M$359, 'Tool 03 Calcs'!$F$332:$F$359, F279),
 IF('Tool 03 Calcs'!$F$274="Option B", SUMIFS('Tool 03 Calcs'!$M$367:$M$394, 'Tool 03 Calcs'!$F$367:$F$394, F279), 0)))</f>
        <v>1137.5123854285712</v>
      </c>
      <c r="H279" s="181"/>
      <c r="I279" s="159"/>
      <c r="J279" s="159"/>
      <c r="K279" s="159"/>
      <c r="L279" s="159"/>
      <c r="M279" s="159"/>
    </row>
    <row r="280" spans="6:13">
      <c r="F280" s="384">
        <v>2021</v>
      </c>
      <c r="G280" s="632">
        <f>IF('Tool 03 Calcs'!$F$274="Option A1", SUMIFS('Tool 03 Calcs'!$L$294:$L$321, 'Tool 03 Calcs'!$F$294:$F$321, F280),
 IF('Tool 03 Calcs'!$F$274="Option A2", SUMIFS('Tool 03 Calcs'!$M$332:$M$359, 'Tool 03 Calcs'!$F$332:$F$359, F280),
 IF('Tool 03 Calcs'!$F$274="Option B", SUMIFS('Tool 03 Calcs'!$M$367:$M$394, 'Tool 03 Calcs'!$F$367:$F$394, F280), 0)))</f>
        <v>1258.7930803296706</v>
      </c>
      <c r="H280" s="181"/>
      <c r="I280" s="159"/>
      <c r="J280" s="159"/>
      <c r="K280" s="159"/>
      <c r="L280" s="159"/>
      <c r="M280" s="159"/>
    </row>
    <row r="281" spans="6:13">
      <c r="F281" s="384">
        <v>2022</v>
      </c>
      <c r="G281" s="632">
        <f>IF('Tool 03 Calcs'!$F$274="Option A1", SUMIFS('Tool 03 Calcs'!$L$294:$L$321, 'Tool 03 Calcs'!$F$294:$F$321, F281),
 IF('Tool 03 Calcs'!$F$274="Option A2", SUMIFS('Tool 03 Calcs'!$M$332:$M$359, 'Tool 03 Calcs'!$F$332:$F$359, F281),
 IF('Tool 03 Calcs'!$F$274="Option B", SUMIFS('Tool 03 Calcs'!$M$367:$M$394, 'Tool 03 Calcs'!$F$367:$F$394, F281), 0)))</f>
        <v>1482.9561521428577</v>
      </c>
      <c r="H281" s="181"/>
      <c r="I281" s="159"/>
      <c r="J281" s="159"/>
      <c r="K281" s="159"/>
      <c r="L281" s="159"/>
      <c r="M281" s="159"/>
    </row>
    <row r="282" spans="6:13">
      <c r="F282" s="384">
        <v>2023</v>
      </c>
      <c r="G282" s="632">
        <f>IF('Tool 03 Calcs'!$F$274="Option A1", SUMIFS('Tool 03 Calcs'!$L$294:$L$321, 'Tool 03 Calcs'!$F$294:$F$321, F282),
 IF('Tool 03 Calcs'!$F$274="Option A2", SUMIFS('Tool 03 Calcs'!$M$332:$M$359, 'Tool 03 Calcs'!$F$332:$F$359, F282),
 IF('Tool 03 Calcs'!$F$274="Option B", SUMIFS('Tool 03 Calcs'!$M$367:$M$394, 'Tool 03 Calcs'!$F$367:$F$394, F282), 0)))</f>
        <v>1495.1590723076934</v>
      </c>
      <c r="H282" s="181"/>
      <c r="I282" s="159"/>
      <c r="J282" s="159"/>
      <c r="K282" s="159"/>
      <c r="L282" s="159"/>
      <c r="M282" s="159"/>
    </row>
    <row r="283" spans="6:13">
      <c r="F283" s="384">
        <v>2024</v>
      </c>
      <c r="G283" s="632">
        <f>IF('Tool 03 Calcs'!$F$274="Option A1", SUMIFS('Tool 03 Calcs'!$L$294:$L$321, 'Tool 03 Calcs'!$F$294:$F$321, F283),
 IF('Tool 03 Calcs'!$F$274="Option A2", SUMIFS('Tool 03 Calcs'!$M$332:$M$359, 'Tool 03 Calcs'!$F$332:$F$359, F283),
 IF('Tool 03 Calcs'!$F$274="Option B", SUMIFS('Tool 03 Calcs'!$M$367:$M$394, 'Tool 03 Calcs'!$F$367:$F$394, F283), 0)))</f>
        <v>1502.8239161538461</v>
      </c>
      <c r="H283" s="181"/>
      <c r="I283" s="159"/>
      <c r="J283" s="159"/>
      <c r="K283" s="159"/>
      <c r="L283" s="159"/>
      <c r="M283" s="159"/>
    </row>
    <row r="284" spans="6:13">
      <c r="F284" s="384">
        <v>2025</v>
      </c>
      <c r="G284" s="632">
        <f>IF('Tool 03 Calcs'!$F$274="Option A1", SUMIFS('Tool 03 Calcs'!$L$294:$L$321, 'Tool 03 Calcs'!$F$294:$F$321, F284),
 IF('Tool 03 Calcs'!$F$274="Option A2", SUMIFS('Tool 03 Calcs'!$M$332:$M$359, 'Tool 03 Calcs'!$F$332:$F$359, F284),
 IF('Tool 03 Calcs'!$F$274="Option B", SUMIFS('Tool 03 Calcs'!$M$367:$M$394, 'Tool 03 Calcs'!$F$367:$F$394, F284), 0)))</f>
        <v>1556.6500753846162</v>
      </c>
      <c r="H284" s="181"/>
      <c r="I284" s="159"/>
      <c r="J284" s="159"/>
      <c r="K284" s="159"/>
      <c r="L284" s="159"/>
      <c r="M284" s="159"/>
    </row>
    <row r="285" spans="6:13" ht="16" thickBot="1">
      <c r="F285" s="385">
        <v>2026</v>
      </c>
      <c r="G285" s="633">
        <f>IF('Tool 03 Calcs'!$F$274="Option A1", SUMIFS('Tool 03 Calcs'!$L$294:$L$321, 'Tool 03 Calcs'!$F$294:$F$321, F285),
 IF('Tool 03 Calcs'!$F$274="Option A2", SUMIFS('Tool 03 Calcs'!$M$332:$M$359, 'Tool 03 Calcs'!$F$332:$F$359, F285),
 IF('Tool 03 Calcs'!$F$274="Option B", SUMIFS('Tool 03 Calcs'!$M$367:$M$394, 'Tool 03 Calcs'!$F$367:$F$394, F285), 0)))</f>
        <v>1605.4093476153857</v>
      </c>
      <c r="H285" s="181"/>
      <c r="I285" s="159"/>
      <c r="J285" s="159"/>
      <c r="K285" s="159"/>
      <c r="L285" s="159"/>
      <c r="M285" s="159"/>
    </row>
    <row r="286" spans="6:13">
      <c r="F286" s="159"/>
      <c r="G286" s="284">
        <f>SUM(G279:G285)</f>
        <v>10039.30402936264</v>
      </c>
      <c r="H286" s="159"/>
      <c r="I286" s="159"/>
      <c r="J286" s="159"/>
      <c r="K286" s="159"/>
      <c r="L286" s="159"/>
      <c r="M286" s="159"/>
    </row>
    <row r="287" spans="6:13">
      <c r="F287" s="159"/>
      <c r="G287" s="159"/>
      <c r="H287" s="159"/>
      <c r="I287" s="159"/>
      <c r="J287" s="159"/>
      <c r="K287" s="159"/>
      <c r="L287" s="159"/>
      <c r="M287" s="159"/>
    </row>
    <row r="288" spans="6:13">
      <c r="F288" s="159"/>
      <c r="G288" s="159"/>
      <c r="H288" s="159"/>
      <c r="I288" s="159"/>
      <c r="J288" s="159"/>
      <c r="K288" s="159"/>
      <c r="L288" s="159"/>
      <c r="M288" s="159"/>
    </row>
    <row r="289" spans="5:13">
      <c r="F289" s="381" t="s">
        <v>393</v>
      </c>
    </row>
    <row r="290" spans="5:13">
      <c r="F290" s="309"/>
      <c r="G290" s="310"/>
      <c r="H290" s="311"/>
      <c r="I290" s="312"/>
      <c r="J290" s="317" t="s">
        <v>84</v>
      </c>
      <c r="K290" s="310"/>
      <c r="L290" s="318" t="s">
        <v>84</v>
      </c>
    </row>
    <row r="291" spans="5:13">
      <c r="F291" s="313"/>
      <c r="H291" s="314"/>
      <c r="I291" s="315"/>
      <c r="J291" s="374" t="s">
        <v>33</v>
      </c>
      <c r="L291" s="319" t="s">
        <v>12</v>
      </c>
    </row>
    <row r="292" spans="5:13" ht="17">
      <c r="F292" s="152" t="s">
        <v>335</v>
      </c>
      <c r="G292" s="147" t="s">
        <v>364</v>
      </c>
      <c r="H292" s="229" t="s">
        <v>241</v>
      </c>
      <c r="I292" s="152" t="s">
        <v>365</v>
      </c>
      <c r="J292" s="375" t="s">
        <v>123</v>
      </c>
      <c r="K292" s="147" t="s">
        <v>120</v>
      </c>
      <c r="L292" s="383" t="s">
        <v>394</v>
      </c>
    </row>
    <row r="293" spans="5:13" ht="17">
      <c r="F293" s="152"/>
      <c r="G293" s="157"/>
      <c r="H293" s="153"/>
      <c r="I293" s="152" t="s">
        <v>124</v>
      </c>
      <c r="J293" s="333" t="s">
        <v>124</v>
      </c>
      <c r="K293" s="157" t="s">
        <v>367</v>
      </c>
      <c r="L293" s="320" t="s">
        <v>368</v>
      </c>
    </row>
    <row r="294" spans="5:13">
      <c r="E294" s="330"/>
      <c r="F294" s="205">
        <v>2020</v>
      </c>
      <c r="G294" s="226" t="s">
        <v>395</v>
      </c>
      <c r="H294" s="225" t="s">
        <v>173</v>
      </c>
      <c r="I294" s="205" cm="1">
        <f t="array" ref="I294">_xlfn.XLOOKUP(F294&amp;G294&amp;H294,'Data input'!$I$1188:$I$1215&amp;'Data input'!$J$1188:$J$1215&amp;'Data input'!$K$1188:$K$1215,'Data input'!$L$1188:$L$1215)</f>
        <v>0.41199999999999998</v>
      </c>
      <c r="J294" s="427">
        <f t="shared" ref="J294:J321" si="23">I294*(44/12)</f>
        <v>1.5106666666666666</v>
      </c>
      <c r="K294" s="428">
        <f>SUMIFS('Data input'!$L$1220:$L$1247,'Data input'!$I$1220:$I$1247,F294,'Data input'!$J$1220:$J$1247,G294,'Data input'!$K$1220:$K$1247,H294)</f>
        <v>1.5</v>
      </c>
      <c r="L294" s="429">
        <f t="shared" ref="L294" si="24">J294*K294</f>
        <v>2.266</v>
      </c>
      <c r="M294" s="330"/>
    </row>
    <row r="295" spans="5:13">
      <c r="E295" s="330"/>
      <c r="F295" s="207">
        <v>2021</v>
      </c>
      <c r="G295" s="147" t="s">
        <v>395</v>
      </c>
      <c r="H295" s="214" t="s">
        <v>173</v>
      </c>
      <c r="I295" s="207" cm="1">
        <f t="array" ref="I295">_xlfn.XLOOKUP(F295&amp;G295&amp;H295,'Data input'!$I$1188:$I$1215&amp;'Data input'!$J$1188:$J$1215&amp;'Data input'!$K$1188:$K$1215,'Data input'!$L$1188:$L$1215)</f>
        <v>0.41299999999999998</v>
      </c>
      <c r="J295" s="337">
        <f t="shared" si="23"/>
        <v>1.5143333333333331</v>
      </c>
      <c r="K295" s="426">
        <f>SUMIFS('Data input'!$L$1220:$L$1247,'Data input'!$I$1220:$I$1247,F295,'Data input'!$J$1220:$J$1247,G295,'Data input'!$K$1220:$K$1247,H295)</f>
        <v>1.6</v>
      </c>
      <c r="L295" s="430">
        <f t="shared" ref="L295:L321" si="25">J295*K295</f>
        <v>2.4229333333333329</v>
      </c>
      <c r="M295" s="330"/>
    </row>
    <row r="296" spans="5:13">
      <c r="E296" s="330"/>
      <c r="F296" s="207">
        <v>2022</v>
      </c>
      <c r="G296" s="147" t="s">
        <v>395</v>
      </c>
      <c r="H296" s="214" t="s">
        <v>173</v>
      </c>
      <c r="I296" s="207" cm="1">
        <f t="array" ref="I296">_xlfn.XLOOKUP(F296&amp;G296&amp;H296,'Data input'!$I$1188:$I$1215&amp;'Data input'!$J$1188:$J$1215&amp;'Data input'!$K$1188:$K$1215,'Data input'!$L$1188:$L$1215)</f>
        <v>0.502</v>
      </c>
      <c r="J296" s="337">
        <f t="shared" si="23"/>
        <v>1.8406666666666667</v>
      </c>
      <c r="K296" s="426">
        <f>SUMIFS('Data input'!$L$1220:$L$1247,'Data input'!$I$1220:$I$1247,F296,'Data input'!$J$1220:$J$1247,G296,'Data input'!$K$1220:$K$1247,H296)</f>
        <v>1.7</v>
      </c>
      <c r="L296" s="430">
        <f t="shared" si="25"/>
        <v>3.1291333333333333</v>
      </c>
      <c r="M296" s="330"/>
    </row>
    <row r="297" spans="5:13">
      <c r="E297" s="330"/>
      <c r="F297" s="207">
        <v>2023</v>
      </c>
      <c r="G297" s="147" t="s">
        <v>395</v>
      </c>
      <c r="H297" s="214" t="s">
        <v>173</v>
      </c>
      <c r="I297" s="207" cm="1">
        <f t="array" ref="I297">_xlfn.XLOOKUP(F297&amp;G297&amp;H297,'Data input'!$I$1188:$I$1215&amp;'Data input'!$J$1188:$J$1215&amp;'Data input'!$K$1188:$K$1215,'Data input'!$L$1188:$L$1215)</f>
        <v>0.50209999999999999</v>
      </c>
      <c r="J297" s="337">
        <f t="shared" si="23"/>
        <v>1.8410333333333333</v>
      </c>
      <c r="K297" s="426">
        <f>SUMIFS('Data input'!$L$1220:$L$1247,'Data input'!$I$1220:$I$1247,F297,'Data input'!$J$1220:$J$1247,G297,'Data input'!$K$1220:$K$1247,H297)</f>
        <v>1.8</v>
      </c>
      <c r="L297" s="430">
        <f t="shared" si="25"/>
        <v>3.31386</v>
      </c>
      <c r="M297" s="330"/>
    </row>
    <row r="298" spans="5:13">
      <c r="E298" s="330"/>
      <c r="F298" s="207">
        <v>2024</v>
      </c>
      <c r="G298" s="147" t="s">
        <v>395</v>
      </c>
      <c r="H298" s="214" t="s">
        <v>173</v>
      </c>
      <c r="I298" s="207" cm="1">
        <f t="array" ref="I298">_xlfn.XLOOKUP(F298&amp;G298&amp;H298,'Data input'!$I$1188:$I$1215&amp;'Data input'!$J$1188:$J$1215&amp;'Data input'!$K$1188:$K$1215,'Data input'!$L$1188:$L$1215)</f>
        <v>0.50219999999999998</v>
      </c>
      <c r="J298" s="337">
        <f t="shared" si="23"/>
        <v>1.8413999999999999</v>
      </c>
      <c r="K298" s="426">
        <f>SUMIFS('Data input'!$L$1220:$L$1247,'Data input'!$I$1220:$I$1247,F298,'Data input'!$J$1220:$J$1247,G298,'Data input'!$K$1220:$K$1247,H298)</f>
        <v>1.9</v>
      </c>
      <c r="L298" s="430">
        <f t="shared" si="25"/>
        <v>3.4986599999999997</v>
      </c>
      <c r="M298" s="330"/>
    </row>
    <row r="299" spans="5:13">
      <c r="E299" s="330"/>
      <c r="F299" s="207">
        <v>2025</v>
      </c>
      <c r="G299" s="147" t="s">
        <v>395</v>
      </c>
      <c r="H299" s="214" t="s">
        <v>173</v>
      </c>
      <c r="I299" s="207" cm="1">
        <f t="array" ref="I299">_xlfn.XLOOKUP(F299&amp;G299&amp;H299,'Data input'!$I$1188:$I$1215&amp;'Data input'!$J$1188:$J$1215&amp;'Data input'!$K$1188:$K$1215,'Data input'!$L$1188:$L$1215)</f>
        <v>0.50229999999999997</v>
      </c>
      <c r="J299" s="337">
        <f t="shared" si="23"/>
        <v>1.8417666666666666</v>
      </c>
      <c r="K299" s="426">
        <f>SUMIFS('Data input'!$L$1220:$L$1247,'Data input'!$I$1220:$I$1247,F299,'Data input'!$J$1220:$J$1247,G299,'Data input'!$K$1220:$K$1247,H299)</f>
        <v>2</v>
      </c>
      <c r="L299" s="430">
        <f t="shared" si="25"/>
        <v>3.6835333333333331</v>
      </c>
      <c r="M299" s="330"/>
    </row>
    <row r="300" spans="5:13">
      <c r="E300" s="330"/>
      <c r="F300" s="207">
        <v>2026</v>
      </c>
      <c r="G300" s="147" t="s">
        <v>395</v>
      </c>
      <c r="H300" s="214" t="s">
        <v>173</v>
      </c>
      <c r="I300" s="207" cm="1">
        <f t="array" ref="I300">_xlfn.XLOOKUP(F300&amp;G300&amp;H300,'Data input'!$I$1188:$I$1215&amp;'Data input'!$J$1188:$J$1215&amp;'Data input'!$K$1188:$K$1215,'Data input'!$L$1188:$L$1215)</f>
        <v>0.50239999999999996</v>
      </c>
      <c r="J300" s="337">
        <f t="shared" si="23"/>
        <v>1.8421333333333332</v>
      </c>
      <c r="K300" s="426">
        <f>SUMIFS('Data input'!$L$1220:$L$1247,'Data input'!$I$1220:$I$1247,F300,'Data input'!$J$1220:$J$1247,G300,'Data input'!$K$1220:$K$1247,H300)</f>
        <v>2.1</v>
      </c>
      <c r="L300" s="430">
        <f t="shared" si="25"/>
        <v>3.8684799999999999</v>
      </c>
      <c r="M300" s="330"/>
    </row>
    <row r="301" spans="5:13">
      <c r="E301" s="330"/>
      <c r="F301" s="207">
        <v>2020</v>
      </c>
      <c r="G301" s="147" t="s">
        <v>395</v>
      </c>
      <c r="H301" s="214" t="s">
        <v>212</v>
      </c>
      <c r="I301" s="207" cm="1">
        <f t="array" ref="I301">_xlfn.XLOOKUP(F301&amp;G301&amp;H301,'Data input'!$I$1188:$I$1215&amp;'Data input'!$J$1188:$J$1215&amp;'Data input'!$K$1188:$K$1215,'Data input'!$L$1188:$L$1215)</f>
        <v>0.50249999999999995</v>
      </c>
      <c r="J301" s="337">
        <f t="shared" si="23"/>
        <v>1.8424999999999998</v>
      </c>
      <c r="K301" s="426">
        <f>SUMIFS('Data input'!$L$1220:$L$1247,'Data input'!$I$1220:$I$1247,F301,'Data input'!$J$1220:$J$1247,G301,'Data input'!$K$1220:$K$1247,H301)</f>
        <v>2.2000000000000002</v>
      </c>
      <c r="L301" s="430">
        <f t="shared" si="25"/>
        <v>4.0534999999999997</v>
      </c>
      <c r="M301" s="330"/>
    </row>
    <row r="302" spans="5:13">
      <c r="E302" s="330"/>
      <c r="F302" s="207">
        <v>2021</v>
      </c>
      <c r="G302" s="147" t="s">
        <v>395</v>
      </c>
      <c r="H302" s="214" t="s">
        <v>212</v>
      </c>
      <c r="I302" s="207" cm="1">
        <f t="array" ref="I302">_xlfn.XLOOKUP(F302&amp;G302&amp;H302,'Data input'!$I$1188:$I$1215&amp;'Data input'!$J$1188:$J$1215&amp;'Data input'!$K$1188:$K$1215,'Data input'!$L$1188:$L$1215)</f>
        <v>0.41</v>
      </c>
      <c r="J302" s="337">
        <f t="shared" si="23"/>
        <v>1.5033333333333332</v>
      </c>
      <c r="K302" s="426">
        <f>SUMIFS('Data input'!$L$1220:$L$1247,'Data input'!$I$1220:$I$1247,F302,'Data input'!$J$1220:$J$1247,G302,'Data input'!$K$1220:$K$1247,H302)</f>
        <v>2.2999999999999998</v>
      </c>
      <c r="L302" s="430">
        <f t="shared" si="25"/>
        <v>3.457666666666666</v>
      </c>
      <c r="M302" s="330"/>
    </row>
    <row r="303" spans="5:13">
      <c r="E303" s="330"/>
      <c r="F303" s="207">
        <v>2022</v>
      </c>
      <c r="G303" s="147" t="s">
        <v>395</v>
      </c>
      <c r="H303" s="214" t="s">
        <v>212</v>
      </c>
      <c r="I303" s="207" cm="1">
        <f t="array" ref="I303">_xlfn.XLOOKUP(F303&amp;G303&amp;H303,'Data input'!$I$1188:$I$1215&amp;'Data input'!$J$1188:$J$1215&amp;'Data input'!$K$1188:$K$1215,'Data input'!$L$1188:$L$1215)</f>
        <v>0.41099999999999998</v>
      </c>
      <c r="J303" s="337">
        <f t="shared" si="23"/>
        <v>1.5069999999999999</v>
      </c>
      <c r="K303" s="426">
        <f>SUMIFS('Data input'!$L$1220:$L$1247,'Data input'!$I$1220:$I$1247,F303,'Data input'!$J$1220:$J$1247,G303,'Data input'!$K$1220:$K$1247,H303)</f>
        <v>2.4</v>
      </c>
      <c r="L303" s="430">
        <f t="shared" si="25"/>
        <v>3.6167999999999996</v>
      </c>
      <c r="M303" s="330"/>
    </row>
    <row r="304" spans="5:13">
      <c r="E304" s="330"/>
      <c r="F304" s="207">
        <v>2023</v>
      </c>
      <c r="G304" s="147" t="s">
        <v>395</v>
      </c>
      <c r="H304" s="214" t="s">
        <v>212</v>
      </c>
      <c r="I304" s="207" cm="1">
        <f t="array" ref="I304">_xlfn.XLOOKUP(F304&amp;G304&amp;H304,'Data input'!$I$1188:$I$1215&amp;'Data input'!$J$1188:$J$1215&amp;'Data input'!$K$1188:$K$1215,'Data input'!$L$1188:$L$1215)</f>
        <v>0.41199999999999998</v>
      </c>
      <c r="J304" s="337">
        <f t="shared" si="23"/>
        <v>1.5106666666666666</v>
      </c>
      <c r="K304" s="426">
        <f>SUMIFS('Data input'!$L$1220:$L$1247,'Data input'!$I$1220:$I$1247,F304,'Data input'!$J$1220:$J$1247,G304,'Data input'!$K$1220:$K$1247,H304)</f>
        <v>2</v>
      </c>
      <c r="L304" s="430">
        <f t="shared" si="25"/>
        <v>3.0213333333333332</v>
      </c>
      <c r="M304" s="330"/>
    </row>
    <row r="305" spans="5:13">
      <c r="E305" s="330"/>
      <c r="F305" s="207">
        <v>2024</v>
      </c>
      <c r="G305" s="147" t="s">
        <v>395</v>
      </c>
      <c r="H305" s="214" t="s">
        <v>212</v>
      </c>
      <c r="I305" s="207" cm="1">
        <f t="array" ref="I305">_xlfn.XLOOKUP(F305&amp;G305&amp;H305,'Data input'!$I$1188:$I$1215&amp;'Data input'!$J$1188:$J$1215&amp;'Data input'!$K$1188:$K$1215,'Data input'!$L$1188:$L$1215)</f>
        <v>0.41299999999999998</v>
      </c>
      <c r="J305" s="337">
        <f t="shared" si="23"/>
        <v>1.5143333333333331</v>
      </c>
      <c r="K305" s="426">
        <f>SUMIFS('Data input'!$L$1220:$L$1247,'Data input'!$I$1220:$I$1247,F305,'Data input'!$J$1220:$J$1247,G305,'Data input'!$K$1220:$K$1247,H305)</f>
        <v>2.1</v>
      </c>
      <c r="L305" s="430">
        <f t="shared" si="25"/>
        <v>3.1800999999999995</v>
      </c>
      <c r="M305" s="330"/>
    </row>
    <row r="306" spans="5:13">
      <c r="E306" s="330"/>
      <c r="F306" s="207">
        <v>2025</v>
      </c>
      <c r="G306" s="147" t="s">
        <v>395</v>
      </c>
      <c r="H306" s="214" t="s">
        <v>212</v>
      </c>
      <c r="I306" s="207" cm="1">
        <f t="array" ref="I306">_xlfn.XLOOKUP(F306&amp;G306&amp;H306,'Data input'!$I$1188:$I$1215&amp;'Data input'!$J$1188:$J$1215&amp;'Data input'!$K$1188:$K$1215,'Data input'!$L$1188:$L$1215)</f>
        <v>0.50239999999999996</v>
      </c>
      <c r="J306" s="337">
        <f t="shared" si="23"/>
        <v>1.8421333333333332</v>
      </c>
      <c r="K306" s="426">
        <f>SUMIFS('Data input'!$L$1220:$L$1247,'Data input'!$I$1220:$I$1247,F306,'Data input'!$J$1220:$J$1247,G306,'Data input'!$K$1220:$K$1247,H306)</f>
        <v>2.2000000000000002</v>
      </c>
      <c r="L306" s="430">
        <f t="shared" si="25"/>
        <v>4.052693333333333</v>
      </c>
      <c r="M306" s="330"/>
    </row>
    <row r="307" spans="5:13">
      <c r="E307" s="330"/>
      <c r="F307" s="207">
        <v>2026</v>
      </c>
      <c r="G307" s="147" t="s">
        <v>395</v>
      </c>
      <c r="H307" s="214" t="s">
        <v>212</v>
      </c>
      <c r="I307" s="207" cm="1">
        <f t="array" ref="I307">_xlfn.XLOOKUP(F307&amp;G307&amp;H307,'Data input'!$I$1188:$I$1215&amp;'Data input'!$J$1188:$J$1215&amp;'Data input'!$K$1188:$K$1215,'Data input'!$L$1188:$L$1215)</f>
        <v>0.50249999999999995</v>
      </c>
      <c r="J307" s="337">
        <f t="shared" si="23"/>
        <v>1.8424999999999998</v>
      </c>
      <c r="K307" s="426">
        <f>SUMIFS('Data input'!$L$1220:$L$1247,'Data input'!$I$1220:$I$1247,F307,'Data input'!$J$1220:$J$1247,G307,'Data input'!$K$1220:$K$1247,H307)</f>
        <v>2</v>
      </c>
      <c r="L307" s="430">
        <f t="shared" si="25"/>
        <v>3.6849999999999996</v>
      </c>
      <c r="M307" s="330"/>
    </row>
    <row r="308" spans="5:13">
      <c r="E308" s="330"/>
      <c r="F308" s="207">
        <v>2020</v>
      </c>
      <c r="G308" s="147" t="s">
        <v>396</v>
      </c>
      <c r="H308" s="214" t="s">
        <v>173</v>
      </c>
      <c r="I308" s="207" cm="1">
        <f t="array" ref="I308">_xlfn.XLOOKUP(F308&amp;G308&amp;H308,'Data input'!$I$1188:$I$1215&amp;'Data input'!$J$1188:$J$1215&amp;'Data input'!$K$1188:$K$1215,'Data input'!$L$1188:$L$1215)</f>
        <v>0.50239999999999996</v>
      </c>
      <c r="J308" s="337">
        <f t="shared" si="23"/>
        <v>1.8421333333333332</v>
      </c>
      <c r="K308" s="426">
        <f>SUMIFS('Data input'!$L$1220:$L$1247,'Data input'!$I$1220:$I$1247,F308,'Data input'!$J$1220:$J$1247,G308,'Data input'!$K$1220:$K$1247,H308)</f>
        <v>2.1</v>
      </c>
      <c r="L308" s="430">
        <f t="shared" si="25"/>
        <v>3.8684799999999999</v>
      </c>
      <c r="M308" s="330"/>
    </row>
    <row r="309" spans="5:13">
      <c r="E309" s="330"/>
      <c r="F309" s="207">
        <v>2021</v>
      </c>
      <c r="G309" s="147" t="s">
        <v>396</v>
      </c>
      <c r="H309" s="214" t="s">
        <v>173</v>
      </c>
      <c r="I309" s="207" cm="1">
        <f t="array" ref="I309">_xlfn.XLOOKUP(F309&amp;G309&amp;H309,'Data input'!$I$1188:$I$1215&amp;'Data input'!$J$1188:$J$1215&amp;'Data input'!$K$1188:$K$1215,'Data input'!$L$1188:$L$1215)</f>
        <v>0.50249999999999995</v>
      </c>
      <c r="J309" s="337">
        <f t="shared" si="23"/>
        <v>1.8424999999999998</v>
      </c>
      <c r="K309" s="426">
        <f>SUMIFS('Data input'!$L$1220:$L$1247,'Data input'!$I$1220:$I$1247,F309,'Data input'!$J$1220:$J$1247,G309,'Data input'!$K$1220:$K$1247,H309)</f>
        <v>2.2000000000000002</v>
      </c>
      <c r="L309" s="430">
        <f t="shared" si="25"/>
        <v>4.0534999999999997</v>
      </c>
      <c r="M309" s="330"/>
    </row>
    <row r="310" spans="5:13">
      <c r="E310" s="330"/>
      <c r="F310" s="207">
        <v>2022</v>
      </c>
      <c r="G310" s="147" t="s">
        <v>396</v>
      </c>
      <c r="H310" s="214" t="s">
        <v>173</v>
      </c>
      <c r="I310" s="207" cm="1">
        <f t="array" ref="I310">_xlfn.XLOOKUP(F310&amp;G310&amp;H310,'Data input'!$I$1188:$I$1215&amp;'Data input'!$J$1188:$J$1215&amp;'Data input'!$K$1188:$K$1215,'Data input'!$L$1188:$L$1215)</f>
        <v>0.41</v>
      </c>
      <c r="J310" s="337">
        <f t="shared" si="23"/>
        <v>1.5033333333333332</v>
      </c>
      <c r="K310" s="426">
        <f>SUMIFS('Data input'!$L$1220:$L$1247,'Data input'!$I$1220:$I$1247,F310,'Data input'!$J$1220:$J$1247,G310,'Data input'!$K$1220:$K$1247,H310)</f>
        <v>2.2999999999999998</v>
      </c>
      <c r="L310" s="430">
        <f t="shared" si="25"/>
        <v>3.457666666666666</v>
      </c>
      <c r="M310" s="330"/>
    </row>
    <row r="311" spans="5:13">
      <c r="E311" s="330"/>
      <c r="F311" s="207">
        <v>2023</v>
      </c>
      <c r="G311" s="147" t="s">
        <v>396</v>
      </c>
      <c r="H311" s="214" t="s">
        <v>173</v>
      </c>
      <c r="I311" s="207" cm="1">
        <f t="array" ref="I311">_xlfn.XLOOKUP(F311&amp;G311&amp;H311,'Data input'!$I$1188:$I$1215&amp;'Data input'!$J$1188:$J$1215&amp;'Data input'!$K$1188:$K$1215,'Data input'!$L$1188:$L$1215)</f>
        <v>0.41099999999999998</v>
      </c>
      <c r="J311" s="337">
        <f t="shared" si="23"/>
        <v>1.5069999999999999</v>
      </c>
      <c r="K311" s="426">
        <f>SUMIFS('Data input'!$L$1220:$L$1247,'Data input'!$I$1220:$I$1247,F311,'Data input'!$J$1220:$J$1247,G311,'Data input'!$K$1220:$K$1247,H311)</f>
        <v>2.4</v>
      </c>
      <c r="L311" s="430">
        <f t="shared" si="25"/>
        <v>3.6167999999999996</v>
      </c>
      <c r="M311" s="330"/>
    </row>
    <row r="312" spans="5:13">
      <c r="E312" s="330"/>
      <c r="F312" s="207">
        <v>2024</v>
      </c>
      <c r="G312" s="147" t="s">
        <v>396</v>
      </c>
      <c r="H312" s="214" t="s">
        <v>173</v>
      </c>
      <c r="I312" s="207" cm="1">
        <f t="array" ref="I312">_xlfn.XLOOKUP(F312&amp;G312&amp;H312,'Data input'!$I$1188:$I$1215&amp;'Data input'!$J$1188:$J$1215&amp;'Data input'!$K$1188:$K$1215,'Data input'!$L$1188:$L$1215)</f>
        <v>0.41199999999999998</v>
      </c>
      <c r="J312" s="337">
        <f t="shared" si="23"/>
        <v>1.5106666666666666</v>
      </c>
      <c r="K312" s="426">
        <f>SUMIFS('Data input'!$L$1220:$L$1247,'Data input'!$I$1220:$I$1247,F312,'Data input'!$J$1220:$J$1247,G312,'Data input'!$K$1220:$K$1247,H312)</f>
        <v>2</v>
      </c>
      <c r="L312" s="430">
        <f t="shared" si="25"/>
        <v>3.0213333333333332</v>
      </c>
      <c r="M312" s="330"/>
    </row>
    <row r="313" spans="5:13">
      <c r="E313" s="330"/>
      <c r="F313" s="207">
        <v>2025</v>
      </c>
      <c r="G313" s="147" t="s">
        <v>396</v>
      </c>
      <c r="H313" s="214" t="s">
        <v>173</v>
      </c>
      <c r="I313" s="207" cm="1">
        <f t="array" ref="I313">_xlfn.XLOOKUP(F313&amp;G313&amp;H313,'Data input'!$I$1188:$I$1215&amp;'Data input'!$J$1188:$J$1215&amp;'Data input'!$K$1188:$K$1215,'Data input'!$L$1188:$L$1215)</f>
        <v>0.41299999999999998</v>
      </c>
      <c r="J313" s="337">
        <f t="shared" si="23"/>
        <v>1.5143333333333331</v>
      </c>
      <c r="K313" s="426">
        <f>SUMIFS('Data input'!$L$1220:$L$1247,'Data input'!$I$1220:$I$1247,F313,'Data input'!$J$1220:$J$1247,G313,'Data input'!$K$1220:$K$1247,H313)</f>
        <v>2.1</v>
      </c>
      <c r="L313" s="430">
        <f t="shared" si="25"/>
        <v>3.1800999999999995</v>
      </c>
      <c r="M313" s="330"/>
    </row>
    <row r="314" spans="5:13">
      <c r="E314" s="330"/>
      <c r="F314" s="207">
        <v>2026</v>
      </c>
      <c r="G314" s="147" t="s">
        <v>396</v>
      </c>
      <c r="H314" s="214" t="s">
        <v>173</v>
      </c>
      <c r="I314" s="207" cm="1">
        <f t="array" ref="I314">_xlfn.XLOOKUP(F314&amp;G314&amp;H314,'Data input'!$I$1188:$I$1215&amp;'Data input'!$J$1188:$J$1215&amp;'Data input'!$K$1188:$K$1215,'Data input'!$L$1188:$L$1215)</f>
        <v>0.50239999999999996</v>
      </c>
      <c r="J314" s="337">
        <f t="shared" si="23"/>
        <v>1.8421333333333332</v>
      </c>
      <c r="K314" s="426">
        <f>SUMIFS('Data input'!$L$1220:$L$1247,'Data input'!$I$1220:$I$1247,F314,'Data input'!$J$1220:$J$1247,G314,'Data input'!$K$1220:$K$1247,H314)</f>
        <v>2.2000000000000002</v>
      </c>
      <c r="L314" s="430">
        <f t="shared" si="25"/>
        <v>4.052693333333333</v>
      </c>
      <c r="M314" s="330"/>
    </row>
    <row r="315" spans="5:13">
      <c r="E315" s="330"/>
      <c r="F315" s="207">
        <v>2020</v>
      </c>
      <c r="G315" s="147" t="s">
        <v>396</v>
      </c>
      <c r="H315" s="214" t="s">
        <v>212</v>
      </c>
      <c r="I315" s="207" cm="1">
        <f t="array" ref="I315">_xlfn.XLOOKUP(F315&amp;G315&amp;H315,'Data input'!$I$1188:$I$1215&amp;'Data input'!$J$1188:$J$1215&amp;'Data input'!$K$1188:$K$1215,'Data input'!$L$1188:$L$1215)</f>
        <v>0.50249999999999995</v>
      </c>
      <c r="J315" s="337">
        <f t="shared" si="23"/>
        <v>1.8424999999999998</v>
      </c>
      <c r="K315" s="426">
        <f>SUMIFS('Data input'!$L$1220:$L$1247,'Data input'!$I$1220:$I$1247,F315,'Data input'!$J$1220:$J$1247,G315,'Data input'!$K$1220:$K$1247,H315)</f>
        <v>2.2999999999999998</v>
      </c>
      <c r="L315" s="430">
        <f t="shared" si="25"/>
        <v>4.2377499999999992</v>
      </c>
      <c r="M315" s="330"/>
    </row>
    <row r="316" spans="5:13">
      <c r="E316" s="330"/>
      <c r="F316" s="207">
        <v>2021</v>
      </c>
      <c r="G316" s="147" t="s">
        <v>396</v>
      </c>
      <c r="H316" s="214" t="s">
        <v>212</v>
      </c>
      <c r="I316" s="207" cm="1">
        <f t="array" ref="I316">_xlfn.XLOOKUP(F316&amp;G316&amp;H316,'Data input'!$I$1188:$I$1215&amp;'Data input'!$J$1188:$J$1215&amp;'Data input'!$K$1188:$K$1215,'Data input'!$L$1188:$L$1215)</f>
        <v>0.41</v>
      </c>
      <c r="J316" s="337">
        <f t="shared" si="23"/>
        <v>1.5033333333333332</v>
      </c>
      <c r="K316" s="426">
        <f>SUMIFS('Data input'!$L$1220:$L$1247,'Data input'!$I$1220:$I$1247,F316,'Data input'!$J$1220:$J$1247,G316,'Data input'!$K$1220:$K$1247,H316)</f>
        <v>2.4</v>
      </c>
      <c r="L316" s="430">
        <f t="shared" si="25"/>
        <v>3.6079999999999997</v>
      </c>
      <c r="M316" s="330"/>
    </row>
    <row r="317" spans="5:13">
      <c r="E317" s="330"/>
      <c r="F317" s="207">
        <v>2022</v>
      </c>
      <c r="G317" s="147" t="s">
        <v>396</v>
      </c>
      <c r="H317" s="214" t="s">
        <v>212</v>
      </c>
      <c r="I317" s="207" cm="1">
        <f t="array" ref="I317">_xlfn.XLOOKUP(F317&amp;G317&amp;H317,'Data input'!$I$1188:$I$1215&amp;'Data input'!$J$1188:$J$1215&amp;'Data input'!$K$1188:$K$1215,'Data input'!$L$1188:$L$1215)</f>
        <v>0.41099999999999998</v>
      </c>
      <c r="J317" s="337">
        <f t="shared" si="23"/>
        <v>1.5069999999999999</v>
      </c>
      <c r="K317" s="426">
        <f>SUMIFS('Data input'!$L$1220:$L$1247,'Data input'!$I$1220:$I$1247,F317,'Data input'!$J$1220:$J$1247,G317,'Data input'!$K$1220:$K$1247,H317)</f>
        <v>3.3</v>
      </c>
      <c r="L317" s="430">
        <f t="shared" si="25"/>
        <v>4.9730999999999996</v>
      </c>
      <c r="M317" s="330"/>
    </row>
    <row r="318" spans="5:13">
      <c r="E318" s="330"/>
      <c r="F318" s="207">
        <v>2023</v>
      </c>
      <c r="G318" s="147" t="s">
        <v>396</v>
      </c>
      <c r="H318" s="214" t="s">
        <v>212</v>
      </c>
      <c r="I318" s="207" cm="1">
        <f t="array" ref="I318">_xlfn.XLOOKUP(F318&amp;G318&amp;H318,'Data input'!$I$1188:$I$1215&amp;'Data input'!$J$1188:$J$1215&amp;'Data input'!$K$1188:$K$1215,'Data input'!$L$1188:$L$1215)</f>
        <v>0.41199999999999998</v>
      </c>
      <c r="J318" s="337">
        <f t="shared" si="23"/>
        <v>1.5106666666666666</v>
      </c>
      <c r="K318" s="426">
        <f>SUMIFS('Data input'!$L$1220:$L$1247,'Data input'!$I$1220:$I$1247,F318,'Data input'!$J$1220:$J$1247,G318,'Data input'!$K$1220:$K$1247,H318)</f>
        <v>3.4</v>
      </c>
      <c r="L318" s="430">
        <f t="shared" si="25"/>
        <v>5.1362666666666659</v>
      </c>
      <c r="M318" s="330"/>
    </row>
    <row r="319" spans="5:13">
      <c r="E319" s="330"/>
      <c r="F319" s="207">
        <v>2024</v>
      </c>
      <c r="G319" s="147" t="s">
        <v>396</v>
      </c>
      <c r="H319" s="214" t="s">
        <v>212</v>
      </c>
      <c r="I319" s="207" cm="1">
        <f t="array" ref="I319">_xlfn.XLOOKUP(F319&amp;G319&amp;H319,'Data input'!$I$1188:$I$1215&amp;'Data input'!$J$1188:$J$1215&amp;'Data input'!$K$1188:$K$1215,'Data input'!$L$1188:$L$1215)</f>
        <v>0.41299999999999998</v>
      </c>
      <c r="J319" s="337">
        <f t="shared" si="23"/>
        <v>1.5143333333333331</v>
      </c>
      <c r="K319" s="426">
        <f>SUMIFS('Data input'!$L$1220:$L$1247,'Data input'!$I$1220:$I$1247,F319,'Data input'!$J$1220:$J$1247,G319,'Data input'!$K$1220:$K$1247,H319)</f>
        <v>3.5</v>
      </c>
      <c r="L319" s="430">
        <f t="shared" si="25"/>
        <v>5.3001666666666658</v>
      </c>
      <c r="M319" s="330"/>
    </row>
    <row r="320" spans="5:13">
      <c r="E320" s="330"/>
      <c r="F320" s="207">
        <v>2025</v>
      </c>
      <c r="G320" s="147" t="s">
        <v>396</v>
      </c>
      <c r="H320" s="214" t="s">
        <v>212</v>
      </c>
      <c r="I320" s="207" cm="1">
        <f t="array" ref="I320">_xlfn.XLOOKUP(F320&amp;G320&amp;H320,'Data input'!$I$1188:$I$1215&amp;'Data input'!$J$1188:$J$1215&amp;'Data input'!$K$1188:$K$1215,'Data input'!$L$1188:$L$1215)</f>
        <v>0.42199999999999999</v>
      </c>
      <c r="J320" s="337">
        <f t="shared" si="23"/>
        <v>1.5473333333333332</v>
      </c>
      <c r="K320" s="426">
        <f>SUMIFS('Data input'!$L$1220:$L$1247,'Data input'!$I$1220:$I$1247,F320,'Data input'!$J$1220:$J$1247,G320,'Data input'!$K$1220:$K$1247,H320)</f>
        <v>3.6</v>
      </c>
      <c r="L320" s="430">
        <f t="shared" si="25"/>
        <v>5.5703999999999994</v>
      </c>
      <c r="M320" s="330"/>
    </row>
    <row r="321" spans="5:14">
      <c r="E321" s="330"/>
      <c r="F321" s="208">
        <v>2026</v>
      </c>
      <c r="G321" s="211" t="s">
        <v>396</v>
      </c>
      <c r="H321" s="215" t="s">
        <v>212</v>
      </c>
      <c r="I321" s="208" cm="1">
        <f t="array" ref="I321">_xlfn.XLOOKUP(F321&amp;G321&amp;H321,'Data input'!$I$1188:$I$1215&amp;'Data input'!$J$1188:$J$1215&amp;'Data input'!$K$1188:$K$1215,'Data input'!$L$1188:$L$1215)</f>
        <v>0.42299999999999999</v>
      </c>
      <c r="J321" s="431">
        <f t="shared" si="23"/>
        <v>1.5509999999999999</v>
      </c>
      <c r="K321" s="432">
        <f>SUMIFS('Data input'!$L$1220:$L$1247,'Data input'!$I$1220:$I$1247,F321,'Data input'!$J$1220:$J$1247,G321,'Data input'!$K$1220:$K$1247,H321)</f>
        <v>3.7</v>
      </c>
      <c r="L321" s="433">
        <f t="shared" si="25"/>
        <v>5.7386999999999997</v>
      </c>
      <c r="M321" s="330"/>
    </row>
    <row r="322" spans="5:14">
      <c r="F322" s="330"/>
      <c r="G322" s="330"/>
      <c r="H322" s="330"/>
      <c r="I322" s="330"/>
      <c r="J322" s="330"/>
      <c r="K322" s="330"/>
      <c r="L322" s="338">
        <f>SUM(L294:L321)</f>
        <v>107.06465</v>
      </c>
    </row>
    <row r="323" spans="5:14">
      <c r="F323" s="330"/>
      <c r="G323" s="330"/>
      <c r="H323" s="330"/>
      <c r="L323" s="376"/>
    </row>
    <row r="324" spans="5:14">
      <c r="F324" s="330"/>
      <c r="G324" s="330"/>
      <c r="H324" s="330"/>
      <c r="L324" s="376"/>
    </row>
    <row r="325" spans="5:14">
      <c r="F325" s="330"/>
      <c r="G325" s="330"/>
      <c r="H325" s="330"/>
      <c r="L325" s="376"/>
    </row>
    <row r="327" spans="5:14">
      <c r="F327" s="381" t="s">
        <v>397</v>
      </c>
    </row>
    <row r="328" spans="5:14">
      <c r="F328" s="309"/>
      <c r="G328" s="310"/>
      <c r="H328" s="311"/>
      <c r="I328" s="312"/>
      <c r="J328" s="310"/>
      <c r="K328" s="317" t="s">
        <v>84</v>
      </c>
      <c r="L328" s="310"/>
      <c r="M328" s="318" t="s">
        <v>84</v>
      </c>
    </row>
    <row r="329" spans="5:14">
      <c r="F329" s="313"/>
      <c r="H329" s="314"/>
      <c r="I329" s="315"/>
      <c r="K329" s="374" t="s">
        <v>38</v>
      </c>
      <c r="M329" s="319" t="s">
        <v>12</v>
      </c>
    </row>
    <row r="330" spans="5:14" ht="17">
      <c r="F330" s="152" t="s">
        <v>335</v>
      </c>
      <c r="G330" s="147" t="s">
        <v>364</v>
      </c>
      <c r="H330" s="229" t="s">
        <v>241</v>
      </c>
      <c r="I330" s="152" t="s">
        <v>365</v>
      </c>
      <c r="J330" s="377" t="s">
        <v>372</v>
      </c>
      <c r="K330" s="375" t="s">
        <v>123</v>
      </c>
      <c r="L330" s="147" t="s">
        <v>120</v>
      </c>
      <c r="M330" s="383" t="s">
        <v>394</v>
      </c>
    </row>
    <row r="331" spans="5:14" ht="17">
      <c r="F331" s="152"/>
      <c r="G331" s="157"/>
      <c r="H331" s="153"/>
      <c r="I331" s="152" t="s">
        <v>124</v>
      </c>
      <c r="J331" s="157" t="s">
        <v>373</v>
      </c>
      <c r="K331" s="333" t="s">
        <v>124</v>
      </c>
      <c r="L331" s="157" t="s">
        <v>367</v>
      </c>
      <c r="M331" s="320" t="s">
        <v>368</v>
      </c>
    </row>
    <row r="332" spans="5:14">
      <c r="E332" s="330"/>
      <c r="F332" s="205">
        <v>2020</v>
      </c>
      <c r="G332" s="226" t="s">
        <v>395</v>
      </c>
      <c r="H332" s="225" t="s">
        <v>173</v>
      </c>
      <c r="I332" s="205" cm="1">
        <f t="array" ref="I332">_xlfn.XLOOKUP(F332&amp;G332&amp;H332, 'Data input'!$I$1188:$I$1215&amp;'Data input'!$J$1188:$J$1215&amp;'Data input'!$K$1188:$K$1215,'Data input'!$L$1188:$L$1215)</f>
        <v>0.41199999999999998</v>
      </c>
      <c r="J332" s="195">
        <f>_xlfn.XLOOKUP(G332,'Data input'!$I$1258:$I$1259,'Data input'!$J$1258:$J$1259)</f>
        <v>8.4000000000000003E-4</v>
      </c>
      <c r="K332" s="437">
        <f t="shared" ref="K332:K333" si="26">I332*J332*(44/12)</f>
        <v>1.26896E-3</v>
      </c>
      <c r="L332" s="428">
        <f>SUMIFS('Data input'!$L$1220:$L$1247,'Data input'!$I$1220:$I$1247,F332,'Data input'!$J$1220:$J$1247,G332,'Data input'!$K$1220:$K$1247,H332)</f>
        <v>1.5</v>
      </c>
      <c r="M332" s="458">
        <f t="shared" ref="M332:M359" si="27">K332*L332</f>
        <v>1.9034399999999999E-3</v>
      </c>
      <c r="N332" s="330"/>
    </row>
    <row r="333" spans="5:14">
      <c r="E333" s="330"/>
      <c r="F333" s="207">
        <v>2021</v>
      </c>
      <c r="G333" s="147" t="s">
        <v>395</v>
      </c>
      <c r="H333" s="214" t="s">
        <v>173</v>
      </c>
      <c r="I333" s="207" cm="1">
        <f t="array" ref="I333">_xlfn.XLOOKUP(F333&amp;G333&amp;H333, 'Data input'!$I$1188:$I$1215&amp;'Data input'!$J$1188:$J$1215&amp;'Data input'!$K$1188:$K$1215,'Data input'!$L$1188:$L$1215)</f>
        <v>0.41299999999999998</v>
      </c>
      <c r="J333" s="181">
        <f>_xlfn.XLOOKUP(G333,'Data input'!$I$1258:$I$1259,'Data input'!$J$1258:$J$1259)</f>
        <v>8.4000000000000003E-4</v>
      </c>
      <c r="K333" s="335">
        <f t="shared" si="26"/>
        <v>1.2720400000000001E-3</v>
      </c>
      <c r="L333" s="426">
        <f>SUMIFS('Data input'!$L$1220:$L$1247,'Data input'!$I$1220:$I$1247,F333,'Data input'!$J$1220:$J$1247,G333,'Data input'!$K$1220:$K$1247,H333)</f>
        <v>1.6</v>
      </c>
      <c r="M333" s="460">
        <f t="shared" si="27"/>
        <v>2.0352640000000002E-3</v>
      </c>
      <c r="N333" s="330"/>
    </row>
    <row r="334" spans="5:14">
      <c r="E334" s="330"/>
      <c r="F334" s="207">
        <v>2022</v>
      </c>
      <c r="G334" s="147" t="s">
        <v>395</v>
      </c>
      <c r="H334" s="214" t="s">
        <v>173</v>
      </c>
      <c r="I334" s="207" cm="1">
        <f t="array" ref="I334">_xlfn.XLOOKUP(F334&amp;G334&amp;H334, 'Data input'!$I$1188:$I$1215&amp;'Data input'!$J$1188:$J$1215&amp;'Data input'!$K$1188:$K$1215,'Data input'!$L$1188:$L$1215)</f>
        <v>0.502</v>
      </c>
      <c r="J334" s="181">
        <f>_xlfn.XLOOKUP(G334,'Data input'!$I$1258:$I$1259,'Data input'!$J$1258:$J$1259)</f>
        <v>8.4000000000000003E-4</v>
      </c>
      <c r="K334" s="335">
        <f t="shared" ref="K334:K359" si="28">I334*J334*(44/12)</f>
        <v>1.54616E-3</v>
      </c>
      <c r="L334" s="426">
        <f>SUMIFS('Data input'!$L$1220:$L$1247,'Data input'!$I$1220:$I$1247,F334,'Data input'!$J$1220:$J$1247,G334,'Data input'!$K$1220:$K$1247,H334)</f>
        <v>1.7</v>
      </c>
      <c r="M334" s="460">
        <f t="shared" si="27"/>
        <v>2.6284719999999998E-3</v>
      </c>
      <c r="N334" s="330"/>
    </row>
    <row r="335" spans="5:14">
      <c r="E335" s="330"/>
      <c r="F335" s="207">
        <v>2023</v>
      </c>
      <c r="G335" s="147" t="s">
        <v>395</v>
      </c>
      <c r="H335" s="214" t="s">
        <v>173</v>
      </c>
      <c r="I335" s="207" cm="1">
        <f t="array" ref="I335">_xlfn.XLOOKUP(F335&amp;G335&amp;H335, 'Data input'!$I$1188:$I$1215&amp;'Data input'!$J$1188:$J$1215&amp;'Data input'!$K$1188:$K$1215,'Data input'!$L$1188:$L$1215)</f>
        <v>0.50209999999999999</v>
      </c>
      <c r="J335" s="181">
        <f>_xlfn.XLOOKUP(G335,'Data input'!$I$1258:$I$1259,'Data input'!$J$1258:$J$1259)</f>
        <v>8.4000000000000003E-4</v>
      </c>
      <c r="K335" s="335">
        <f t="shared" si="28"/>
        <v>1.5464680000000001E-3</v>
      </c>
      <c r="L335" s="426">
        <f>SUMIFS('Data input'!$L$1220:$L$1247,'Data input'!$I$1220:$I$1247,F335,'Data input'!$J$1220:$J$1247,G335,'Data input'!$K$1220:$K$1247,H335)</f>
        <v>1.8</v>
      </c>
      <c r="M335" s="460">
        <f t="shared" si="27"/>
        <v>2.7836424000000004E-3</v>
      </c>
      <c r="N335" s="330"/>
    </row>
    <row r="336" spans="5:14">
      <c r="E336" s="330"/>
      <c r="F336" s="207">
        <v>2024</v>
      </c>
      <c r="G336" s="147" t="s">
        <v>395</v>
      </c>
      <c r="H336" s="214" t="s">
        <v>173</v>
      </c>
      <c r="I336" s="207" cm="1">
        <f t="array" ref="I336">_xlfn.XLOOKUP(F336&amp;G336&amp;H336, 'Data input'!$I$1188:$I$1215&amp;'Data input'!$J$1188:$J$1215&amp;'Data input'!$K$1188:$K$1215,'Data input'!$L$1188:$L$1215)</f>
        <v>0.50219999999999998</v>
      </c>
      <c r="J336" s="181">
        <f>_xlfn.XLOOKUP(G336,'Data input'!$I$1258:$I$1259,'Data input'!$J$1258:$J$1259)</f>
        <v>8.4000000000000003E-4</v>
      </c>
      <c r="K336" s="335">
        <f t="shared" si="28"/>
        <v>1.5467759999999999E-3</v>
      </c>
      <c r="L336" s="426">
        <f>SUMIFS('Data input'!$L$1220:$L$1247,'Data input'!$I$1220:$I$1247,F336,'Data input'!$J$1220:$J$1247,G336,'Data input'!$K$1220:$K$1247,H336)</f>
        <v>1.9</v>
      </c>
      <c r="M336" s="460">
        <f t="shared" si="27"/>
        <v>2.9388743999999999E-3</v>
      </c>
      <c r="N336" s="330"/>
    </row>
    <row r="337" spans="5:14">
      <c r="E337" s="330"/>
      <c r="F337" s="207">
        <v>2025</v>
      </c>
      <c r="G337" s="147" t="s">
        <v>395</v>
      </c>
      <c r="H337" s="214" t="s">
        <v>173</v>
      </c>
      <c r="I337" s="207" cm="1">
        <f t="array" ref="I337">_xlfn.XLOOKUP(F337&amp;G337&amp;H337, 'Data input'!$I$1188:$I$1215&amp;'Data input'!$J$1188:$J$1215&amp;'Data input'!$K$1188:$K$1215,'Data input'!$L$1188:$L$1215)</f>
        <v>0.50229999999999997</v>
      </c>
      <c r="J337" s="181">
        <f>_xlfn.XLOOKUP(G337,'Data input'!$I$1258:$I$1259,'Data input'!$J$1258:$J$1259)</f>
        <v>8.4000000000000003E-4</v>
      </c>
      <c r="K337" s="335">
        <f t="shared" si="28"/>
        <v>1.5470839999999998E-3</v>
      </c>
      <c r="L337" s="426">
        <f>SUMIFS('Data input'!$L$1220:$L$1247,'Data input'!$I$1220:$I$1247,F337,'Data input'!$J$1220:$J$1247,G337,'Data input'!$K$1220:$K$1247,H337)</f>
        <v>2</v>
      </c>
      <c r="M337" s="460">
        <f t="shared" si="27"/>
        <v>3.0941679999999996E-3</v>
      </c>
      <c r="N337" s="330"/>
    </row>
    <row r="338" spans="5:14">
      <c r="E338" s="330"/>
      <c r="F338" s="207">
        <v>2026</v>
      </c>
      <c r="G338" s="147" t="s">
        <v>395</v>
      </c>
      <c r="H338" s="214" t="s">
        <v>173</v>
      </c>
      <c r="I338" s="207" cm="1">
        <f t="array" ref="I338">_xlfn.XLOOKUP(F338&amp;G338&amp;H338, 'Data input'!$I$1188:$I$1215&amp;'Data input'!$J$1188:$J$1215&amp;'Data input'!$K$1188:$K$1215,'Data input'!$L$1188:$L$1215)</f>
        <v>0.50239999999999996</v>
      </c>
      <c r="J338" s="181">
        <f>_xlfn.XLOOKUP(G338,'Data input'!$I$1258:$I$1259,'Data input'!$J$1258:$J$1259)</f>
        <v>8.4000000000000003E-4</v>
      </c>
      <c r="K338" s="335">
        <f t="shared" si="28"/>
        <v>1.5473919999999999E-3</v>
      </c>
      <c r="L338" s="426">
        <f>SUMIFS('Data input'!$L$1220:$L$1247,'Data input'!$I$1220:$I$1247,F338,'Data input'!$J$1220:$J$1247,G338,'Data input'!$K$1220:$K$1247,H338)</f>
        <v>2.1</v>
      </c>
      <c r="M338" s="460">
        <f t="shared" si="27"/>
        <v>3.2495231999999999E-3</v>
      </c>
      <c r="N338" s="330"/>
    </row>
    <row r="339" spans="5:14">
      <c r="E339" s="330"/>
      <c r="F339" s="207">
        <v>2020</v>
      </c>
      <c r="G339" s="147" t="s">
        <v>395</v>
      </c>
      <c r="H339" s="214" t="s">
        <v>212</v>
      </c>
      <c r="I339" s="207" cm="1">
        <f t="array" ref="I339">_xlfn.XLOOKUP(F339&amp;G339&amp;H339, 'Data input'!$I$1188:$I$1215&amp;'Data input'!$J$1188:$J$1215&amp;'Data input'!$K$1188:$K$1215,'Data input'!$L$1188:$L$1215)</f>
        <v>0.50249999999999995</v>
      </c>
      <c r="J339" s="181">
        <f>_xlfn.XLOOKUP(G339,'Data input'!$I$1258:$I$1259,'Data input'!$J$1258:$J$1259)</f>
        <v>8.4000000000000003E-4</v>
      </c>
      <c r="K339" s="335">
        <f t="shared" si="28"/>
        <v>1.5476999999999997E-3</v>
      </c>
      <c r="L339" s="426">
        <f>SUMIFS('Data input'!$L$1220:$L$1247,'Data input'!$I$1220:$I$1247,F339,'Data input'!$J$1220:$J$1247,G339,'Data input'!$K$1220:$K$1247,H339)</f>
        <v>2.2000000000000002</v>
      </c>
      <c r="M339" s="460">
        <f t="shared" si="27"/>
        <v>3.4049399999999995E-3</v>
      </c>
      <c r="N339" s="330"/>
    </row>
    <row r="340" spans="5:14">
      <c r="E340" s="330"/>
      <c r="F340" s="207">
        <v>2021</v>
      </c>
      <c r="G340" s="147" t="s">
        <v>395</v>
      </c>
      <c r="H340" s="214" t="s">
        <v>212</v>
      </c>
      <c r="I340" s="207" cm="1">
        <f t="array" ref="I340">_xlfn.XLOOKUP(F340&amp;G340&amp;H340, 'Data input'!$I$1188:$I$1215&amp;'Data input'!$J$1188:$J$1215&amp;'Data input'!$K$1188:$K$1215,'Data input'!$L$1188:$L$1215)</f>
        <v>0.41</v>
      </c>
      <c r="J340" s="181">
        <f>_xlfn.XLOOKUP(G340,'Data input'!$I$1258:$I$1259,'Data input'!$J$1258:$J$1259)</f>
        <v>8.4000000000000003E-4</v>
      </c>
      <c r="K340" s="335">
        <f t="shared" si="28"/>
        <v>1.2627999999999999E-3</v>
      </c>
      <c r="L340" s="426">
        <f>SUMIFS('Data input'!$L$1220:$L$1247,'Data input'!$I$1220:$I$1247,F340,'Data input'!$J$1220:$J$1247,G340,'Data input'!$K$1220:$K$1247,H340)</f>
        <v>2.2999999999999998</v>
      </c>
      <c r="M340" s="460">
        <f t="shared" si="27"/>
        <v>2.9044399999999995E-3</v>
      </c>
      <c r="N340" s="330"/>
    </row>
    <row r="341" spans="5:14">
      <c r="E341" s="330"/>
      <c r="F341" s="207">
        <v>2022</v>
      </c>
      <c r="G341" s="147" t="s">
        <v>395</v>
      </c>
      <c r="H341" s="214" t="s">
        <v>212</v>
      </c>
      <c r="I341" s="207" cm="1">
        <f t="array" ref="I341">_xlfn.XLOOKUP(F341&amp;G341&amp;H341, 'Data input'!$I$1188:$I$1215&amp;'Data input'!$J$1188:$J$1215&amp;'Data input'!$K$1188:$K$1215,'Data input'!$L$1188:$L$1215)</f>
        <v>0.41099999999999998</v>
      </c>
      <c r="J341" s="181">
        <f>_xlfn.XLOOKUP(G341,'Data input'!$I$1258:$I$1259,'Data input'!$J$1258:$J$1259)</f>
        <v>8.4000000000000003E-4</v>
      </c>
      <c r="K341" s="335">
        <f t="shared" si="28"/>
        <v>1.2658799999999998E-3</v>
      </c>
      <c r="L341" s="426">
        <f>SUMIFS('Data input'!$L$1220:$L$1247,'Data input'!$I$1220:$I$1247,F341,'Data input'!$J$1220:$J$1247,G341,'Data input'!$K$1220:$K$1247,H341)</f>
        <v>2.4</v>
      </c>
      <c r="M341" s="460">
        <f t="shared" si="27"/>
        <v>3.0381119999999995E-3</v>
      </c>
      <c r="N341" s="330"/>
    </row>
    <row r="342" spans="5:14">
      <c r="E342" s="330"/>
      <c r="F342" s="207">
        <v>2023</v>
      </c>
      <c r="G342" s="147" t="s">
        <v>395</v>
      </c>
      <c r="H342" s="214" t="s">
        <v>212</v>
      </c>
      <c r="I342" s="207" cm="1">
        <f t="array" ref="I342">_xlfn.XLOOKUP(F342&amp;G342&amp;H342, 'Data input'!$I$1188:$I$1215&amp;'Data input'!$J$1188:$J$1215&amp;'Data input'!$K$1188:$K$1215,'Data input'!$L$1188:$L$1215)</f>
        <v>0.41199999999999998</v>
      </c>
      <c r="J342" s="181">
        <f>_xlfn.XLOOKUP(G342,'Data input'!$I$1258:$I$1259,'Data input'!$J$1258:$J$1259)</f>
        <v>8.4000000000000003E-4</v>
      </c>
      <c r="K342" s="335">
        <f t="shared" si="28"/>
        <v>1.26896E-3</v>
      </c>
      <c r="L342" s="426">
        <f>SUMIFS('Data input'!$L$1220:$L$1247,'Data input'!$I$1220:$I$1247,F342,'Data input'!$J$1220:$J$1247,G342,'Data input'!$K$1220:$K$1247,H342)</f>
        <v>2</v>
      </c>
      <c r="M342" s="460">
        <f t="shared" si="27"/>
        <v>2.5379199999999999E-3</v>
      </c>
      <c r="N342" s="330"/>
    </row>
    <row r="343" spans="5:14">
      <c r="E343" s="330"/>
      <c r="F343" s="207">
        <v>2024</v>
      </c>
      <c r="G343" s="147" t="s">
        <v>395</v>
      </c>
      <c r="H343" s="214" t="s">
        <v>212</v>
      </c>
      <c r="I343" s="207" cm="1">
        <f t="array" ref="I343">_xlfn.XLOOKUP(F343&amp;G343&amp;H343, 'Data input'!$I$1188:$I$1215&amp;'Data input'!$J$1188:$J$1215&amp;'Data input'!$K$1188:$K$1215,'Data input'!$L$1188:$L$1215)</f>
        <v>0.41299999999999998</v>
      </c>
      <c r="J343" s="181">
        <f>_xlfn.XLOOKUP(G343,'Data input'!$I$1258:$I$1259,'Data input'!$J$1258:$J$1259)</f>
        <v>8.4000000000000003E-4</v>
      </c>
      <c r="K343" s="335">
        <f t="shared" si="28"/>
        <v>1.2720400000000001E-3</v>
      </c>
      <c r="L343" s="426">
        <f>SUMIFS('Data input'!$L$1220:$L$1247,'Data input'!$I$1220:$I$1247,F343,'Data input'!$J$1220:$J$1247,G343,'Data input'!$K$1220:$K$1247,H343)</f>
        <v>2.1</v>
      </c>
      <c r="M343" s="460">
        <f t="shared" si="27"/>
        <v>2.6712840000000003E-3</v>
      </c>
      <c r="N343" s="330"/>
    </row>
    <row r="344" spans="5:14">
      <c r="E344" s="330"/>
      <c r="F344" s="207">
        <v>2025</v>
      </c>
      <c r="G344" s="147" t="s">
        <v>395</v>
      </c>
      <c r="H344" s="214" t="s">
        <v>212</v>
      </c>
      <c r="I344" s="207" cm="1">
        <f t="array" ref="I344">_xlfn.XLOOKUP(F344&amp;G344&amp;H344, 'Data input'!$I$1188:$I$1215&amp;'Data input'!$J$1188:$J$1215&amp;'Data input'!$K$1188:$K$1215,'Data input'!$L$1188:$L$1215)</f>
        <v>0.50239999999999996</v>
      </c>
      <c r="J344" s="181">
        <f>_xlfn.XLOOKUP(G344,'Data input'!$I$1258:$I$1259,'Data input'!$J$1258:$J$1259)</f>
        <v>8.4000000000000003E-4</v>
      </c>
      <c r="K344" s="335">
        <f t="shared" si="28"/>
        <v>1.5473919999999999E-3</v>
      </c>
      <c r="L344" s="426">
        <f>SUMIFS('Data input'!$L$1220:$L$1247,'Data input'!$I$1220:$I$1247,F344,'Data input'!$J$1220:$J$1247,G344,'Data input'!$K$1220:$K$1247,H344)</f>
        <v>2.2000000000000002</v>
      </c>
      <c r="M344" s="460">
        <f t="shared" si="27"/>
        <v>3.4042624E-3</v>
      </c>
      <c r="N344" s="330"/>
    </row>
    <row r="345" spans="5:14">
      <c r="E345" s="330"/>
      <c r="F345" s="207">
        <v>2026</v>
      </c>
      <c r="G345" s="147" t="s">
        <v>395</v>
      </c>
      <c r="H345" s="214" t="s">
        <v>212</v>
      </c>
      <c r="I345" s="207" cm="1">
        <f t="array" ref="I345">_xlfn.XLOOKUP(F345&amp;G345&amp;H345, 'Data input'!$I$1188:$I$1215&amp;'Data input'!$J$1188:$J$1215&amp;'Data input'!$K$1188:$K$1215,'Data input'!$L$1188:$L$1215)</f>
        <v>0.50249999999999995</v>
      </c>
      <c r="J345" s="181">
        <f>_xlfn.XLOOKUP(G345,'Data input'!$I$1258:$I$1259,'Data input'!$J$1258:$J$1259)</f>
        <v>8.4000000000000003E-4</v>
      </c>
      <c r="K345" s="335">
        <f t="shared" si="28"/>
        <v>1.5476999999999997E-3</v>
      </c>
      <c r="L345" s="426">
        <f>SUMIFS('Data input'!$L$1220:$L$1247,'Data input'!$I$1220:$I$1247,F345,'Data input'!$J$1220:$J$1247,G345,'Data input'!$K$1220:$K$1247,H345)</f>
        <v>2</v>
      </c>
      <c r="M345" s="460">
        <f t="shared" si="27"/>
        <v>3.0953999999999995E-3</v>
      </c>
      <c r="N345" s="330"/>
    </row>
    <row r="346" spans="5:14">
      <c r="E346" s="330"/>
      <c r="F346" s="207">
        <v>2020</v>
      </c>
      <c r="G346" s="147" t="s">
        <v>396</v>
      </c>
      <c r="H346" s="214" t="s">
        <v>173</v>
      </c>
      <c r="I346" s="207" cm="1">
        <f t="array" ref="I346">_xlfn.XLOOKUP(F346&amp;G346&amp;H346, 'Data input'!$I$1188:$I$1215&amp;'Data input'!$J$1188:$J$1215&amp;'Data input'!$K$1188:$K$1215,'Data input'!$L$1188:$L$1215)</f>
        <v>0.50239999999999996</v>
      </c>
      <c r="J346" s="181">
        <f>_xlfn.XLOOKUP(G346,'Data input'!$I$1258:$I$1259,'Data input'!$J$1258:$J$1259)</f>
        <v>7.5000000000000002E-4</v>
      </c>
      <c r="K346" s="335">
        <f t="shared" si="28"/>
        <v>1.3816E-3</v>
      </c>
      <c r="L346" s="426">
        <f>SUMIFS('Data input'!$L$1220:$L$1247,'Data input'!$I$1220:$I$1247,F346,'Data input'!$J$1220:$J$1247,G346,'Data input'!$K$1220:$K$1247,H346)</f>
        <v>2.1</v>
      </c>
      <c r="M346" s="460">
        <f t="shared" si="27"/>
        <v>2.90136E-3</v>
      </c>
      <c r="N346" s="330"/>
    </row>
    <row r="347" spans="5:14">
      <c r="E347" s="330"/>
      <c r="F347" s="207">
        <v>2021</v>
      </c>
      <c r="G347" s="147" t="s">
        <v>396</v>
      </c>
      <c r="H347" s="214" t="s">
        <v>173</v>
      </c>
      <c r="I347" s="207" cm="1">
        <f t="array" ref="I347">_xlfn.XLOOKUP(F347&amp;G347&amp;H347, 'Data input'!$I$1188:$I$1215&amp;'Data input'!$J$1188:$J$1215&amp;'Data input'!$K$1188:$K$1215,'Data input'!$L$1188:$L$1215)</f>
        <v>0.50249999999999995</v>
      </c>
      <c r="J347" s="181">
        <f>_xlfn.XLOOKUP(G347,'Data input'!$I$1258:$I$1259,'Data input'!$J$1258:$J$1259)</f>
        <v>7.5000000000000002E-4</v>
      </c>
      <c r="K347" s="335">
        <f t="shared" si="28"/>
        <v>1.3818749999999999E-3</v>
      </c>
      <c r="L347" s="426">
        <f>SUMIFS('Data input'!$L$1220:$L$1247,'Data input'!$I$1220:$I$1247,F347,'Data input'!$J$1220:$J$1247,G347,'Data input'!$K$1220:$K$1247,H347)</f>
        <v>2.2000000000000002</v>
      </c>
      <c r="M347" s="460">
        <f t="shared" si="27"/>
        <v>3.0401249999999999E-3</v>
      </c>
      <c r="N347" s="330"/>
    </row>
    <row r="348" spans="5:14">
      <c r="E348" s="330"/>
      <c r="F348" s="207">
        <v>2022</v>
      </c>
      <c r="G348" s="147" t="s">
        <v>396</v>
      </c>
      <c r="H348" s="214" t="s">
        <v>173</v>
      </c>
      <c r="I348" s="207" cm="1">
        <f t="array" ref="I348">_xlfn.XLOOKUP(F348&amp;G348&amp;H348, 'Data input'!$I$1188:$I$1215&amp;'Data input'!$J$1188:$J$1215&amp;'Data input'!$K$1188:$K$1215,'Data input'!$L$1188:$L$1215)</f>
        <v>0.41</v>
      </c>
      <c r="J348" s="181">
        <f>_xlfn.XLOOKUP(G348,'Data input'!$I$1258:$I$1259,'Data input'!$J$1258:$J$1259)</f>
        <v>7.5000000000000002E-4</v>
      </c>
      <c r="K348" s="335">
        <f t="shared" si="28"/>
        <v>1.1275E-3</v>
      </c>
      <c r="L348" s="426">
        <f>SUMIFS('Data input'!$L$1220:$L$1247,'Data input'!$I$1220:$I$1247,F348,'Data input'!$J$1220:$J$1247,G348,'Data input'!$K$1220:$K$1247,H348)</f>
        <v>2.2999999999999998</v>
      </c>
      <c r="M348" s="460">
        <f t="shared" si="27"/>
        <v>2.5932500000000001E-3</v>
      </c>
      <c r="N348" s="330"/>
    </row>
    <row r="349" spans="5:14">
      <c r="E349" s="330"/>
      <c r="F349" s="207">
        <v>2023</v>
      </c>
      <c r="G349" s="147" t="s">
        <v>396</v>
      </c>
      <c r="H349" s="214" t="s">
        <v>173</v>
      </c>
      <c r="I349" s="207" cm="1">
        <f t="array" ref="I349">_xlfn.XLOOKUP(F349&amp;G349&amp;H349, 'Data input'!$I$1188:$I$1215&amp;'Data input'!$J$1188:$J$1215&amp;'Data input'!$K$1188:$K$1215,'Data input'!$L$1188:$L$1215)</f>
        <v>0.41099999999999998</v>
      </c>
      <c r="J349" s="181">
        <f>_xlfn.XLOOKUP(G349,'Data input'!$I$1258:$I$1259,'Data input'!$J$1258:$J$1259)</f>
        <v>7.5000000000000002E-4</v>
      </c>
      <c r="K349" s="335">
        <f t="shared" si="28"/>
        <v>1.13025E-3</v>
      </c>
      <c r="L349" s="426">
        <f>SUMIFS('Data input'!$L$1220:$L$1247,'Data input'!$I$1220:$I$1247,F349,'Data input'!$J$1220:$J$1247,G349,'Data input'!$K$1220:$K$1247,H349)</f>
        <v>2.4</v>
      </c>
      <c r="M349" s="460">
        <f t="shared" si="27"/>
        <v>2.7125999999999999E-3</v>
      </c>
      <c r="N349" s="330"/>
    </row>
    <row r="350" spans="5:14">
      <c r="E350" s="330"/>
      <c r="F350" s="207">
        <v>2024</v>
      </c>
      <c r="G350" s="147" t="s">
        <v>396</v>
      </c>
      <c r="H350" s="214" t="s">
        <v>173</v>
      </c>
      <c r="I350" s="207" cm="1">
        <f t="array" ref="I350">_xlfn.XLOOKUP(F350&amp;G350&amp;H350, 'Data input'!$I$1188:$I$1215&amp;'Data input'!$J$1188:$J$1215&amp;'Data input'!$K$1188:$K$1215,'Data input'!$L$1188:$L$1215)</f>
        <v>0.41199999999999998</v>
      </c>
      <c r="J350" s="181">
        <f>_xlfn.XLOOKUP(G350,'Data input'!$I$1258:$I$1259,'Data input'!$J$1258:$J$1259)</f>
        <v>7.5000000000000002E-4</v>
      </c>
      <c r="K350" s="335">
        <f t="shared" si="28"/>
        <v>1.1329999999999999E-3</v>
      </c>
      <c r="L350" s="426">
        <f>SUMIFS('Data input'!$L$1220:$L$1247,'Data input'!$I$1220:$I$1247,F350,'Data input'!$J$1220:$J$1247,G350,'Data input'!$K$1220:$K$1247,H350)</f>
        <v>2</v>
      </c>
      <c r="M350" s="460">
        <f t="shared" si="27"/>
        <v>2.2659999999999998E-3</v>
      </c>
      <c r="N350" s="330"/>
    </row>
    <row r="351" spans="5:14">
      <c r="E351" s="330"/>
      <c r="F351" s="207">
        <v>2025</v>
      </c>
      <c r="G351" s="147" t="s">
        <v>396</v>
      </c>
      <c r="H351" s="214" t="s">
        <v>173</v>
      </c>
      <c r="I351" s="207" cm="1">
        <f t="array" ref="I351">_xlfn.XLOOKUP(F351&amp;G351&amp;H351, 'Data input'!$I$1188:$I$1215&amp;'Data input'!$J$1188:$J$1215&amp;'Data input'!$K$1188:$K$1215,'Data input'!$L$1188:$L$1215)</f>
        <v>0.41299999999999998</v>
      </c>
      <c r="J351" s="181">
        <f>_xlfn.XLOOKUP(G351,'Data input'!$I$1258:$I$1259,'Data input'!$J$1258:$J$1259)</f>
        <v>7.5000000000000002E-4</v>
      </c>
      <c r="K351" s="335">
        <f t="shared" si="28"/>
        <v>1.1357499999999998E-3</v>
      </c>
      <c r="L351" s="426">
        <f>SUMIFS('Data input'!$L$1220:$L$1247,'Data input'!$I$1220:$I$1247,F351,'Data input'!$J$1220:$J$1247,G351,'Data input'!$K$1220:$K$1247,H351)</f>
        <v>2.1</v>
      </c>
      <c r="M351" s="460">
        <f t="shared" si="27"/>
        <v>2.3850749999999995E-3</v>
      </c>
      <c r="N351" s="330"/>
    </row>
    <row r="352" spans="5:14">
      <c r="E352" s="330"/>
      <c r="F352" s="207">
        <v>2026</v>
      </c>
      <c r="G352" s="147" t="s">
        <v>396</v>
      </c>
      <c r="H352" s="214" t="s">
        <v>173</v>
      </c>
      <c r="I352" s="207" cm="1">
        <f t="array" ref="I352">_xlfn.XLOOKUP(F352&amp;G352&amp;H352, 'Data input'!$I$1188:$I$1215&amp;'Data input'!$J$1188:$J$1215&amp;'Data input'!$K$1188:$K$1215,'Data input'!$L$1188:$L$1215)</f>
        <v>0.50239999999999996</v>
      </c>
      <c r="J352" s="181">
        <f>_xlfn.XLOOKUP(G352,'Data input'!$I$1258:$I$1259,'Data input'!$J$1258:$J$1259)</f>
        <v>7.5000000000000002E-4</v>
      </c>
      <c r="K352" s="335">
        <f t="shared" si="28"/>
        <v>1.3816E-3</v>
      </c>
      <c r="L352" s="426">
        <f>SUMIFS('Data input'!$L$1220:$L$1247,'Data input'!$I$1220:$I$1247,F352,'Data input'!$J$1220:$J$1247,G352,'Data input'!$K$1220:$K$1247,H352)</f>
        <v>2.2000000000000002</v>
      </c>
      <c r="M352" s="460">
        <f t="shared" si="27"/>
        <v>3.03952E-3</v>
      </c>
      <c r="N352" s="330"/>
    </row>
    <row r="353" spans="5:14">
      <c r="E353" s="330"/>
      <c r="F353" s="207">
        <v>2020</v>
      </c>
      <c r="G353" s="147" t="s">
        <v>396</v>
      </c>
      <c r="H353" s="214" t="s">
        <v>212</v>
      </c>
      <c r="I353" s="207" cm="1">
        <f t="array" ref="I353">_xlfn.XLOOKUP(F353&amp;G353&amp;H353, 'Data input'!$I$1188:$I$1215&amp;'Data input'!$J$1188:$J$1215&amp;'Data input'!$K$1188:$K$1215,'Data input'!$L$1188:$L$1215)</f>
        <v>0.50249999999999995</v>
      </c>
      <c r="J353" s="181">
        <f>_xlfn.XLOOKUP(G353,'Data input'!$I$1258:$I$1259,'Data input'!$J$1258:$J$1259)</f>
        <v>7.5000000000000002E-4</v>
      </c>
      <c r="K353" s="335">
        <f t="shared" si="28"/>
        <v>1.3818749999999999E-3</v>
      </c>
      <c r="L353" s="426">
        <f>SUMIFS('Data input'!$L$1220:$L$1247,'Data input'!$I$1220:$I$1247,F353,'Data input'!$J$1220:$J$1247,G353,'Data input'!$K$1220:$K$1247,H353)</f>
        <v>2.2999999999999998</v>
      </c>
      <c r="M353" s="460">
        <f t="shared" si="27"/>
        <v>3.1783124999999993E-3</v>
      </c>
      <c r="N353" s="330"/>
    </row>
    <row r="354" spans="5:14">
      <c r="E354" s="330"/>
      <c r="F354" s="207">
        <v>2021</v>
      </c>
      <c r="G354" s="147" t="s">
        <v>396</v>
      </c>
      <c r="H354" s="214" t="s">
        <v>212</v>
      </c>
      <c r="I354" s="207" cm="1">
        <f t="array" ref="I354">_xlfn.XLOOKUP(F354&amp;G354&amp;H354, 'Data input'!$I$1188:$I$1215&amp;'Data input'!$J$1188:$J$1215&amp;'Data input'!$K$1188:$K$1215,'Data input'!$L$1188:$L$1215)</f>
        <v>0.41</v>
      </c>
      <c r="J354" s="181">
        <f>_xlfn.XLOOKUP(G354,'Data input'!$I$1258:$I$1259,'Data input'!$J$1258:$J$1259)</f>
        <v>7.5000000000000002E-4</v>
      </c>
      <c r="K354" s="335">
        <f t="shared" si="28"/>
        <v>1.1275E-3</v>
      </c>
      <c r="L354" s="426">
        <f>SUMIFS('Data input'!$L$1220:$L$1247,'Data input'!$I$1220:$I$1247,F354,'Data input'!$J$1220:$J$1247,G354,'Data input'!$K$1220:$K$1247,H354)</f>
        <v>2.4</v>
      </c>
      <c r="M354" s="460">
        <f t="shared" si="27"/>
        <v>2.7060000000000001E-3</v>
      </c>
      <c r="N354" s="330"/>
    </row>
    <row r="355" spans="5:14">
      <c r="E355" s="330"/>
      <c r="F355" s="207">
        <v>2022</v>
      </c>
      <c r="G355" s="147" t="s">
        <v>396</v>
      </c>
      <c r="H355" s="214" t="s">
        <v>212</v>
      </c>
      <c r="I355" s="207" cm="1">
        <f t="array" ref="I355">_xlfn.XLOOKUP(F355&amp;G355&amp;H355, 'Data input'!$I$1188:$I$1215&amp;'Data input'!$J$1188:$J$1215&amp;'Data input'!$K$1188:$K$1215,'Data input'!$L$1188:$L$1215)</f>
        <v>0.41099999999999998</v>
      </c>
      <c r="J355" s="181">
        <f>_xlfn.XLOOKUP(G355,'Data input'!$I$1258:$I$1259,'Data input'!$J$1258:$J$1259)</f>
        <v>7.5000000000000002E-4</v>
      </c>
      <c r="K355" s="335">
        <f t="shared" si="28"/>
        <v>1.13025E-3</v>
      </c>
      <c r="L355" s="426">
        <f>SUMIFS('Data input'!$L$1220:$L$1247,'Data input'!$I$1220:$I$1247,F355,'Data input'!$J$1220:$J$1247,G355,'Data input'!$K$1220:$K$1247,H355)</f>
        <v>3.3</v>
      </c>
      <c r="M355" s="460">
        <f t="shared" si="27"/>
        <v>3.7298249999999995E-3</v>
      </c>
      <c r="N355" s="330"/>
    </row>
    <row r="356" spans="5:14">
      <c r="E356" s="330"/>
      <c r="F356" s="207">
        <v>2023</v>
      </c>
      <c r="G356" s="147" t="s">
        <v>396</v>
      </c>
      <c r="H356" s="214" t="s">
        <v>212</v>
      </c>
      <c r="I356" s="207" cm="1">
        <f t="array" ref="I356">_xlfn.XLOOKUP(F356&amp;G356&amp;H356, 'Data input'!$I$1188:$I$1215&amp;'Data input'!$J$1188:$J$1215&amp;'Data input'!$K$1188:$K$1215,'Data input'!$L$1188:$L$1215)</f>
        <v>0.41199999999999998</v>
      </c>
      <c r="J356" s="181">
        <f>_xlfn.XLOOKUP(G356,'Data input'!$I$1258:$I$1259,'Data input'!$J$1258:$J$1259)</f>
        <v>7.5000000000000002E-4</v>
      </c>
      <c r="K356" s="335">
        <f t="shared" si="28"/>
        <v>1.1329999999999999E-3</v>
      </c>
      <c r="L356" s="426">
        <f>SUMIFS('Data input'!$L$1220:$L$1247,'Data input'!$I$1220:$I$1247,F356,'Data input'!$J$1220:$J$1247,G356,'Data input'!$K$1220:$K$1247,H356)</f>
        <v>3.4</v>
      </c>
      <c r="M356" s="460">
        <f t="shared" si="27"/>
        <v>3.8521999999999996E-3</v>
      </c>
      <c r="N356" s="330"/>
    </row>
    <row r="357" spans="5:14">
      <c r="E357" s="330"/>
      <c r="F357" s="207">
        <v>2024</v>
      </c>
      <c r="G357" s="147" t="s">
        <v>396</v>
      </c>
      <c r="H357" s="214" t="s">
        <v>212</v>
      </c>
      <c r="I357" s="207" cm="1">
        <f t="array" ref="I357">_xlfn.XLOOKUP(F357&amp;G357&amp;H357, 'Data input'!$I$1188:$I$1215&amp;'Data input'!$J$1188:$J$1215&amp;'Data input'!$K$1188:$K$1215,'Data input'!$L$1188:$L$1215)</f>
        <v>0.41299999999999998</v>
      </c>
      <c r="J357" s="181">
        <f>_xlfn.XLOOKUP(G357,'Data input'!$I$1258:$I$1259,'Data input'!$J$1258:$J$1259)</f>
        <v>7.5000000000000002E-4</v>
      </c>
      <c r="K357" s="335">
        <f t="shared" si="28"/>
        <v>1.1357499999999998E-3</v>
      </c>
      <c r="L357" s="426">
        <f>SUMIFS('Data input'!$L$1220:$L$1247,'Data input'!$I$1220:$I$1247,F357,'Data input'!$J$1220:$J$1247,G357,'Data input'!$K$1220:$K$1247,H357)</f>
        <v>3.5</v>
      </c>
      <c r="M357" s="460">
        <f t="shared" si="27"/>
        <v>3.9751249999999995E-3</v>
      </c>
      <c r="N357" s="330"/>
    </row>
    <row r="358" spans="5:14">
      <c r="E358" s="330"/>
      <c r="F358" s="207">
        <v>2025</v>
      </c>
      <c r="G358" s="147" t="s">
        <v>396</v>
      </c>
      <c r="H358" s="214" t="s">
        <v>212</v>
      </c>
      <c r="I358" s="207" cm="1">
        <f t="array" ref="I358">_xlfn.XLOOKUP(F358&amp;G358&amp;H358, 'Data input'!$I$1188:$I$1215&amp;'Data input'!$J$1188:$J$1215&amp;'Data input'!$K$1188:$K$1215,'Data input'!$L$1188:$L$1215)</f>
        <v>0.42199999999999999</v>
      </c>
      <c r="J358" s="181">
        <f>_xlfn.XLOOKUP(G358,'Data input'!$I$1258:$I$1259,'Data input'!$J$1258:$J$1259)</f>
        <v>7.5000000000000002E-4</v>
      </c>
      <c r="K358" s="335">
        <f t="shared" si="28"/>
        <v>1.1604999999999999E-3</v>
      </c>
      <c r="L358" s="426">
        <f>SUMIFS('Data input'!$L$1220:$L$1247,'Data input'!$I$1220:$I$1247,F358,'Data input'!$J$1220:$J$1247,G358,'Data input'!$K$1220:$K$1247,H358)</f>
        <v>3.6</v>
      </c>
      <c r="M358" s="460">
        <f t="shared" si="27"/>
        <v>4.1777999999999997E-3</v>
      </c>
      <c r="N358" s="330"/>
    </row>
    <row r="359" spans="5:14">
      <c r="E359" s="330"/>
      <c r="F359" s="208">
        <v>2026</v>
      </c>
      <c r="G359" s="211" t="s">
        <v>396</v>
      </c>
      <c r="H359" s="215" t="s">
        <v>212</v>
      </c>
      <c r="I359" s="208" cm="1">
        <f t="array" ref="I359">_xlfn.XLOOKUP(F359&amp;G359&amp;H359, 'Data input'!$I$1188:$I$1215&amp;'Data input'!$J$1188:$J$1215&amp;'Data input'!$K$1188:$K$1215,'Data input'!$L$1188:$L$1215)</f>
        <v>0.42299999999999999</v>
      </c>
      <c r="J359" s="201">
        <f>_xlfn.XLOOKUP(G359,'Data input'!$I$1258:$I$1259,'Data input'!$J$1258:$J$1259)</f>
        <v>7.5000000000000002E-4</v>
      </c>
      <c r="K359" s="440">
        <f t="shared" si="28"/>
        <v>1.16325E-3</v>
      </c>
      <c r="L359" s="432">
        <f>SUMIFS('Data input'!$L$1220:$L$1247,'Data input'!$I$1220:$I$1247,F359,'Data input'!$J$1220:$J$1247,G359,'Data input'!$K$1220:$K$1247,H359)</f>
        <v>3.7</v>
      </c>
      <c r="M359" s="461">
        <f t="shared" si="27"/>
        <v>4.3040250000000004E-3</v>
      </c>
      <c r="N359" s="330"/>
    </row>
    <row r="360" spans="5:14">
      <c r="F360" s="330"/>
      <c r="G360" s="330"/>
      <c r="H360" s="330"/>
      <c r="I360" s="330"/>
      <c r="J360" s="330"/>
      <c r="K360" s="330"/>
      <c r="L360" s="330"/>
      <c r="M360" s="459">
        <f>SUM(M332:M359)</f>
        <v>8.4550959899999986E-2</v>
      </c>
    </row>
    <row r="362" spans="5:14">
      <c r="F362" s="381" t="s">
        <v>398</v>
      </c>
    </row>
    <row r="363" spans="5:14">
      <c r="F363" s="323"/>
      <c r="G363" s="324"/>
      <c r="H363" s="325"/>
      <c r="I363" s="326"/>
      <c r="J363" s="324"/>
      <c r="K363" s="378" t="s">
        <v>84</v>
      </c>
      <c r="L363" s="324"/>
      <c r="M363" s="328" t="s">
        <v>84</v>
      </c>
    </row>
    <row r="364" spans="5:14">
      <c r="F364" s="329"/>
      <c r="H364" s="314"/>
      <c r="I364" s="315"/>
      <c r="K364" s="374" t="s">
        <v>134</v>
      </c>
      <c r="M364" s="332" t="s">
        <v>12</v>
      </c>
    </row>
    <row r="365" spans="5:14" ht="17">
      <c r="F365" s="207" t="s">
        <v>335</v>
      </c>
      <c r="G365" s="147" t="s">
        <v>364</v>
      </c>
      <c r="H365" s="229" t="s">
        <v>241</v>
      </c>
      <c r="I365" s="152" t="s">
        <v>375</v>
      </c>
      <c r="J365" s="147" t="s">
        <v>376</v>
      </c>
      <c r="K365" s="375" t="s">
        <v>123</v>
      </c>
      <c r="L365" s="147" t="s">
        <v>120</v>
      </c>
      <c r="M365" s="383" t="s">
        <v>394</v>
      </c>
    </row>
    <row r="366" spans="5:14" ht="18" thickBot="1">
      <c r="F366" s="207"/>
      <c r="G366" s="157"/>
      <c r="H366" s="153"/>
      <c r="I366" s="152" t="s">
        <v>389</v>
      </c>
      <c r="J366" s="157" t="s">
        <v>378</v>
      </c>
      <c r="K366" s="333" t="s">
        <v>124</v>
      </c>
      <c r="L366" s="157" t="s">
        <v>367</v>
      </c>
      <c r="M366" s="334" t="s">
        <v>368</v>
      </c>
    </row>
    <row r="367" spans="5:14">
      <c r="E367" s="330"/>
      <c r="F367" s="205">
        <v>2020</v>
      </c>
      <c r="G367" s="226" t="s">
        <v>395</v>
      </c>
      <c r="H367" s="225" t="s">
        <v>173</v>
      </c>
      <c r="I367" s="462" cm="1">
        <f t="array" ref="I367">_xlfn.XLOOKUP(F367&amp;G367&amp;H367,'Data input'!$I$1265:$I$1292&amp;'Data input'!$J$1265:$J$1292&amp;'Data input'!$K$1265:$K$1292,'Data input'!$L$1265:$L$1292)</f>
        <v>43.3</v>
      </c>
      <c r="J367" s="463" cm="1">
        <f t="array" ref="J367">_xlfn.XLOOKUP(F367&amp;G367&amp;H367,'Data input'!$I$1298:$I$1325&amp;'Data input'!$J$1298:$J$1325&amp;'Data input'!$K$1298:$K$1325,'Data input'!$L$1298:$L$1325)</f>
        <v>2.6</v>
      </c>
      <c r="K367" s="437">
        <f t="shared" ref="K367" si="29">I367*J367</f>
        <v>112.58</v>
      </c>
      <c r="L367" s="468">
        <f>SUMIFS('Data input'!$L$1220:$L$1247,'Data input'!$I$1220:$I$1247,F367,'Data input'!$J$1220:$J$1247,G367,'Data input'!$K$1220:$K$1247,H367)</f>
        <v>1.5</v>
      </c>
      <c r="M367" s="442">
        <f t="shared" ref="M367" si="30">K367*L367</f>
        <v>168.87</v>
      </c>
      <c r="N367" s="330"/>
    </row>
    <row r="368" spans="5:14">
      <c r="E368" s="330"/>
      <c r="F368" s="207">
        <v>2021</v>
      </c>
      <c r="G368" s="147" t="s">
        <v>395</v>
      </c>
      <c r="H368" s="214" t="s">
        <v>173</v>
      </c>
      <c r="I368" s="464" cm="1">
        <f t="array" ref="I368">_xlfn.XLOOKUP(F368&amp;G368&amp;H368,'Data input'!$I$1265:$I$1292&amp;'Data input'!$J$1265:$J$1292&amp;'Data input'!$K$1265:$K$1292,'Data input'!$L$1265:$L$1292)</f>
        <v>43.31</v>
      </c>
      <c r="J368" s="465" cm="1">
        <f t="array" ref="J368">_xlfn.XLOOKUP(F368&amp;G368&amp;H368,'Data input'!$I$1298:$I$1325&amp;'Data input'!$J$1298:$J$1325&amp;'Data input'!$K$1298:$K$1325,'Data input'!$L$1298:$L$1325)</f>
        <v>2.61</v>
      </c>
      <c r="K368" s="335">
        <f t="shared" ref="K368:K394" si="31">I368*J368</f>
        <v>113.0391</v>
      </c>
      <c r="L368" s="469">
        <f>SUMIFS('Data input'!$L$1220:$L$1247,'Data input'!$I$1220:$I$1247,F368,'Data input'!$J$1220:$J$1247,G368,'Data input'!$K$1220:$K$1247,H368)</f>
        <v>1.6</v>
      </c>
      <c r="M368" s="443">
        <f t="shared" ref="M368:M394" si="32">K368*L368</f>
        <v>180.86256000000003</v>
      </c>
      <c r="N368" s="330"/>
    </row>
    <row r="369" spans="5:14">
      <c r="E369" s="330"/>
      <c r="F369" s="207">
        <v>2022</v>
      </c>
      <c r="G369" s="147" t="s">
        <v>395</v>
      </c>
      <c r="H369" s="214" t="s">
        <v>173</v>
      </c>
      <c r="I369" s="464" cm="1">
        <f t="array" ref="I369">_xlfn.XLOOKUP(F369&amp;G369&amp;H369,'Data input'!$I$1265:$I$1292&amp;'Data input'!$J$1265:$J$1292&amp;'Data input'!$K$1265:$K$1292,'Data input'!$L$1265:$L$1292)</f>
        <v>43.29</v>
      </c>
      <c r="J369" s="465" cm="1">
        <f t="array" ref="J369">_xlfn.XLOOKUP(F369&amp;G369&amp;H369,'Data input'!$I$1298:$I$1325&amp;'Data input'!$J$1298:$J$1325&amp;'Data input'!$K$1298:$K$1325,'Data input'!$L$1298:$L$1325)</f>
        <v>2.62</v>
      </c>
      <c r="K369" s="335">
        <f t="shared" si="31"/>
        <v>113.41980000000001</v>
      </c>
      <c r="L369" s="469">
        <f>SUMIFS('Data input'!$L$1220:$L$1247,'Data input'!$I$1220:$I$1247,F369,'Data input'!$J$1220:$J$1247,G369,'Data input'!$K$1220:$K$1247,H369)</f>
        <v>1.7</v>
      </c>
      <c r="M369" s="443">
        <f t="shared" si="32"/>
        <v>192.81366</v>
      </c>
      <c r="N369" s="330"/>
    </row>
    <row r="370" spans="5:14">
      <c r="E370" s="330"/>
      <c r="F370" s="207">
        <v>2023</v>
      </c>
      <c r="G370" s="147" t="s">
        <v>395</v>
      </c>
      <c r="H370" s="214" t="s">
        <v>173</v>
      </c>
      <c r="I370" s="464" cm="1">
        <f t="array" ref="I370">_xlfn.XLOOKUP(F370&amp;G370&amp;H370,'Data input'!$I$1265:$I$1292&amp;'Data input'!$J$1265:$J$1292&amp;'Data input'!$K$1265:$K$1292,'Data input'!$L$1265:$L$1292)</f>
        <v>43.29</v>
      </c>
      <c r="J370" s="465" cm="1">
        <f t="array" ref="J370">_xlfn.XLOOKUP(F370&amp;G370&amp;H370,'Data input'!$I$1298:$I$1325&amp;'Data input'!$J$1298:$J$1325&amp;'Data input'!$K$1298:$K$1325,'Data input'!$L$1298:$L$1325)</f>
        <v>2.63</v>
      </c>
      <c r="K370" s="335">
        <f t="shared" si="31"/>
        <v>113.8527</v>
      </c>
      <c r="L370" s="469">
        <f>SUMIFS('Data input'!$L$1220:$L$1247,'Data input'!$I$1220:$I$1247,F370,'Data input'!$J$1220:$J$1247,G370,'Data input'!$K$1220:$K$1247,H370)</f>
        <v>1.8</v>
      </c>
      <c r="M370" s="443">
        <f t="shared" si="32"/>
        <v>204.93486000000001</v>
      </c>
      <c r="N370" s="330"/>
    </row>
    <row r="371" spans="5:14">
      <c r="E371" s="330"/>
      <c r="F371" s="207">
        <v>2024</v>
      </c>
      <c r="G371" s="147" t="s">
        <v>395</v>
      </c>
      <c r="H371" s="214" t="s">
        <v>173</v>
      </c>
      <c r="I371" s="464" cm="1">
        <f t="array" ref="I371">_xlfn.XLOOKUP(F371&amp;G371&amp;H371,'Data input'!$I$1265:$I$1292&amp;'Data input'!$J$1265:$J$1292&amp;'Data input'!$K$1265:$K$1292,'Data input'!$L$1265:$L$1292)</f>
        <v>43.284999999999997</v>
      </c>
      <c r="J371" s="465" cm="1">
        <f t="array" ref="J371">_xlfn.XLOOKUP(F371&amp;G371&amp;H371,'Data input'!$I$1298:$I$1325&amp;'Data input'!$J$1298:$J$1325&amp;'Data input'!$K$1298:$K$1325,'Data input'!$L$1298:$L$1325)</f>
        <v>2.63</v>
      </c>
      <c r="K371" s="335">
        <f t="shared" si="31"/>
        <v>113.83954999999999</v>
      </c>
      <c r="L371" s="469">
        <f>SUMIFS('Data input'!$L$1220:$L$1247,'Data input'!$I$1220:$I$1247,F371,'Data input'!$J$1220:$J$1247,G371,'Data input'!$K$1220:$K$1247,H371)</f>
        <v>1.9</v>
      </c>
      <c r="M371" s="443">
        <f t="shared" si="32"/>
        <v>216.29514499999996</v>
      </c>
      <c r="N371" s="330"/>
    </row>
    <row r="372" spans="5:14">
      <c r="E372" s="330"/>
      <c r="F372" s="207">
        <v>2025</v>
      </c>
      <c r="G372" s="147" t="s">
        <v>395</v>
      </c>
      <c r="H372" s="214" t="s">
        <v>173</v>
      </c>
      <c r="I372" s="464" cm="1">
        <f t="array" ref="I372">_xlfn.XLOOKUP(F372&amp;G372&amp;H372,'Data input'!$I$1265:$I$1292&amp;'Data input'!$J$1265:$J$1292&amp;'Data input'!$K$1265:$K$1292,'Data input'!$L$1265:$L$1292)</f>
        <v>43.28</v>
      </c>
      <c r="J372" s="465" cm="1">
        <f t="array" ref="J372">_xlfn.XLOOKUP(F372&amp;G372&amp;H372,'Data input'!$I$1298:$I$1325&amp;'Data input'!$J$1298:$J$1325&amp;'Data input'!$K$1298:$K$1325,'Data input'!$L$1298:$L$1325)</f>
        <v>2.65</v>
      </c>
      <c r="K372" s="335">
        <f t="shared" si="31"/>
        <v>114.69199999999999</v>
      </c>
      <c r="L372" s="469">
        <f>SUMIFS('Data input'!$L$1220:$L$1247,'Data input'!$I$1220:$I$1247,F372,'Data input'!$J$1220:$J$1247,G372,'Data input'!$K$1220:$K$1247,H372)</f>
        <v>2</v>
      </c>
      <c r="M372" s="443">
        <f t="shared" si="32"/>
        <v>229.38399999999999</v>
      </c>
      <c r="N372" s="330"/>
    </row>
    <row r="373" spans="5:14">
      <c r="E373" s="330"/>
      <c r="F373" s="207">
        <v>2026</v>
      </c>
      <c r="G373" s="147" t="s">
        <v>395</v>
      </c>
      <c r="H373" s="214" t="s">
        <v>173</v>
      </c>
      <c r="I373" s="464" cm="1">
        <f t="array" ref="I373">_xlfn.XLOOKUP(F373&amp;G373&amp;H373,'Data input'!$I$1265:$I$1292&amp;'Data input'!$J$1265:$J$1292&amp;'Data input'!$K$1265:$K$1292,'Data input'!$L$1265:$L$1292)</f>
        <v>43.274999999999999</v>
      </c>
      <c r="J373" s="465" cm="1">
        <f t="array" ref="J373">_xlfn.XLOOKUP(F373&amp;G373&amp;H373,'Data input'!$I$1298:$I$1325&amp;'Data input'!$J$1298:$J$1325&amp;'Data input'!$K$1298:$K$1325,'Data input'!$L$1298:$L$1325)</f>
        <v>2.67</v>
      </c>
      <c r="K373" s="335">
        <f t="shared" si="31"/>
        <v>115.54424999999999</v>
      </c>
      <c r="L373" s="469">
        <f>SUMIFS('Data input'!$L$1220:$L$1247,'Data input'!$I$1220:$I$1247,F373,'Data input'!$J$1220:$J$1247,G373,'Data input'!$K$1220:$K$1247,H373)</f>
        <v>2.1</v>
      </c>
      <c r="M373" s="443">
        <f t="shared" si="32"/>
        <v>242.64292499999999</v>
      </c>
      <c r="N373" s="330"/>
    </row>
    <row r="374" spans="5:14">
      <c r="E374" s="330"/>
      <c r="F374" s="207">
        <v>2020</v>
      </c>
      <c r="G374" s="147" t="s">
        <v>395</v>
      </c>
      <c r="H374" s="214" t="s">
        <v>212</v>
      </c>
      <c r="I374" s="464" cm="1">
        <f t="array" ref="I374">_xlfn.XLOOKUP(F374&amp;G374&amp;H374,'Data input'!$I$1265:$I$1292&amp;'Data input'!$J$1265:$J$1292&amp;'Data input'!$K$1265:$K$1292,'Data input'!$L$1265:$L$1292)</f>
        <v>44.8</v>
      </c>
      <c r="J374" s="465" cm="1">
        <f t="array" ref="J374">_xlfn.XLOOKUP(F374&amp;G374&amp;H374,'Data input'!$I$1298:$I$1325&amp;'Data input'!$J$1298:$J$1325&amp;'Data input'!$K$1298:$K$1325,'Data input'!$L$1298:$L$1325)</f>
        <v>2.7</v>
      </c>
      <c r="K374" s="335">
        <f t="shared" si="31"/>
        <v>120.96</v>
      </c>
      <c r="L374" s="469">
        <f>SUMIFS('Data input'!$L$1220:$L$1247,'Data input'!$I$1220:$I$1247,F374,'Data input'!$J$1220:$J$1247,G374,'Data input'!$K$1220:$K$1247,H374)</f>
        <v>2.2000000000000002</v>
      </c>
      <c r="M374" s="443">
        <f t="shared" si="32"/>
        <v>266.11200000000002</v>
      </c>
      <c r="N374" s="330"/>
    </row>
    <row r="375" spans="5:14">
      <c r="E375" s="330"/>
      <c r="F375" s="207">
        <v>2021</v>
      </c>
      <c r="G375" s="147" t="s">
        <v>395</v>
      </c>
      <c r="H375" s="214" t="s">
        <v>212</v>
      </c>
      <c r="I375" s="464" cm="1">
        <f t="array" ref="I375">_xlfn.XLOOKUP(F375&amp;G375&amp;H375,'Data input'!$I$1265:$I$1292&amp;'Data input'!$J$1265:$J$1292&amp;'Data input'!$K$1265:$K$1292,'Data input'!$L$1265:$L$1292)</f>
        <v>44.81</v>
      </c>
      <c r="J375" s="465" cm="1">
        <f t="array" ref="J375">_xlfn.XLOOKUP(F375&amp;G375&amp;H375,'Data input'!$I$1298:$I$1325&amp;'Data input'!$J$1298:$J$1325&amp;'Data input'!$K$1298:$K$1325,'Data input'!$L$1298:$L$1325)</f>
        <v>3.2</v>
      </c>
      <c r="K375" s="335">
        <f t="shared" si="31"/>
        <v>143.39200000000002</v>
      </c>
      <c r="L375" s="469">
        <f>SUMIFS('Data input'!$L$1220:$L$1247,'Data input'!$I$1220:$I$1247,F375,'Data input'!$J$1220:$J$1247,G375,'Data input'!$K$1220:$K$1247,H375)</f>
        <v>2.2999999999999998</v>
      </c>
      <c r="M375" s="443">
        <f t="shared" si="32"/>
        <v>329.80160000000001</v>
      </c>
      <c r="N375" s="330"/>
    </row>
    <row r="376" spans="5:14">
      <c r="E376" s="330"/>
      <c r="F376" s="207">
        <v>2022</v>
      </c>
      <c r="G376" s="147" t="s">
        <v>395</v>
      </c>
      <c r="H376" s="214" t="s">
        <v>212</v>
      </c>
      <c r="I376" s="464" cm="1">
        <f t="array" ref="I376">_xlfn.XLOOKUP(F376&amp;G376&amp;H376,'Data input'!$I$1265:$I$1292&amp;'Data input'!$J$1265:$J$1292&amp;'Data input'!$K$1265:$K$1292,'Data input'!$L$1265:$L$1292)</f>
        <v>44.79</v>
      </c>
      <c r="J376" s="465" cm="1">
        <f t="array" ref="J376">_xlfn.XLOOKUP(F376&amp;G376&amp;H376,'Data input'!$I$1298:$I$1325&amp;'Data input'!$J$1298:$J$1325&amp;'Data input'!$K$1298:$K$1325,'Data input'!$L$1298:$L$1325)</f>
        <v>3.3</v>
      </c>
      <c r="K376" s="335">
        <f t="shared" si="31"/>
        <v>147.80699999999999</v>
      </c>
      <c r="L376" s="469">
        <f>SUMIFS('Data input'!$L$1220:$L$1247,'Data input'!$I$1220:$I$1247,F376,'Data input'!$J$1220:$J$1247,G376,'Data input'!$K$1220:$K$1247,H376)</f>
        <v>2.4</v>
      </c>
      <c r="M376" s="443">
        <f t="shared" si="32"/>
        <v>354.73679999999996</v>
      </c>
      <c r="N376" s="330"/>
    </row>
    <row r="377" spans="5:14">
      <c r="E377" s="330"/>
      <c r="F377" s="207">
        <v>2023</v>
      </c>
      <c r="G377" s="147" t="s">
        <v>395</v>
      </c>
      <c r="H377" s="214" t="s">
        <v>212</v>
      </c>
      <c r="I377" s="464" cm="1">
        <f t="array" ref="I377">_xlfn.XLOOKUP(F377&amp;G377&amp;H377,'Data input'!$I$1265:$I$1292&amp;'Data input'!$J$1265:$J$1292&amp;'Data input'!$K$1265:$K$1292,'Data input'!$L$1265:$L$1292)</f>
        <v>44.78</v>
      </c>
      <c r="J377" s="465" cm="1">
        <f t="array" ref="J377">_xlfn.XLOOKUP(F377&amp;G377&amp;H377,'Data input'!$I$1298:$I$1325&amp;'Data input'!$J$1298:$J$1325&amp;'Data input'!$K$1298:$K$1325,'Data input'!$L$1298:$L$1325)</f>
        <v>3.4</v>
      </c>
      <c r="K377" s="335">
        <f t="shared" si="31"/>
        <v>152.25200000000001</v>
      </c>
      <c r="L377" s="469">
        <f>SUMIFS('Data input'!$L$1220:$L$1247,'Data input'!$I$1220:$I$1247,F377,'Data input'!$J$1220:$J$1247,G377,'Data input'!$K$1220:$K$1247,H377)</f>
        <v>2</v>
      </c>
      <c r="M377" s="443">
        <f t="shared" si="32"/>
        <v>304.50400000000002</v>
      </c>
      <c r="N377" s="330"/>
    </row>
    <row r="378" spans="5:14">
      <c r="E378" s="330"/>
      <c r="F378" s="207">
        <v>2024</v>
      </c>
      <c r="G378" s="147" t="s">
        <v>395</v>
      </c>
      <c r="H378" s="214" t="s">
        <v>212</v>
      </c>
      <c r="I378" s="464" cm="1">
        <f t="array" ref="I378">_xlfn.XLOOKUP(F378&amp;G378&amp;H378,'Data input'!$I$1265:$I$1292&amp;'Data input'!$J$1265:$J$1292&amp;'Data input'!$K$1265:$K$1292,'Data input'!$L$1265:$L$1292)</f>
        <v>43.3</v>
      </c>
      <c r="J378" s="465" cm="1">
        <f t="array" ref="J378">_xlfn.XLOOKUP(F378&amp;G378&amp;H378,'Data input'!$I$1298:$I$1325&amp;'Data input'!$J$1298:$J$1325&amp;'Data input'!$K$1298:$K$1325,'Data input'!$L$1298:$L$1325)</f>
        <v>3.5</v>
      </c>
      <c r="K378" s="335">
        <f t="shared" si="31"/>
        <v>151.54999999999998</v>
      </c>
      <c r="L378" s="469">
        <f>SUMIFS('Data input'!$L$1220:$L$1247,'Data input'!$I$1220:$I$1247,F378,'Data input'!$J$1220:$J$1247,G378,'Data input'!$K$1220:$K$1247,H378)</f>
        <v>2.1</v>
      </c>
      <c r="M378" s="443">
        <f t="shared" si="32"/>
        <v>318.255</v>
      </c>
      <c r="N378" s="330"/>
    </row>
    <row r="379" spans="5:14">
      <c r="E379" s="330"/>
      <c r="F379" s="207">
        <v>2025</v>
      </c>
      <c r="G379" s="147" t="s">
        <v>395</v>
      </c>
      <c r="H379" s="214" t="s">
        <v>212</v>
      </c>
      <c r="I379" s="464" cm="1">
        <f t="array" ref="I379">_xlfn.XLOOKUP(F379&amp;G379&amp;H379,'Data input'!$I$1265:$I$1292&amp;'Data input'!$J$1265:$J$1292&amp;'Data input'!$K$1265:$K$1292,'Data input'!$L$1265:$L$1292)</f>
        <v>43.31</v>
      </c>
      <c r="J379" s="465" cm="1">
        <f t="array" ref="J379">_xlfn.XLOOKUP(F379&amp;G379&amp;H379,'Data input'!$I$1298:$I$1325&amp;'Data input'!$J$1298:$J$1325&amp;'Data input'!$K$1298:$K$1325,'Data input'!$L$1298:$L$1325)</f>
        <v>3.1</v>
      </c>
      <c r="K379" s="335">
        <f t="shared" si="31"/>
        <v>134.26100000000002</v>
      </c>
      <c r="L379" s="469">
        <f>SUMIFS('Data input'!$L$1220:$L$1247,'Data input'!$I$1220:$I$1247,F379,'Data input'!$J$1220:$J$1247,G379,'Data input'!$K$1220:$K$1247,H379)</f>
        <v>2.2000000000000002</v>
      </c>
      <c r="M379" s="443">
        <f t="shared" si="32"/>
        <v>295.37420000000009</v>
      </c>
      <c r="N379" s="330"/>
    </row>
    <row r="380" spans="5:14">
      <c r="E380" s="330"/>
      <c r="F380" s="207">
        <v>2026</v>
      </c>
      <c r="G380" s="147" t="s">
        <v>395</v>
      </c>
      <c r="H380" s="214" t="s">
        <v>212</v>
      </c>
      <c r="I380" s="464" cm="1">
        <f t="array" ref="I380">_xlfn.XLOOKUP(F380&amp;G380&amp;H380,'Data input'!$I$1265:$I$1292&amp;'Data input'!$J$1265:$J$1292&amp;'Data input'!$K$1265:$K$1292,'Data input'!$L$1265:$L$1292)</f>
        <v>43.29</v>
      </c>
      <c r="J380" s="465" cm="1">
        <f t="array" ref="J380">_xlfn.XLOOKUP(F380&amp;G380&amp;H380,'Data input'!$I$1298:$I$1325&amp;'Data input'!$J$1298:$J$1325&amp;'Data input'!$K$1298:$K$1325,'Data input'!$L$1298:$L$1325)</f>
        <v>3.2</v>
      </c>
      <c r="K380" s="335">
        <f t="shared" si="31"/>
        <v>138.52799999999999</v>
      </c>
      <c r="L380" s="469">
        <f>SUMIFS('Data input'!$L$1220:$L$1247,'Data input'!$I$1220:$I$1247,F380,'Data input'!$J$1220:$J$1247,G380,'Data input'!$K$1220:$K$1247,H380)</f>
        <v>2</v>
      </c>
      <c r="M380" s="443">
        <f t="shared" si="32"/>
        <v>277.05599999999998</v>
      </c>
      <c r="N380" s="330"/>
    </row>
    <row r="381" spans="5:14">
      <c r="E381" s="330"/>
      <c r="F381" s="207">
        <v>2020</v>
      </c>
      <c r="G381" s="147" t="s">
        <v>396</v>
      </c>
      <c r="H381" s="214" t="s">
        <v>173</v>
      </c>
      <c r="I381" s="464" cm="1">
        <f t="array" ref="I381">_xlfn.XLOOKUP(F381&amp;G381&amp;H381,'Data input'!$I$1265:$I$1292&amp;'Data input'!$J$1265:$J$1292&amp;'Data input'!$K$1265:$K$1292,'Data input'!$L$1265:$L$1292)</f>
        <v>43.29</v>
      </c>
      <c r="J381" s="465" cm="1">
        <f t="array" ref="J381">_xlfn.XLOOKUP(F381&amp;G381&amp;H381,'Data input'!$I$1298:$I$1325&amp;'Data input'!$J$1298:$J$1325&amp;'Data input'!$K$1298:$K$1325,'Data input'!$L$1298:$L$1325)</f>
        <v>3.4347252747252699</v>
      </c>
      <c r="K381" s="335">
        <f t="shared" si="31"/>
        <v>148.68925714285692</v>
      </c>
      <c r="L381" s="469">
        <f>SUMIFS('Data input'!$L$1220:$L$1247,'Data input'!$I$1220:$I$1247,F381,'Data input'!$J$1220:$J$1247,G381,'Data input'!$K$1220:$K$1247,H381)</f>
        <v>2.1</v>
      </c>
      <c r="M381" s="443">
        <f t="shared" si="32"/>
        <v>312.24743999999953</v>
      </c>
      <c r="N381" s="330"/>
    </row>
    <row r="382" spans="5:14">
      <c r="E382" s="330"/>
      <c r="F382" s="207">
        <v>2021</v>
      </c>
      <c r="G382" s="147" t="s">
        <v>396</v>
      </c>
      <c r="H382" s="214" t="s">
        <v>173</v>
      </c>
      <c r="I382" s="464" cm="1">
        <f t="array" ref="I382">_xlfn.XLOOKUP(F382&amp;G382&amp;H382,'Data input'!$I$1265:$I$1292&amp;'Data input'!$J$1265:$J$1292&amp;'Data input'!$K$1265:$K$1292,'Data input'!$L$1265:$L$1292)</f>
        <v>43.284999999999997</v>
      </c>
      <c r="J382" s="465" cm="1">
        <f t="array" ref="J382">_xlfn.XLOOKUP(F382&amp;G382&amp;H382,'Data input'!$I$1298:$I$1325&amp;'Data input'!$J$1298:$J$1325&amp;'Data input'!$K$1298:$K$1325,'Data input'!$L$1298:$L$1325)</f>
        <v>3.5040219780219801</v>
      </c>
      <c r="K382" s="335">
        <f t="shared" si="31"/>
        <v>151.67159131868141</v>
      </c>
      <c r="L382" s="469">
        <f>SUMIFS('Data input'!$L$1220:$L$1247,'Data input'!$I$1220:$I$1247,F382,'Data input'!$J$1220:$J$1247,G382,'Data input'!$K$1220:$K$1247,H382)</f>
        <v>2.2000000000000002</v>
      </c>
      <c r="M382" s="443">
        <f t="shared" si="32"/>
        <v>333.67750090109911</v>
      </c>
      <c r="N382" s="330"/>
    </row>
    <row r="383" spans="5:14">
      <c r="E383" s="330"/>
      <c r="F383" s="207">
        <v>2022</v>
      </c>
      <c r="G383" s="147" t="s">
        <v>396</v>
      </c>
      <c r="H383" s="214" t="s">
        <v>173</v>
      </c>
      <c r="I383" s="464" cm="1">
        <f t="array" ref="I383">_xlfn.XLOOKUP(F383&amp;G383&amp;H383,'Data input'!$I$1265:$I$1292&amp;'Data input'!$J$1265:$J$1292&amp;'Data input'!$K$1265:$K$1292,'Data input'!$L$1265:$L$1292)</f>
        <v>43.28</v>
      </c>
      <c r="J383" s="465" cm="1">
        <f t="array" ref="J383">_xlfn.XLOOKUP(F383&amp;G383&amp;H383,'Data input'!$I$1298:$I$1325&amp;'Data input'!$J$1298:$J$1325&amp;'Data input'!$K$1298:$K$1325,'Data input'!$L$1298:$L$1325)</f>
        <v>3.5733186813186801</v>
      </c>
      <c r="K383" s="335">
        <f t="shared" si="31"/>
        <v>154.65323252747248</v>
      </c>
      <c r="L383" s="469">
        <f>SUMIFS('Data input'!$L$1220:$L$1247,'Data input'!$I$1220:$I$1247,F383,'Data input'!$J$1220:$J$1247,G383,'Data input'!$K$1220:$K$1247,H383)</f>
        <v>2.2999999999999998</v>
      </c>
      <c r="M383" s="443">
        <f t="shared" si="32"/>
        <v>355.7024348131867</v>
      </c>
      <c r="N383" s="330"/>
    </row>
    <row r="384" spans="5:14">
      <c r="E384" s="330"/>
      <c r="F384" s="207">
        <v>2023</v>
      </c>
      <c r="G384" s="147" t="s">
        <v>396</v>
      </c>
      <c r="H384" s="214" t="s">
        <v>173</v>
      </c>
      <c r="I384" s="464" cm="1">
        <f t="array" ref="I384">_xlfn.XLOOKUP(F384&amp;G384&amp;H384,'Data input'!$I$1265:$I$1292&amp;'Data input'!$J$1265:$J$1292&amp;'Data input'!$K$1265:$K$1292,'Data input'!$L$1265:$L$1292)</f>
        <v>43.274999999999999</v>
      </c>
      <c r="J384" s="465" cm="1">
        <f t="array" ref="J384">_xlfn.XLOOKUP(F384&amp;G384&amp;H384,'Data input'!$I$1298:$I$1325&amp;'Data input'!$J$1298:$J$1325&amp;'Data input'!$K$1298:$K$1325,'Data input'!$L$1298:$L$1325)</f>
        <v>3.6426153846153899</v>
      </c>
      <c r="K384" s="335">
        <f t="shared" si="31"/>
        <v>157.63418076923099</v>
      </c>
      <c r="L384" s="469">
        <f>SUMIFS('Data input'!$L$1220:$L$1247,'Data input'!$I$1220:$I$1247,F384,'Data input'!$J$1220:$J$1247,G384,'Data input'!$K$1220:$K$1247,H384)</f>
        <v>2.4</v>
      </c>
      <c r="M384" s="443">
        <f t="shared" si="32"/>
        <v>378.3220338461544</v>
      </c>
      <c r="N384" s="330"/>
    </row>
    <row r="385" spans="5:14">
      <c r="E385" s="330"/>
      <c r="F385" s="207">
        <v>2024</v>
      </c>
      <c r="G385" s="147" t="s">
        <v>396</v>
      </c>
      <c r="H385" s="214" t="s">
        <v>173</v>
      </c>
      <c r="I385" s="464" cm="1">
        <f t="array" ref="I385">_xlfn.XLOOKUP(F385&amp;G385&amp;H385,'Data input'!$I$1265:$I$1292&amp;'Data input'!$J$1265:$J$1292&amp;'Data input'!$K$1265:$K$1292,'Data input'!$L$1265:$L$1292)</f>
        <v>44.8</v>
      </c>
      <c r="J385" s="465" cm="1">
        <f t="array" ref="J385">_xlfn.XLOOKUP(F385&amp;G385&amp;H385,'Data input'!$I$1298:$I$1325&amp;'Data input'!$J$1298:$J$1325&amp;'Data input'!$K$1298:$K$1325,'Data input'!$L$1298:$L$1325)</f>
        <v>3.7119120879120899</v>
      </c>
      <c r="K385" s="335">
        <f t="shared" si="31"/>
        <v>166.29366153846161</v>
      </c>
      <c r="L385" s="469">
        <f>SUMIFS('Data input'!$L$1220:$L$1247,'Data input'!$I$1220:$I$1247,F385,'Data input'!$J$1220:$J$1247,G385,'Data input'!$K$1220:$K$1247,H385)</f>
        <v>2</v>
      </c>
      <c r="M385" s="443">
        <f t="shared" si="32"/>
        <v>332.58732307692321</v>
      </c>
      <c r="N385" s="330"/>
    </row>
    <row r="386" spans="5:14">
      <c r="E386" s="330"/>
      <c r="F386" s="207">
        <v>2025</v>
      </c>
      <c r="G386" s="147" t="s">
        <v>396</v>
      </c>
      <c r="H386" s="214" t="s">
        <v>173</v>
      </c>
      <c r="I386" s="464" cm="1">
        <f t="array" ref="I386">_xlfn.XLOOKUP(F386&amp;G386&amp;H386,'Data input'!$I$1265:$I$1292&amp;'Data input'!$J$1265:$J$1292&amp;'Data input'!$K$1265:$K$1292,'Data input'!$L$1265:$L$1292)</f>
        <v>43.3</v>
      </c>
      <c r="J386" s="465" cm="1">
        <f t="array" ref="J386">_xlfn.XLOOKUP(F386&amp;G386&amp;H386,'Data input'!$I$1298:$I$1325&amp;'Data input'!$J$1298:$J$1325&amp;'Data input'!$K$1298:$K$1325,'Data input'!$L$1298:$L$1325)</f>
        <v>3.7812087912087899</v>
      </c>
      <c r="K386" s="335">
        <f t="shared" si="31"/>
        <v>163.72634065934059</v>
      </c>
      <c r="L386" s="469">
        <f>SUMIFS('Data input'!$L$1220:$L$1247,'Data input'!$I$1220:$I$1247,F386,'Data input'!$J$1220:$J$1247,G386,'Data input'!$K$1220:$K$1247,H386)</f>
        <v>2.1</v>
      </c>
      <c r="M386" s="443">
        <f t="shared" si="32"/>
        <v>343.82531538461524</v>
      </c>
      <c r="N386" s="330"/>
    </row>
    <row r="387" spans="5:14">
      <c r="E387" s="330"/>
      <c r="F387" s="207">
        <v>2026</v>
      </c>
      <c r="G387" s="147" t="s">
        <v>396</v>
      </c>
      <c r="H387" s="214" t="s">
        <v>173</v>
      </c>
      <c r="I387" s="464" cm="1">
        <f t="array" ref="I387">_xlfn.XLOOKUP(F387&amp;G387&amp;H387,'Data input'!$I$1265:$I$1292&amp;'Data input'!$J$1265:$J$1292&amp;'Data input'!$K$1265:$K$1292,'Data input'!$L$1265:$L$1292)</f>
        <v>43.31</v>
      </c>
      <c r="J387" s="465" cm="1">
        <f t="array" ref="J387">_xlfn.XLOOKUP(F387&amp;G387&amp;H387,'Data input'!$I$1298:$I$1325&amp;'Data input'!$J$1298:$J$1325&amp;'Data input'!$K$1298:$K$1325,'Data input'!$L$1298:$L$1325)</f>
        <v>3.8505054945055002</v>
      </c>
      <c r="K387" s="335">
        <f t="shared" si="31"/>
        <v>166.76539296703322</v>
      </c>
      <c r="L387" s="469">
        <f>SUMIFS('Data input'!$L$1220:$L$1247,'Data input'!$I$1220:$I$1247,F387,'Data input'!$J$1220:$J$1247,G387,'Data input'!$K$1220:$K$1247,H387)</f>
        <v>2.2000000000000002</v>
      </c>
      <c r="M387" s="443">
        <f t="shared" si="32"/>
        <v>366.88386452747312</v>
      </c>
      <c r="N387" s="330"/>
    </row>
    <row r="388" spans="5:14">
      <c r="E388" s="330"/>
      <c r="F388" s="207">
        <v>2020</v>
      </c>
      <c r="G388" s="147" t="s">
        <v>396</v>
      </c>
      <c r="H388" s="214" t="s">
        <v>212</v>
      </c>
      <c r="I388" s="464" cm="1">
        <f t="array" ref="I388">_xlfn.XLOOKUP(F388&amp;G388&amp;H388,'Data input'!$I$1265:$I$1292&amp;'Data input'!$J$1265:$J$1292&amp;'Data input'!$K$1265:$K$1292,'Data input'!$L$1265:$L$1292)</f>
        <v>43.29</v>
      </c>
      <c r="J388" s="465" cm="1">
        <f t="array" ref="J388">_xlfn.XLOOKUP(F388&amp;G388&amp;H388,'Data input'!$I$1298:$I$1325&amp;'Data input'!$J$1298:$J$1325&amp;'Data input'!$K$1298:$K$1325,'Data input'!$L$1298:$L$1325)</f>
        <v>3.9198021978022002</v>
      </c>
      <c r="K388" s="335">
        <f t="shared" si="31"/>
        <v>169.68823714285725</v>
      </c>
      <c r="L388" s="469">
        <f>SUMIFS('Data input'!$L$1220:$L$1247,'Data input'!$I$1220:$I$1247,F388,'Data input'!$J$1220:$J$1247,G388,'Data input'!$K$1220:$K$1247,H388)</f>
        <v>2.2999999999999998</v>
      </c>
      <c r="M388" s="443">
        <f t="shared" si="32"/>
        <v>390.28294542857162</v>
      </c>
      <c r="N388" s="330"/>
    </row>
    <row r="389" spans="5:14">
      <c r="E389" s="330"/>
      <c r="F389" s="207">
        <v>2021</v>
      </c>
      <c r="G389" s="147" t="s">
        <v>396</v>
      </c>
      <c r="H389" s="214" t="s">
        <v>212</v>
      </c>
      <c r="I389" s="464" cm="1">
        <f t="array" ref="I389">_xlfn.XLOOKUP(F389&amp;G389&amp;H389,'Data input'!$I$1265:$I$1292&amp;'Data input'!$J$1265:$J$1292&amp;'Data input'!$K$1265:$K$1292,'Data input'!$L$1265:$L$1292)</f>
        <v>43.29</v>
      </c>
      <c r="J389" s="465" cm="1">
        <f t="array" ref="J389">_xlfn.XLOOKUP(F389&amp;G389&amp;H389,'Data input'!$I$1298:$I$1325&amp;'Data input'!$J$1298:$J$1325&amp;'Data input'!$K$1298:$K$1325,'Data input'!$L$1298:$L$1325)</f>
        <v>3.9890989010989002</v>
      </c>
      <c r="K389" s="335">
        <f t="shared" si="31"/>
        <v>172.6880914285714</v>
      </c>
      <c r="L389" s="469">
        <f>SUMIFS('Data input'!$L$1220:$L$1247,'Data input'!$I$1220:$I$1247,F389,'Data input'!$J$1220:$J$1247,G389,'Data input'!$K$1220:$K$1247,H389)</f>
        <v>2.4</v>
      </c>
      <c r="M389" s="443">
        <f t="shared" si="32"/>
        <v>414.45141942857134</v>
      </c>
      <c r="N389" s="330"/>
    </row>
    <row r="390" spans="5:14">
      <c r="E390" s="330"/>
      <c r="F390" s="207">
        <v>2022</v>
      </c>
      <c r="G390" s="147" t="s">
        <v>396</v>
      </c>
      <c r="H390" s="214" t="s">
        <v>212</v>
      </c>
      <c r="I390" s="464" cm="1">
        <f t="array" ref="I390">_xlfn.XLOOKUP(F390&amp;G390&amp;H390,'Data input'!$I$1265:$I$1292&amp;'Data input'!$J$1265:$J$1292&amp;'Data input'!$K$1265:$K$1292,'Data input'!$L$1265:$L$1292)</f>
        <v>43.284999999999997</v>
      </c>
      <c r="J390" s="465" cm="1">
        <f t="array" ref="J390">_xlfn.XLOOKUP(F390&amp;G390&amp;H390,'Data input'!$I$1298:$I$1325&amp;'Data input'!$J$1298:$J$1325&amp;'Data input'!$K$1298:$K$1325,'Data input'!$L$1298:$L$1325)</f>
        <v>4.05839560439561</v>
      </c>
      <c r="K390" s="335">
        <f t="shared" si="31"/>
        <v>175.66765373626396</v>
      </c>
      <c r="L390" s="469">
        <f>SUMIFS('Data input'!$L$1220:$L$1247,'Data input'!$I$1220:$I$1247,F390,'Data input'!$J$1220:$J$1247,G390,'Data input'!$K$1220:$K$1247,H390)</f>
        <v>3.3</v>
      </c>
      <c r="M390" s="443">
        <f t="shared" si="32"/>
        <v>579.70325732967103</v>
      </c>
      <c r="N390" s="330"/>
    </row>
    <row r="391" spans="5:14">
      <c r="E391" s="330"/>
      <c r="F391" s="207">
        <v>2023</v>
      </c>
      <c r="G391" s="147" t="s">
        <v>396</v>
      </c>
      <c r="H391" s="214" t="s">
        <v>212</v>
      </c>
      <c r="I391" s="464" cm="1">
        <f t="array" ref="I391">_xlfn.XLOOKUP(F391&amp;G391&amp;H391,'Data input'!$I$1265:$I$1292&amp;'Data input'!$J$1265:$J$1292&amp;'Data input'!$K$1265:$K$1292,'Data input'!$L$1265:$L$1292)</f>
        <v>43.28</v>
      </c>
      <c r="J391" s="465" cm="1">
        <f t="array" ref="J391">_xlfn.XLOOKUP(F391&amp;G391&amp;H391,'Data input'!$I$1298:$I$1325&amp;'Data input'!$J$1298:$J$1325&amp;'Data input'!$K$1298:$K$1325,'Data input'!$L$1298:$L$1325)</f>
        <v>4.1276923076923104</v>
      </c>
      <c r="K391" s="335">
        <f t="shared" si="31"/>
        <v>178.64652307692319</v>
      </c>
      <c r="L391" s="469">
        <f>SUMIFS('Data input'!$L$1220:$L$1247,'Data input'!$I$1220:$I$1247,F391,'Data input'!$J$1220:$J$1247,G391,'Data input'!$K$1220:$K$1247,H391)</f>
        <v>3.4</v>
      </c>
      <c r="M391" s="443">
        <f t="shared" si="32"/>
        <v>607.39817846153881</v>
      </c>
      <c r="N391" s="330"/>
    </row>
    <row r="392" spans="5:14">
      <c r="E392" s="330"/>
      <c r="F392" s="207">
        <v>2024</v>
      </c>
      <c r="G392" s="147" t="s">
        <v>396</v>
      </c>
      <c r="H392" s="214" t="s">
        <v>212</v>
      </c>
      <c r="I392" s="464" cm="1">
        <f t="array" ref="I392">_xlfn.XLOOKUP(F392&amp;G392&amp;H392,'Data input'!$I$1265:$I$1292&amp;'Data input'!$J$1265:$J$1292&amp;'Data input'!$K$1265:$K$1292,'Data input'!$L$1265:$L$1292)</f>
        <v>43.274999999999999</v>
      </c>
      <c r="J392" s="465" cm="1">
        <f t="array" ref="J392">_xlfn.XLOOKUP(F392&amp;G392&amp;H392,'Data input'!$I$1298:$I$1325&amp;'Data input'!$J$1298:$J$1325&amp;'Data input'!$K$1298:$K$1325,'Data input'!$L$1298:$L$1325)</f>
        <v>4.19698901098901</v>
      </c>
      <c r="K392" s="335">
        <f t="shared" si="31"/>
        <v>181.6246994505494</v>
      </c>
      <c r="L392" s="469">
        <f>SUMIFS('Data input'!$L$1220:$L$1247,'Data input'!$I$1220:$I$1247,F392,'Data input'!$J$1220:$J$1247,G392,'Data input'!$K$1220:$K$1247,H392)</f>
        <v>3.5</v>
      </c>
      <c r="M392" s="443">
        <f t="shared" si="32"/>
        <v>635.68644807692294</v>
      </c>
      <c r="N392" s="330"/>
    </row>
    <row r="393" spans="5:14">
      <c r="E393" s="330"/>
      <c r="F393" s="207">
        <v>2025</v>
      </c>
      <c r="G393" s="147" t="s">
        <v>396</v>
      </c>
      <c r="H393" s="214" t="s">
        <v>212</v>
      </c>
      <c r="I393" s="464" cm="1">
        <f t="array" ref="I393">_xlfn.XLOOKUP(F393&amp;G393&amp;H393,'Data input'!$I$1265:$I$1292&amp;'Data input'!$J$1265:$J$1292&amp;'Data input'!$K$1265:$K$1292,'Data input'!$L$1265:$L$1292)</f>
        <v>44.8</v>
      </c>
      <c r="J393" s="465" cm="1">
        <f t="array" ref="J393">_xlfn.XLOOKUP(F393&amp;G393&amp;H393,'Data input'!$I$1298:$I$1325&amp;'Data input'!$J$1298:$J$1325&amp;'Data input'!$K$1298:$K$1325,'Data input'!$L$1298:$L$1325)</f>
        <v>4.2662857142857202</v>
      </c>
      <c r="K393" s="335">
        <f t="shared" si="31"/>
        <v>191.12960000000027</v>
      </c>
      <c r="L393" s="469">
        <f>SUMIFS('Data input'!$L$1220:$L$1247,'Data input'!$I$1220:$I$1247,F393,'Data input'!$J$1220:$J$1247,G393,'Data input'!$K$1220:$K$1247,H393)</f>
        <v>3.6</v>
      </c>
      <c r="M393" s="443">
        <f t="shared" si="32"/>
        <v>688.066560000001</v>
      </c>
      <c r="N393" s="330"/>
    </row>
    <row r="394" spans="5:14" ht="16" thickBot="1">
      <c r="E394" s="330"/>
      <c r="F394" s="208">
        <v>2026</v>
      </c>
      <c r="G394" s="211" t="s">
        <v>396</v>
      </c>
      <c r="H394" s="215" t="s">
        <v>212</v>
      </c>
      <c r="I394" s="466" cm="1">
        <f t="array" ref="I394">_xlfn.XLOOKUP(F394&amp;G394&amp;H394,'Data input'!$I$1265:$I$1292&amp;'Data input'!$J$1265:$J$1292&amp;'Data input'!$K$1265:$K$1292,'Data input'!$L$1265:$L$1292)</f>
        <v>44.81</v>
      </c>
      <c r="J394" s="467" cm="1">
        <f t="array" ref="J394">_xlfn.XLOOKUP(F394&amp;G394&amp;H394,'Data input'!$I$1298:$I$1325&amp;'Data input'!$J$1298:$J$1325&amp;'Data input'!$K$1298:$K$1325,'Data input'!$L$1298:$L$1325)</f>
        <v>4.3355824175824198</v>
      </c>
      <c r="K394" s="440">
        <f t="shared" si="31"/>
        <v>194.27744813186825</v>
      </c>
      <c r="L394" s="470">
        <f>SUMIFS('Data input'!$L$1220:$L$1247,'Data input'!$I$1220:$I$1247,F394,'Data input'!$J$1220:$J$1247,G394,'Data input'!$K$1220:$K$1247,H394)</f>
        <v>3.7</v>
      </c>
      <c r="M394" s="444">
        <f t="shared" si="32"/>
        <v>718.82655808791253</v>
      </c>
      <c r="N394" s="330"/>
    </row>
    <row r="395" spans="5:14">
      <c r="F395" s="330"/>
      <c r="G395" s="330"/>
      <c r="H395" s="330"/>
      <c r="I395" s="330"/>
      <c r="J395" s="330"/>
      <c r="K395" s="330"/>
      <c r="L395" s="330"/>
      <c r="M395" s="338">
        <f>SUM(M367:M394)</f>
        <v>10039.30402936264</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6799A1F-A5C6-4B63-B6FE-0046CDE8610E}">
          <x14:formula1>
            <xm:f>Lists!$A$2:$A$4</xm:f>
          </x14:formula1>
          <xm:sqref>F14:F16 F28:F30 F148 F160:F162 F274 F286:F288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8D9B8-B0DC-451C-8D2A-B8D31C446711}">
  <dimension ref="H5:N1325"/>
  <sheetViews>
    <sheetView topLeftCell="A1087" workbookViewId="0">
      <selection activeCell="I1104" sqref="I1104:J1105"/>
    </sheetView>
  </sheetViews>
  <sheetFormatPr baseColWidth="10" defaultColWidth="9.1640625" defaultRowHeight="15"/>
  <cols>
    <col min="1" max="8" width="9.1640625" style="147"/>
    <col min="9" max="9" width="15" style="147" customWidth="1"/>
    <col min="10" max="10" width="26.6640625" style="147" customWidth="1"/>
    <col min="11" max="11" width="26.1640625" style="147" customWidth="1"/>
    <col min="12" max="12" width="45.33203125" style="147" customWidth="1"/>
    <col min="13" max="13" width="13.5" style="147" bestFit="1" customWidth="1"/>
    <col min="14" max="16384" width="9.1640625" style="147"/>
  </cols>
  <sheetData>
    <row r="5" spans="8:10" s="258" customFormat="1">
      <c r="I5" s="258" t="s">
        <v>399</v>
      </c>
    </row>
    <row r="7" spans="8:10">
      <c r="I7" s="157"/>
      <c r="J7" s="147" t="s">
        <v>400</v>
      </c>
    </row>
    <row r="8" spans="8:10">
      <c r="H8" s="157"/>
      <c r="I8" s="603" t="s">
        <v>233</v>
      </c>
      <c r="J8" s="603" t="s">
        <v>27</v>
      </c>
    </row>
    <row r="9" spans="8:10">
      <c r="H9" s="157"/>
      <c r="I9" s="600">
        <v>2020</v>
      </c>
      <c r="J9" s="320">
        <v>0</v>
      </c>
    </row>
    <row r="10" spans="8:10">
      <c r="H10" s="157"/>
      <c r="I10" s="600">
        <v>2021</v>
      </c>
      <c r="J10" s="320">
        <v>0</v>
      </c>
    </row>
    <row r="11" spans="8:10">
      <c r="H11" s="157"/>
      <c r="I11" s="600">
        <v>2022</v>
      </c>
      <c r="J11" s="320">
        <v>0</v>
      </c>
    </row>
    <row r="12" spans="8:10">
      <c r="H12" s="157"/>
      <c r="I12" s="600">
        <v>2023</v>
      </c>
      <c r="J12" s="320">
        <v>0</v>
      </c>
    </row>
    <row r="13" spans="8:10">
      <c r="H13" s="157"/>
      <c r="I13" s="600">
        <v>2024</v>
      </c>
      <c r="J13" s="320">
        <v>0</v>
      </c>
    </row>
    <row r="14" spans="8:10">
      <c r="H14" s="157"/>
      <c r="I14" s="600">
        <v>2025</v>
      </c>
      <c r="J14" s="320">
        <v>0</v>
      </c>
    </row>
    <row r="15" spans="8:10">
      <c r="H15" s="157"/>
      <c r="I15" s="601">
        <v>2026</v>
      </c>
      <c r="J15" s="602">
        <v>0</v>
      </c>
    </row>
    <row r="16" spans="8:10">
      <c r="I16" s="157"/>
    </row>
    <row r="18" spans="8:14" s="258" customFormat="1">
      <c r="I18" s="258" t="s">
        <v>401</v>
      </c>
    </row>
    <row r="21" spans="8:14">
      <c r="I21" s="157"/>
      <c r="J21" s="157"/>
      <c r="K21" s="157"/>
      <c r="L21" s="157"/>
      <c r="M21" s="157"/>
    </row>
    <row r="22" spans="8:14" ht="17">
      <c r="H22" s="157"/>
      <c r="I22" s="212" t="s">
        <v>321</v>
      </c>
      <c r="J22" s="271" t="s">
        <v>240</v>
      </c>
      <c r="K22" s="274" t="s">
        <v>241</v>
      </c>
      <c r="L22" s="213" t="s">
        <v>242</v>
      </c>
      <c r="M22" s="593" t="s">
        <v>64</v>
      </c>
      <c r="N22" s="157"/>
    </row>
    <row r="23" spans="8:14">
      <c r="H23" s="157"/>
      <c r="I23" s="207">
        <v>2020</v>
      </c>
      <c r="J23" s="12" t="s">
        <v>172</v>
      </c>
      <c r="K23" s="12" t="s">
        <v>173</v>
      </c>
      <c r="L23" s="157" t="s">
        <v>243</v>
      </c>
      <c r="M23" s="235">
        <v>200</v>
      </c>
      <c r="N23" s="157"/>
    </row>
    <row r="24" spans="8:14">
      <c r="H24" s="157"/>
      <c r="I24" s="207">
        <v>2021</v>
      </c>
      <c r="J24" s="12" t="s">
        <v>172</v>
      </c>
      <c r="K24" s="12" t="s">
        <v>173</v>
      </c>
      <c r="L24" s="157" t="s">
        <v>243</v>
      </c>
      <c r="M24" s="217">
        <v>201</v>
      </c>
      <c r="N24" s="157"/>
    </row>
    <row r="25" spans="8:14">
      <c r="H25" s="157"/>
      <c r="I25" s="207">
        <v>2022</v>
      </c>
      <c r="J25" s="12" t="s">
        <v>172</v>
      </c>
      <c r="K25" s="12" t="s">
        <v>173</v>
      </c>
      <c r="L25" s="157" t="s">
        <v>243</v>
      </c>
      <c r="M25" s="217">
        <v>202</v>
      </c>
      <c r="N25" s="157"/>
    </row>
    <row r="26" spans="8:14">
      <c r="H26" s="157"/>
      <c r="I26" s="207">
        <v>2023</v>
      </c>
      <c r="J26" s="12" t="s">
        <v>172</v>
      </c>
      <c r="K26" s="12" t="s">
        <v>173</v>
      </c>
      <c r="L26" s="157" t="s">
        <v>243</v>
      </c>
      <c r="M26" s="217">
        <v>203</v>
      </c>
      <c r="N26" s="157"/>
    </row>
    <row r="27" spans="8:14">
      <c r="H27" s="157"/>
      <c r="I27" s="207">
        <v>2024</v>
      </c>
      <c r="J27" s="12" t="s">
        <v>172</v>
      </c>
      <c r="K27" s="12" t="s">
        <v>173</v>
      </c>
      <c r="L27" s="157" t="s">
        <v>243</v>
      </c>
      <c r="M27" s="217">
        <v>204</v>
      </c>
      <c r="N27" s="157"/>
    </row>
    <row r="28" spans="8:14">
      <c r="H28" s="157"/>
      <c r="I28" s="207">
        <v>2025</v>
      </c>
      <c r="J28" s="12" t="s">
        <v>172</v>
      </c>
      <c r="K28" s="12" t="s">
        <v>173</v>
      </c>
      <c r="L28" s="157" t="s">
        <v>243</v>
      </c>
      <c r="M28" s="217">
        <v>205</v>
      </c>
      <c r="N28" s="157"/>
    </row>
    <row r="29" spans="8:14">
      <c r="H29" s="157"/>
      <c r="I29" s="207">
        <v>2026</v>
      </c>
      <c r="J29" s="12" t="s">
        <v>172</v>
      </c>
      <c r="K29" s="12" t="s">
        <v>173</v>
      </c>
      <c r="L29" s="157" t="s">
        <v>243</v>
      </c>
      <c r="M29" s="217">
        <v>206</v>
      </c>
      <c r="N29" s="157"/>
    </row>
    <row r="30" spans="8:14">
      <c r="H30" s="157"/>
      <c r="I30" s="207">
        <v>2020</v>
      </c>
      <c r="J30" s="259" t="s">
        <v>175</v>
      </c>
      <c r="K30" s="12" t="s">
        <v>173</v>
      </c>
      <c r="L30" s="157" t="s">
        <v>243</v>
      </c>
      <c r="M30" s="217">
        <v>207</v>
      </c>
      <c r="N30" s="157"/>
    </row>
    <row r="31" spans="8:14">
      <c r="H31" s="157"/>
      <c r="I31" s="207">
        <v>2021</v>
      </c>
      <c r="J31" s="259" t="s">
        <v>175</v>
      </c>
      <c r="K31" s="12" t="s">
        <v>173</v>
      </c>
      <c r="L31" s="157" t="s">
        <v>243</v>
      </c>
      <c r="M31" s="217">
        <v>208</v>
      </c>
      <c r="N31" s="157"/>
    </row>
    <row r="32" spans="8:14">
      <c r="H32" s="157"/>
      <c r="I32" s="207">
        <v>2022</v>
      </c>
      <c r="J32" s="259" t="s">
        <v>175</v>
      </c>
      <c r="K32" s="12" t="s">
        <v>173</v>
      </c>
      <c r="L32" s="157" t="s">
        <v>243</v>
      </c>
      <c r="M32" s="217">
        <v>209</v>
      </c>
      <c r="N32" s="157"/>
    </row>
    <row r="33" spans="8:14">
      <c r="H33" s="157"/>
      <c r="I33" s="207">
        <v>2023</v>
      </c>
      <c r="J33" s="259" t="s">
        <v>175</v>
      </c>
      <c r="K33" s="12" t="s">
        <v>173</v>
      </c>
      <c r="L33" s="157" t="s">
        <v>243</v>
      </c>
      <c r="M33" s="217">
        <v>210</v>
      </c>
      <c r="N33" s="157"/>
    </row>
    <row r="34" spans="8:14">
      <c r="H34" s="157"/>
      <c r="I34" s="207">
        <v>2024</v>
      </c>
      <c r="J34" s="259" t="s">
        <v>175</v>
      </c>
      <c r="K34" s="12" t="s">
        <v>173</v>
      </c>
      <c r="L34" s="157" t="s">
        <v>243</v>
      </c>
      <c r="M34" s="217">
        <v>211</v>
      </c>
      <c r="N34" s="157"/>
    </row>
    <row r="35" spans="8:14">
      <c r="H35" s="157"/>
      <c r="I35" s="207">
        <v>2025</v>
      </c>
      <c r="J35" s="259" t="s">
        <v>175</v>
      </c>
      <c r="K35" s="12" t="s">
        <v>173</v>
      </c>
      <c r="L35" s="157" t="s">
        <v>243</v>
      </c>
      <c r="M35" s="217">
        <v>212</v>
      </c>
      <c r="N35" s="157"/>
    </row>
    <row r="36" spans="8:14">
      <c r="H36" s="157"/>
      <c r="I36" s="207">
        <v>2026</v>
      </c>
      <c r="J36" s="259" t="s">
        <v>175</v>
      </c>
      <c r="K36" s="12" t="s">
        <v>173</v>
      </c>
      <c r="L36" s="157" t="s">
        <v>243</v>
      </c>
      <c r="M36" s="217">
        <v>213</v>
      </c>
      <c r="N36" s="157"/>
    </row>
    <row r="37" spans="8:14">
      <c r="H37" s="157"/>
      <c r="I37" s="207">
        <v>2020</v>
      </c>
      <c r="J37" s="12" t="s">
        <v>172</v>
      </c>
      <c r="K37" s="12" t="s">
        <v>212</v>
      </c>
      <c r="L37" s="157" t="s">
        <v>243</v>
      </c>
      <c r="M37" s="217">
        <v>214</v>
      </c>
      <c r="N37" s="157"/>
    </row>
    <row r="38" spans="8:14">
      <c r="H38" s="157"/>
      <c r="I38" s="207">
        <v>2021</v>
      </c>
      <c r="J38" s="12" t="s">
        <v>172</v>
      </c>
      <c r="K38" s="12" t="s">
        <v>212</v>
      </c>
      <c r="L38" s="157" t="s">
        <v>243</v>
      </c>
      <c r="M38" s="217">
        <v>215</v>
      </c>
      <c r="N38" s="157"/>
    </row>
    <row r="39" spans="8:14">
      <c r="H39" s="157"/>
      <c r="I39" s="207">
        <v>2022</v>
      </c>
      <c r="J39" s="12" t="s">
        <v>172</v>
      </c>
      <c r="K39" s="12" t="s">
        <v>212</v>
      </c>
      <c r="L39" s="157" t="s">
        <v>243</v>
      </c>
      <c r="M39" s="217">
        <v>216</v>
      </c>
      <c r="N39" s="157"/>
    </row>
    <row r="40" spans="8:14">
      <c r="H40" s="157"/>
      <c r="I40" s="207">
        <v>2023</v>
      </c>
      <c r="J40" s="12" t="s">
        <v>172</v>
      </c>
      <c r="K40" s="12" t="s">
        <v>212</v>
      </c>
      <c r="L40" s="157" t="s">
        <v>243</v>
      </c>
      <c r="M40" s="217">
        <v>217</v>
      </c>
      <c r="N40" s="157"/>
    </row>
    <row r="41" spans="8:14">
      <c r="H41" s="157"/>
      <c r="I41" s="207">
        <v>2024</v>
      </c>
      <c r="J41" s="12" t="s">
        <v>172</v>
      </c>
      <c r="K41" s="12" t="s">
        <v>212</v>
      </c>
      <c r="L41" s="157" t="s">
        <v>243</v>
      </c>
      <c r="M41" s="217">
        <v>218</v>
      </c>
      <c r="N41" s="157"/>
    </row>
    <row r="42" spans="8:14">
      <c r="H42" s="157"/>
      <c r="I42" s="207">
        <v>2025</v>
      </c>
      <c r="J42" s="12" t="s">
        <v>172</v>
      </c>
      <c r="K42" s="12" t="s">
        <v>212</v>
      </c>
      <c r="L42" s="157" t="s">
        <v>243</v>
      </c>
      <c r="M42" s="217">
        <v>219</v>
      </c>
      <c r="N42" s="157"/>
    </row>
    <row r="43" spans="8:14">
      <c r="H43" s="157"/>
      <c r="I43" s="207">
        <v>2026</v>
      </c>
      <c r="J43" s="12" t="s">
        <v>172</v>
      </c>
      <c r="K43" s="12" t="s">
        <v>212</v>
      </c>
      <c r="L43" s="157" t="s">
        <v>243</v>
      </c>
      <c r="M43" s="217">
        <v>220</v>
      </c>
      <c r="N43" s="157"/>
    </row>
    <row r="44" spans="8:14">
      <c r="H44" s="157"/>
      <c r="I44" s="207">
        <v>2020</v>
      </c>
      <c r="J44" s="259" t="s">
        <v>175</v>
      </c>
      <c r="K44" s="12" t="s">
        <v>212</v>
      </c>
      <c r="L44" s="157" t="s">
        <v>243</v>
      </c>
      <c r="M44" s="217">
        <v>221</v>
      </c>
      <c r="N44" s="157"/>
    </row>
    <row r="45" spans="8:14">
      <c r="H45" s="157"/>
      <c r="I45" s="207">
        <v>2021</v>
      </c>
      <c r="J45" s="259" t="s">
        <v>175</v>
      </c>
      <c r="K45" s="12" t="s">
        <v>212</v>
      </c>
      <c r="L45" s="157" t="s">
        <v>243</v>
      </c>
      <c r="M45" s="217">
        <v>222</v>
      </c>
      <c r="N45" s="157"/>
    </row>
    <row r="46" spans="8:14">
      <c r="H46" s="157"/>
      <c r="I46" s="207">
        <v>2022</v>
      </c>
      <c r="J46" s="259" t="s">
        <v>175</v>
      </c>
      <c r="K46" s="12" t="s">
        <v>212</v>
      </c>
      <c r="L46" s="157" t="s">
        <v>243</v>
      </c>
      <c r="M46" s="217">
        <v>223</v>
      </c>
      <c r="N46" s="157"/>
    </row>
    <row r="47" spans="8:14">
      <c r="H47" s="157"/>
      <c r="I47" s="207">
        <v>2023</v>
      </c>
      <c r="J47" s="259" t="s">
        <v>175</v>
      </c>
      <c r="K47" s="12" t="s">
        <v>212</v>
      </c>
      <c r="L47" s="157" t="s">
        <v>243</v>
      </c>
      <c r="M47" s="217">
        <v>224</v>
      </c>
      <c r="N47" s="157"/>
    </row>
    <row r="48" spans="8:14">
      <c r="H48" s="157"/>
      <c r="I48" s="207">
        <v>2024</v>
      </c>
      <c r="J48" s="259" t="s">
        <v>175</v>
      </c>
      <c r="K48" s="12" t="s">
        <v>212</v>
      </c>
      <c r="L48" s="157" t="s">
        <v>243</v>
      </c>
      <c r="M48" s="217">
        <v>225</v>
      </c>
      <c r="N48" s="157"/>
    </row>
    <row r="49" spans="8:14">
      <c r="H49" s="157"/>
      <c r="I49" s="207">
        <v>2025</v>
      </c>
      <c r="J49" s="259" t="s">
        <v>175</v>
      </c>
      <c r="K49" s="12" t="s">
        <v>212</v>
      </c>
      <c r="L49" s="157" t="s">
        <v>243</v>
      </c>
      <c r="M49" s="217">
        <v>226</v>
      </c>
      <c r="N49" s="157"/>
    </row>
    <row r="50" spans="8:14">
      <c r="H50" s="157"/>
      <c r="I50" s="207">
        <v>2026</v>
      </c>
      <c r="J50" s="259" t="s">
        <v>175</v>
      </c>
      <c r="K50" s="12" t="s">
        <v>212</v>
      </c>
      <c r="L50" s="157" t="s">
        <v>243</v>
      </c>
      <c r="M50" s="217">
        <v>227</v>
      </c>
      <c r="N50" s="157"/>
    </row>
    <row r="51" spans="8:14">
      <c r="H51" s="157"/>
      <c r="I51" s="207">
        <v>2020</v>
      </c>
      <c r="J51" s="12" t="s">
        <v>172</v>
      </c>
      <c r="K51" s="12" t="s">
        <v>173</v>
      </c>
      <c r="L51" s="157" t="s">
        <v>244</v>
      </c>
      <c r="M51" s="217">
        <v>228</v>
      </c>
      <c r="N51" s="157"/>
    </row>
    <row r="52" spans="8:14">
      <c r="H52" s="157"/>
      <c r="I52" s="207">
        <v>2021</v>
      </c>
      <c r="J52" s="12" t="s">
        <v>172</v>
      </c>
      <c r="K52" s="12" t="s">
        <v>173</v>
      </c>
      <c r="L52" s="157" t="s">
        <v>244</v>
      </c>
      <c r="M52" s="217">
        <v>229</v>
      </c>
      <c r="N52" s="157"/>
    </row>
    <row r="53" spans="8:14">
      <c r="H53" s="157"/>
      <c r="I53" s="207">
        <v>2022</v>
      </c>
      <c r="J53" s="12" t="s">
        <v>172</v>
      </c>
      <c r="K53" s="12" t="s">
        <v>173</v>
      </c>
      <c r="L53" s="157" t="s">
        <v>244</v>
      </c>
      <c r="M53" s="217">
        <v>230</v>
      </c>
      <c r="N53" s="157"/>
    </row>
    <row r="54" spans="8:14">
      <c r="H54" s="157"/>
      <c r="I54" s="207">
        <v>2023</v>
      </c>
      <c r="J54" s="12" t="s">
        <v>172</v>
      </c>
      <c r="K54" s="12" t="s">
        <v>173</v>
      </c>
      <c r="L54" s="157" t="s">
        <v>244</v>
      </c>
      <c r="M54" s="217">
        <v>231</v>
      </c>
      <c r="N54" s="157"/>
    </row>
    <row r="55" spans="8:14">
      <c r="H55" s="157"/>
      <c r="I55" s="207">
        <v>2024</v>
      </c>
      <c r="J55" s="12" t="s">
        <v>172</v>
      </c>
      <c r="K55" s="12" t="s">
        <v>173</v>
      </c>
      <c r="L55" s="157" t="s">
        <v>244</v>
      </c>
      <c r="M55" s="217">
        <v>232</v>
      </c>
      <c r="N55" s="157"/>
    </row>
    <row r="56" spans="8:14">
      <c r="H56" s="157"/>
      <c r="I56" s="207">
        <v>2025</v>
      </c>
      <c r="J56" s="12" t="s">
        <v>172</v>
      </c>
      <c r="K56" s="12" t="s">
        <v>173</v>
      </c>
      <c r="L56" s="157" t="s">
        <v>244</v>
      </c>
      <c r="M56" s="217">
        <v>233</v>
      </c>
      <c r="N56" s="157"/>
    </row>
    <row r="57" spans="8:14">
      <c r="H57" s="157"/>
      <c r="I57" s="207">
        <v>2026</v>
      </c>
      <c r="J57" s="12" t="s">
        <v>172</v>
      </c>
      <c r="K57" s="12" t="s">
        <v>173</v>
      </c>
      <c r="L57" s="157" t="s">
        <v>244</v>
      </c>
      <c r="M57" s="217">
        <v>234</v>
      </c>
      <c r="N57" s="157"/>
    </row>
    <row r="58" spans="8:14">
      <c r="H58" s="157"/>
      <c r="I58" s="207">
        <v>2020</v>
      </c>
      <c r="J58" s="259" t="s">
        <v>175</v>
      </c>
      <c r="K58" s="12" t="s">
        <v>173</v>
      </c>
      <c r="L58" s="157" t="s">
        <v>244</v>
      </c>
      <c r="M58" s="217">
        <v>235</v>
      </c>
      <c r="N58" s="157"/>
    </row>
    <row r="59" spans="8:14">
      <c r="H59" s="157"/>
      <c r="I59" s="207">
        <v>2021</v>
      </c>
      <c r="J59" s="259" t="s">
        <v>175</v>
      </c>
      <c r="K59" s="12" t="s">
        <v>173</v>
      </c>
      <c r="L59" s="157" t="s">
        <v>244</v>
      </c>
      <c r="M59" s="217">
        <v>236</v>
      </c>
      <c r="N59" s="157"/>
    </row>
    <row r="60" spans="8:14">
      <c r="H60" s="157"/>
      <c r="I60" s="207">
        <v>2022</v>
      </c>
      <c r="J60" s="259" t="s">
        <v>175</v>
      </c>
      <c r="K60" s="12" t="s">
        <v>173</v>
      </c>
      <c r="L60" s="157" t="s">
        <v>244</v>
      </c>
      <c r="M60" s="217">
        <v>237</v>
      </c>
      <c r="N60" s="157"/>
    </row>
    <row r="61" spans="8:14">
      <c r="H61" s="157"/>
      <c r="I61" s="207">
        <v>2023</v>
      </c>
      <c r="J61" s="259" t="s">
        <v>175</v>
      </c>
      <c r="K61" s="12" t="s">
        <v>173</v>
      </c>
      <c r="L61" s="157" t="s">
        <v>244</v>
      </c>
      <c r="M61" s="217">
        <v>238</v>
      </c>
      <c r="N61" s="157"/>
    </row>
    <row r="62" spans="8:14">
      <c r="H62" s="157"/>
      <c r="I62" s="207">
        <v>2024</v>
      </c>
      <c r="J62" s="259" t="s">
        <v>175</v>
      </c>
      <c r="K62" s="12" t="s">
        <v>173</v>
      </c>
      <c r="L62" s="157" t="s">
        <v>244</v>
      </c>
      <c r="M62" s="217">
        <v>239</v>
      </c>
      <c r="N62" s="157"/>
    </row>
    <row r="63" spans="8:14">
      <c r="H63" s="157"/>
      <c r="I63" s="207">
        <v>2025</v>
      </c>
      <c r="J63" s="259" t="s">
        <v>175</v>
      </c>
      <c r="K63" s="12" t="s">
        <v>173</v>
      </c>
      <c r="L63" s="157" t="s">
        <v>244</v>
      </c>
      <c r="M63" s="217">
        <v>240</v>
      </c>
      <c r="N63" s="157"/>
    </row>
    <row r="64" spans="8:14">
      <c r="H64" s="157"/>
      <c r="I64" s="207">
        <v>2026</v>
      </c>
      <c r="J64" s="259" t="s">
        <v>175</v>
      </c>
      <c r="K64" s="12" t="s">
        <v>173</v>
      </c>
      <c r="L64" s="157" t="s">
        <v>244</v>
      </c>
      <c r="M64" s="217">
        <v>241</v>
      </c>
      <c r="N64" s="157"/>
    </row>
    <row r="65" spans="8:14">
      <c r="H65" s="157"/>
      <c r="I65" s="207">
        <v>2020</v>
      </c>
      <c r="J65" s="12" t="s">
        <v>172</v>
      </c>
      <c r="K65" s="12" t="s">
        <v>212</v>
      </c>
      <c r="L65" s="157" t="s">
        <v>244</v>
      </c>
      <c r="M65" s="217">
        <v>242</v>
      </c>
      <c r="N65" s="157"/>
    </row>
    <row r="66" spans="8:14">
      <c r="H66" s="157"/>
      <c r="I66" s="207">
        <v>2021</v>
      </c>
      <c r="J66" s="12" t="s">
        <v>172</v>
      </c>
      <c r="K66" s="12" t="s">
        <v>212</v>
      </c>
      <c r="L66" s="157" t="s">
        <v>244</v>
      </c>
      <c r="M66" s="217">
        <v>243</v>
      </c>
      <c r="N66" s="157"/>
    </row>
    <row r="67" spans="8:14">
      <c r="H67" s="157"/>
      <c r="I67" s="207">
        <v>2022</v>
      </c>
      <c r="J67" s="12" t="s">
        <v>172</v>
      </c>
      <c r="K67" s="12" t="s">
        <v>212</v>
      </c>
      <c r="L67" s="157" t="s">
        <v>244</v>
      </c>
      <c r="M67" s="217">
        <v>244</v>
      </c>
      <c r="N67" s="157"/>
    </row>
    <row r="68" spans="8:14">
      <c r="H68" s="157"/>
      <c r="I68" s="207">
        <v>2023</v>
      </c>
      <c r="J68" s="12" t="s">
        <v>172</v>
      </c>
      <c r="K68" s="12" t="s">
        <v>212</v>
      </c>
      <c r="L68" s="157" t="s">
        <v>244</v>
      </c>
      <c r="M68" s="217">
        <v>245</v>
      </c>
      <c r="N68" s="157"/>
    </row>
    <row r="69" spans="8:14">
      <c r="H69" s="157"/>
      <c r="I69" s="207">
        <v>2024</v>
      </c>
      <c r="J69" s="12" t="s">
        <v>172</v>
      </c>
      <c r="K69" s="12" t="s">
        <v>212</v>
      </c>
      <c r="L69" s="157" t="s">
        <v>244</v>
      </c>
      <c r="M69" s="217">
        <v>246</v>
      </c>
      <c r="N69" s="157"/>
    </row>
    <row r="70" spans="8:14">
      <c r="H70" s="157"/>
      <c r="I70" s="207">
        <v>2025</v>
      </c>
      <c r="J70" s="12" t="s">
        <v>172</v>
      </c>
      <c r="K70" s="12" t="s">
        <v>212</v>
      </c>
      <c r="L70" s="157" t="s">
        <v>244</v>
      </c>
      <c r="M70" s="217">
        <v>247</v>
      </c>
      <c r="N70" s="157"/>
    </row>
    <row r="71" spans="8:14">
      <c r="H71" s="157"/>
      <c r="I71" s="207">
        <v>2026</v>
      </c>
      <c r="J71" s="12" t="s">
        <v>172</v>
      </c>
      <c r="K71" s="12" t="s">
        <v>212</v>
      </c>
      <c r="L71" s="157" t="s">
        <v>244</v>
      </c>
      <c r="M71" s="217">
        <v>248</v>
      </c>
      <c r="N71" s="157"/>
    </row>
    <row r="72" spans="8:14">
      <c r="H72" s="157"/>
      <c r="I72" s="207">
        <v>2020</v>
      </c>
      <c r="J72" s="259" t="s">
        <v>175</v>
      </c>
      <c r="K72" s="12" t="s">
        <v>212</v>
      </c>
      <c r="L72" s="157" t="s">
        <v>244</v>
      </c>
      <c r="M72" s="217">
        <v>249</v>
      </c>
      <c r="N72" s="157"/>
    </row>
    <row r="73" spans="8:14">
      <c r="H73" s="157"/>
      <c r="I73" s="207">
        <v>2021</v>
      </c>
      <c r="J73" s="259" t="s">
        <v>175</v>
      </c>
      <c r="K73" s="12" t="s">
        <v>212</v>
      </c>
      <c r="L73" s="157" t="s">
        <v>244</v>
      </c>
      <c r="M73" s="217">
        <v>250</v>
      </c>
      <c r="N73" s="157"/>
    </row>
    <row r="74" spans="8:14">
      <c r="H74" s="157"/>
      <c r="I74" s="207">
        <v>2022</v>
      </c>
      <c r="J74" s="259" t="s">
        <v>175</v>
      </c>
      <c r="K74" s="12" t="s">
        <v>212</v>
      </c>
      <c r="L74" s="157" t="s">
        <v>244</v>
      </c>
      <c r="M74" s="217">
        <v>251</v>
      </c>
      <c r="N74" s="157"/>
    </row>
    <row r="75" spans="8:14">
      <c r="H75" s="157"/>
      <c r="I75" s="207">
        <v>2023</v>
      </c>
      <c r="J75" s="259" t="s">
        <v>175</v>
      </c>
      <c r="K75" s="12" t="s">
        <v>212</v>
      </c>
      <c r="L75" s="157" t="s">
        <v>244</v>
      </c>
      <c r="M75" s="217">
        <v>252</v>
      </c>
      <c r="N75" s="157"/>
    </row>
    <row r="76" spans="8:14">
      <c r="H76" s="157"/>
      <c r="I76" s="207">
        <v>2024</v>
      </c>
      <c r="J76" s="259" t="s">
        <v>175</v>
      </c>
      <c r="K76" s="12" t="s">
        <v>212</v>
      </c>
      <c r="L76" s="157" t="s">
        <v>244</v>
      </c>
      <c r="M76" s="217">
        <v>253</v>
      </c>
      <c r="N76" s="157"/>
    </row>
    <row r="77" spans="8:14">
      <c r="H77" s="157"/>
      <c r="I77" s="207">
        <v>2025</v>
      </c>
      <c r="J77" s="259" t="s">
        <v>175</v>
      </c>
      <c r="K77" s="12" t="s">
        <v>212</v>
      </c>
      <c r="L77" s="157" t="s">
        <v>244</v>
      </c>
      <c r="M77" s="217">
        <v>254</v>
      </c>
      <c r="N77" s="157"/>
    </row>
    <row r="78" spans="8:14">
      <c r="H78" s="157"/>
      <c r="I78" s="208">
        <v>2026</v>
      </c>
      <c r="J78" s="260" t="s">
        <v>175</v>
      </c>
      <c r="K78" s="210" t="s">
        <v>212</v>
      </c>
      <c r="L78" s="211" t="s">
        <v>244</v>
      </c>
      <c r="M78" s="218">
        <v>255</v>
      </c>
      <c r="N78" s="157"/>
    </row>
    <row r="79" spans="8:14">
      <c r="H79" s="157"/>
      <c r="I79" s="157"/>
      <c r="J79" s="12"/>
      <c r="K79" s="157"/>
      <c r="L79" s="157"/>
      <c r="M79" s="261">
        <f>SUM(M23:M78)</f>
        <v>12740</v>
      </c>
      <c r="N79" s="157"/>
    </row>
    <row r="80" spans="8:14">
      <c r="H80" s="157"/>
      <c r="I80" s="157"/>
      <c r="J80" s="12"/>
      <c r="K80" s="157"/>
      <c r="L80" s="157"/>
      <c r="M80" s="157"/>
      <c r="N80" s="157"/>
    </row>
    <row r="81" spans="8:13">
      <c r="I81" s="157"/>
      <c r="J81" s="157"/>
      <c r="K81" s="157"/>
      <c r="L81" s="157"/>
    </row>
    <row r="82" spans="8:13" ht="17">
      <c r="H82" s="157"/>
      <c r="I82" s="212" t="s">
        <v>233</v>
      </c>
      <c r="J82" s="271" t="s">
        <v>240</v>
      </c>
      <c r="K82" s="213" t="s">
        <v>242</v>
      </c>
      <c r="L82" s="308" t="s">
        <v>31</v>
      </c>
      <c r="M82" s="157"/>
    </row>
    <row r="83" spans="8:13">
      <c r="H83" s="157"/>
      <c r="I83" s="207">
        <v>2020</v>
      </c>
      <c r="J83" s="12" t="s">
        <v>172</v>
      </c>
      <c r="K83" s="157" t="s">
        <v>243</v>
      </c>
      <c r="L83" s="235">
        <v>0.35</v>
      </c>
      <c r="M83" s="157"/>
    </row>
    <row r="84" spans="8:13">
      <c r="H84" s="157"/>
      <c r="I84" s="207">
        <v>2021</v>
      </c>
      <c r="J84" s="12" t="s">
        <v>172</v>
      </c>
      <c r="K84" s="157" t="s">
        <v>243</v>
      </c>
      <c r="L84" s="217">
        <v>0.36</v>
      </c>
      <c r="M84" s="157"/>
    </row>
    <row r="85" spans="8:13">
      <c r="H85" s="157"/>
      <c r="I85" s="207">
        <v>2022</v>
      </c>
      <c r="J85" s="12" t="s">
        <v>172</v>
      </c>
      <c r="K85" s="157" t="s">
        <v>243</v>
      </c>
      <c r="L85" s="217">
        <v>0.37</v>
      </c>
      <c r="M85" s="157"/>
    </row>
    <row r="86" spans="8:13">
      <c r="H86" s="157"/>
      <c r="I86" s="207">
        <v>2023</v>
      </c>
      <c r="J86" s="12" t="s">
        <v>172</v>
      </c>
      <c r="K86" s="157" t="s">
        <v>243</v>
      </c>
      <c r="L86" s="217">
        <v>0.38</v>
      </c>
      <c r="M86" s="157"/>
    </row>
    <row r="87" spans="8:13">
      <c r="H87" s="157"/>
      <c r="I87" s="207">
        <v>2024</v>
      </c>
      <c r="J87" s="12" t="s">
        <v>172</v>
      </c>
      <c r="K87" s="157" t="s">
        <v>243</v>
      </c>
      <c r="L87" s="217">
        <v>0.39</v>
      </c>
      <c r="M87" s="157"/>
    </row>
    <row r="88" spans="8:13">
      <c r="H88" s="157"/>
      <c r="I88" s="207">
        <v>2025</v>
      </c>
      <c r="J88" s="12" t="s">
        <v>172</v>
      </c>
      <c r="K88" s="157" t="s">
        <v>243</v>
      </c>
      <c r="L88" s="217">
        <v>0.4</v>
      </c>
      <c r="M88" s="157"/>
    </row>
    <row r="89" spans="8:13">
      <c r="H89" s="157"/>
      <c r="I89" s="207">
        <v>2026</v>
      </c>
      <c r="J89" s="12" t="s">
        <v>172</v>
      </c>
      <c r="K89" s="157" t="s">
        <v>243</v>
      </c>
      <c r="L89" s="217">
        <v>0.41</v>
      </c>
      <c r="M89" s="157"/>
    </row>
    <row r="90" spans="8:13">
      <c r="H90" s="157"/>
      <c r="I90" s="207">
        <v>2020</v>
      </c>
      <c r="J90" s="259" t="s">
        <v>175</v>
      </c>
      <c r="K90" s="157" t="s">
        <v>243</v>
      </c>
      <c r="L90" s="217">
        <v>0.42</v>
      </c>
      <c r="M90" s="157"/>
    </row>
    <row r="91" spans="8:13">
      <c r="H91" s="157"/>
      <c r="I91" s="207">
        <v>2021</v>
      </c>
      <c r="J91" s="259" t="s">
        <v>175</v>
      </c>
      <c r="K91" s="157" t="s">
        <v>243</v>
      </c>
      <c r="L91" s="217">
        <v>0.43</v>
      </c>
      <c r="M91" s="157"/>
    </row>
    <row r="92" spans="8:13">
      <c r="H92" s="157"/>
      <c r="I92" s="207">
        <v>2022</v>
      </c>
      <c r="J92" s="259" t="s">
        <v>175</v>
      </c>
      <c r="K92" s="157" t="s">
        <v>243</v>
      </c>
      <c r="L92" s="217">
        <v>0.44</v>
      </c>
      <c r="M92" s="157"/>
    </row>
    <row r="93" spans="8:13">
      <c r="H93" s="157"/>
      <c r="I93" s="207">
        <v>2023</v>
      </c>
      <c r="J93" s="259" t="s">
        <v>175</v>
      </c>
      <c r="K93" s="157" t="s">
        <v>243</v>
      </c>
      <c r="L93" s="217">
        <v>0.45</v>
      </c>
      <c r="M93" s="157"/>
    </row>
    <row r="94" spans="8:13">
      <c r="H94" s="157"/>
      <c r="I94" s="207">
        <v>2024</v>
      </c>
      <c r="J94" s="259" t="s">
        <v>175</v>
      </c>
      <c r="K94" s="157" t="s">
        <v>243</v>
      </c>
      <c r="L94" s="217">
        <v>0.46</v>
      </c>
      <c r="M94" s="157"/>
    </row>
    <row r="95" spans="8:13">
      <c r="H95" s="157"/>
      <c r="I95" s="207">
        <v>2025</v>
      </c>
      <c r="J95" s="259" t="s">
        <v>175</v>
      </c>
      <c r="K95" s="157" t="s">
        <v>243</v>
      </c>
      <c r="L95" s="217">
        <v>0.47</v>
      </c>
      <c r="M95" s="157"/>
    </row>
    <row r="96" spans="8:13">
      <c r="H96" s="157"/>
      <c r="I96" s="207">
        <v>2026</v>
      </c>
      <c r="J96" s="259" t="s">
        <v>175</v>
      </c>
      <c r="K96" s="157" t="s">
        <v>243</v>
      </c>
      <c r="L96" s="217">
        <v>0.48</v>
      </c>
      <c r="M96" s="157"/>
    </row>
    <row r="97" spans="8:13">
      <c r="H97" s="157"/>
      <c r="I97" s="207">
        <v>2020</v>
      </c>
      <c r="J97" s="12" t="s">
        <v>172</v>
      </c>
      <c r="K97" s="157" t="s">
        <v>244</v>
      </c>
      <c r="L97" s="217">
        <v>0.49</v>
      </c>
      <c r="M97" s="157"/>
    </row>
    <row r="98" spans="8:13">
      <c r="H98" s="157"/>
      <c r="I98" s="207">
        <v>2021</v>
      </c>
      <c r="J98" s="12" t="s">
        <v>172</v>
      </c>
      <c r="K98" s="157" t="s">
        <v>244</v>
      </c>
      <c r="L98" s="217">
        <v>0.5</v>
      </c>
      <c r="M98" s="157"/>
    </row>
    <row r="99" spans="8:13">
      <c r="H99" s="157"/>
      <c r="I99" s="207">
        <v>2022</v>
      </c>
      <c r="J99" s="12" t="s">
        <v>172</v>
      </c>
      <c r="K99" s="157" t="s">
        <v>244</v>
      </c>
      <c r="L99" s="217">
        <v>0.51</v>
      </c>
      <c r="M99" s="157"/>
    </row>
    <row r="100" spans="8:13">
      <c r="H100" s="157"/>
      <c r="I100" s="207">
        <v>2023</v>
      </c>
      <c r="J100" s="12" t="s">
        <v>172</v>
      </c>
      <c r="K100" s="157" t="s">
        <v>244</v>
      </c>
      <c r="L100" s="217">
        <v>0.52</v>
      </c>
      <c r="M100" s="157"/>
    </row>
    <row r="101" spans="8:13">
      <c r="H101" s="157"/>
      <c r="I101" s="207">
        <v>2024</v>
      </c>
      <c r="J101" s="12" t="s">
        <v>172</v>
      </c>
      <c r="K101" s="157" t="s">
        <v>244</v>
      </c>
      <c r="L101" s="217">
        <v>0.53</v>
      </c>
      <c r="M101" s="157"/>
    </row>
    <row r="102" spans="8:13">
      <c r="H102" s="157"/>
      <c r="I102" s="207">
        <v>2025</v>
      </c>
      <c r="J102" s="12" t="s">
        <v>172</v>
      </c>
      <c r="K102" s="157" t="s">
        <v>244</v>
      </c>
      <c r="L102" s="217">
        <v>0.54</v>
      </c>
      <c r="M102" s="157"/>
    </row>
    <row r="103" spans="8:13">
      <c r="H103" s="157"/>
      <c r="I103" s="207">
        <v>2026</v>
      </c>
      <c r="J103" s="12" t="s">
        <v>172</v>
      </c>
      <c r="K103" s="157" t="s">
        <v>244</v>
      </c>
      <c r="L103" s="217">
        <v>0.55000000000000004</v>
      </c>
      <c r="M103" s="157"/>
    </row>
    <row r="104" spans="8:13">
      <c r="H104" s="157"/>
      <c r="I104" s="207">
        <v>2020</v>
      </c>
      <c r="J104" s="259" t="s">
        <v>175</v>
      </c>
      <c r="K104" s="157" t="s">
        <v>244</v>
      </c>
      <c r="L104" s="217">
        <v>0.56000000000000005</v>
      </c>
      <c r="M104" s="157"/>
    </row>
    <row r="105" spans="8:13">
      <c r="H105" s="157"/>
      <c r="I105" s="207">
        <v>2021</v>
      </c>
      <c r="J105" s="259" t="s">
        <v>175</v>
      </c>
      <c r="K105" s="157" t="s">
        <v>244</v>
      </c>
      <c r="L105" s="217">
        <v>0.56999999999999995</v>
      </c>
      <c r="M105" s="157"/>
    </row>
    <row r="106" spans="8:13">
      <c r="H106" s="157"/>
      <c r="I106" s="207">
        <v>2022</v>
      </c>
      <c r="J106" s="259" t="s">
        <v>175</v>
      </c>
      <c r="K106" s="157" t="s">
        <v>244</v>
      </c>
      <c r="L106" s="217">
        <v>0.57999999999999996</v>
      </c>
      <c r="M106" s="157"/>
    </row>
    <row r="107" spans="8:13">
      <c r="H107" s="157"/>
      <c r="I107" s="207">
        <v>2023</v>
      </c>
      <c r="J107" s="259" t="s">
        <v>175</v>
      </c>
      <c r="K107" s="157" t="s">
        <v>244</v>
      </c>
      <c r="L107" s="217">
        <v>0.59</v>
      </c>
      <c r="M107" s="157"/>
    </row>
    <row r="108" spans="8:13">
      <c r="H108" s="157"/>
      <c r="I108" s="207">
        <v>2024</v>
      </c>
      <c r="J108" s="259" t="s">
        <v>175</v>
      </c>
      <c r="K108" s="157" t="s">
        <v>244</v>
      </c>
      <c r="L108" s="217">
        <v>0.6</v>
      </c>
      <c r="M108" s="157"/>
    </row>
    <row r="109" spans="8:13">
      <c r="H109" s="157"/>
      <c r="I109" s="207">
        <v>2025</v>
      </c>
      <c r="J109" s="259" t="s">
        <v>175</v>
      </c>
      <c r="K109" s="157" t="s">
        <v>244</v>
      </c>
      <c r="L109" s="217">
        <v>0.61</v>
      </c>
      <c r="M109" s="157"/>
    </row>
    <row r="110" spans="8:13">
      <c r="H110" s="157"/>
      <c r="I110" s="208">
        <v>2026</v>
      </c>
      <c r="J110" s="260" t="s">
        <v>175</v>
      </c>
      <c r="K110" s="211" t="s">
        <v>244</v>
      </c>
      <c r="L110" s="218">
        <v>0.62</v>
      </c>
      <c r="M110" s="157"/>
    </row>
    <row r="111" spans="8:13">
      <c r="I111" s="157"/>
      <c r="J111" s="157"/>
      <c r="K111" s="157"/>
      <c r="L111" s="157"/>
    </row>
    <row r="112" spans="8:13">
      <c r="I112" s="157"/>
      <c r="J112" s="157"/>
      <c r="K112" s="157"/>
      <c r="L112" s="157"/>
    </row>
    <row r="113" spans="8:12">
      <c r="I113" s="157"/>
      <c r="J113" s="157"/>
      <c r="K113" s="157"/>
      <c r="L113" s="157"/>
    </row>
    <row r="114" spans="8:12" ht="32">
      <c r="H114" s="157"/>
      <c r="I114" s="222" t="s">
        <v>241</v>
      </c>
      <c r="J114" s="594" t="s">
        <v>112</v>
      </c>
      <c r="K114" s="157"/>
      <c r="L114" s="157"/>
    </row>
    <row r="115" spans="8:12">
      <c r="H115" s="157"/>
      <c r="I115" s="223" t="s">
        <v>173</v>
      </c>
      <c r="J115" s="595">
        <v>0.89</v>
      </c>
      <c r="K115" s="157"/>
      <c r="L115" s="157"/>
    </row>
    <row r="116" spans="8:12">
      <c r="H116" s="157"/>
      <c r="I116" s="224" t="s">
        <v>212</v>
      </c>
      <c r="J116" s="596">
        <v>0.92</v>
      </c>
      <c r="K116" s="157"/>
      <c r="L116" s="157"/>
    </row>
    <row r="117" spans="8:12">
      <c r="I117" s="157"/>
      <c r="J117" s="157"/>
      <c r="K117" s="157"/>
      <c r="L117" s="157"/>
    </row>
    <row r="118" spans="8:12">
      <c r="I118" s="157"/>
      <c r="J118" s="157"/>
      <c r="K118" s="157"/>
      <c r="L118" s="157"/>
    </row>
    <row r="119" spans="8:12">
      <c r="I119" s="157"/>
      <c r="J119" s="157"/>
      <c r="K119" s="157"/>
      <c r="L119" s="157"/>
    </row>
    <row r="120" spans="8:12" s="258" customFormat="1">
      <c r="I120" s="258" t="s">
        <v>402</v>
      </c>
    </row>
    <row r="121" spans="8:12">
      <c r="I121" s="157"/>
      <c r="J121" s="157"/>
      <c r="K121" s="157"/>
      <c r="L121" s="157"/>
    </row>
    <row r="122" spans="8:12">
      <c r="I122" s="157"/>
      <c r="J122" s="157"/>
      <c r="K122" s="157"/>
      <c r="L122" s="157"/>
    </row>
    <row r="123" spans="8:12">
      <c r="I123" s="157"/>
      <c r="J123" s="157"/>
      <c r="K123" s="157"/>
      <c r="L123" s="157"/>
    </row>
    <row r="124" spans="8:12" ht="17">
      <c r="I124" s="212" t="s">
        <v>321</v>
      </c>
      <c r="J124" s="213" t="s">
        <v>242</v>
      </c>
      <c r="K124" s="272" t="s">
        <v>403</v>
      </c>
      <c r="L124" s="157"/>
    </row>
    <row r="125" spans="8:12">
      <c r="I125" s="205">
        <v>2020</v>
      </c>
      <c r="J125" s="225" t="s">
        <v>243</v>
      </c>
      <c r="K125" s="225">
        <f t="shared" ref="K125:K138" si="0">SUMIFS($M$23:$M$78,$I$23:$I$78,I125,$L$23:$L$78,J125)</f>
        <v>842</v>
      </c>
      <c r="L125" s="157"/>
    </row>
    <row r="126" spans="8:12">
      <c r="I126" s="207">
        <v>2021</v>
      </c>
      <c r="J126" s="214" t="s">
        <v>243</v>
      </c>
      <c r="K126" s="214">
        <f t="shared" si="0"/>
        <v>846</v>
      </c>
      <c r="L126" s="157"/>
    </row>
    <row r="127" spans="8:12">
      <c r="I127" s="207">
        <v>2022</v>
      </c>
      <c r="J127" s="214" t="s">
        <v>243</v>
      </c>
      <c r="K127" s="214">
        <f t="shared" si="0"/>
        <v>850</v>
      </c>
      <c r="L127" s="157"/>
    </row>
    <row r="128" spans="8:12">
      <c r="I128" s="207">
        <v>2023</v>
      </c>
      <c r="J128" s="214" t="s">
        <v>243</v>
      </c>
      <c r="K128" s="214">
        <f t="shared" si="0"/>
        <v>854</v>
      </c>
      <c r="L128" s="157"/>
    </row>
    <row r="129" spans="9:12">
      <c r="I129" s="207">
        <v>2024</v>
      </c>
      <c r="J129" s="214" t="s">
        <v>243</v>
      </c>
      <c r="K129" s="214">
        <f t="shared" si="0"/>
        <v>858</v>
      </c>
      <c r="L129" s="157"/>
    </row>
    <row r="130" spans="9:12">
      <c r="I130" s="207">
        <v>2025</v>
      </c>
      <c r="J130" s="214" t="s">
        <v>243</v>
      </c>
      <c r="K130" s="214">
        <f t="shared" si="0"/>
        <v>862</v>
      </c>
      <c r="L130" s="157"/>
    </row>
    <row r="131" spans="9:12">
      <c r="I131" s="207">
        <v>2026</v>
      </c>
      <c r="J131" s="214" t="s">
        <v>243</v>
      </c>
      <c r="K131" s="214">
        <f t="shared" si="0"/>
        <v>866</v>
      </c>
      <c r="L131" s="157"/>
    </row>
    <row r="132" spans="9:12">
      <c r="I132" s="207">
        <v>2020</v>
      </c>
      <c r="J132" s="214" t="s">
        <v>244</v>
      </c>
      <c r="K132" s="214">
        <f t="shared" si="0"/>
        <v>954</v>
      </c>
      <c r="L132" s="157"/>
    </row>
    <row r="133" spans="9:12">
      <c r="I133" s="207">
        <v>2021</v>
      </c>
      <c r="J133" s="214" t="s">
        <v>244</v>
      </c>
      <c r="K133" s="214">
        <f t="shared" si="0"/>
        <v>958</v>
      </c>
      <c r="L133" s="157"/>
    </row>
    <row r="134" spans="9:12">
      <c r="I134" s="207">
        <v>2022</v>
      </c>
      <c r="J134" s="214" t="s">
        <v>244</v>
      </c>
      <c r="K134" s="214">
        <f t="shared" si="0"/>
        <v>962</v>
      </c>
      <c r="L134" s="157"/>
    </row>
    <row r="135" spans="9:12">
      <c r="I135" s="207">
        <v>2023</v>
      </c>
      <c r="J135" s="214" t="s">
        <v>244</v>
      </c>
      <c r="K135" s="214">
        <f t="shared" si="0"/>
        <v>966</v>
      </c>
      <c r="L135" s="157"/>
    </row>
    <row r="136" spans="9:12">
      <c r="I136" s="207">
        <v>2024</v>
      </c>
      <c r="J136" s="214" t="s">
        <v>244</v>
      </c>
      <c r="K136" s="214">
        <f t="shared" si="0"/>
        <v>970</v>
      </c>
      <c r="L136" s="157"/>
    </row>
    <row r="137" spans="9:12">
      <c r="I137" s="207">
        <v>2025</v>
      </c>
      <c r="J137" s="214" t="s">
        <v>244</v>
      </c>
      <c r="K137" s="214">
        <f t="shared" si="0"/>
        <v>974</v>
      </c>
      <c r="L137" s="157"/>
    </row>
    <row r="138" spans="9:12">
      <c r="I138" s="208">
        <v>2026</v>
      </c>
      <c r="J138" s="215" t="s">
        <v>244</v>
      </c>
      <c r="K138" s="215">
        <f t="shared" si="0"/>
        <v>978</v>
      </c>
      <c r="L138" s="157"/>
    </row>
    <row r="139" spans="9:12">
      <c r="I139" s="157"/>
      <c r="J139" s="157"/>
      <c r="K139" s="261">
        <f>SUM(K125:K138)</f>
        <v>12740</v>
      </c>
      <c r="L139" s="157"/>
    </row>
    <row r="140" spans="9:12">
      <c r="I140" s="157"/>
      <c r="J140" s="157"/>
      <c r="K140" s="157"/>
      <c r="L140" s="157"/>
    </row>
    <row r="141" spans="9:12">
      <c r="I141" s="157"/>
      <c r="J141" s="157"/>
      <c r="K141" s="157"/>
      <c r="L141" s="157"/>
    </row>
    <row r="142" spans="9:12">
      <c r="I142" s="157"/>
      <c r="J142" s="157"/>
      <c r="K142" s="157"/>
      <c r="L142" s="157"/>
    </row>
    <row r="146" spans="8:11" s="258" customFormat="1">
      <c r="I146" s="258" t="s">
        <v>404</v>
      </c>
    </row>
    <row r="148" spans="8:11">
      <c r="I148" s="157"/>
      <c r="J148" s="147" t="s">
        <v>405</v>
      </c>
    </row>
    <row r="149" spans="8:11">
      <c r="H149" s="157"/>
      <c r="I149" s="262" t="s">
        <v>233</v>
      </c>
      <c r="J149" s="263" t="s">
        <v>406</v>
      </c>
      <c r="K149" s="157"/>
    </row>
    <row r="150" spans="8:11">
      <c r="H150" s="157"/>
      <c r="I150" s="600">
        <v>2020</v>
      </c>
      <c r="J150" s="334">
        <v>0</v>
      </c>
      <c r="K150" s="157"/>
    </row>
    <row r="151" spans="8:11">
      <c r="H151" s="157"/>
      <c r="I151" s="600">
        <v>2021</v>
      </c>
      <c r="J151" s="334">
        <v>0</v>
      </c>
      <c r="K151" s="157"/>
    </row>
    <row r="152" spans="8:11">
      <c r="H152" s="157"/>
      <c r="I152" s="600">
        <v>2022</v>
      </c>
      <c r="J152" s="334">
        <v>0</v>
      </c>
      <c r="K152" s="157"/>
    </row>
    <row r="153" spans="8:11">
      <c r="H153" s="157"/>
      <c r="I153" s="600">
        <v>2023</v>
      </c>
      <c r="J153" s="334">
        <v>0</v>
      </c>
      <c r="K153" s="157"/>
    </row>
    <row r="154" spans="8:11">
      <c r="H154" s="157"/>
      <c r="I154" s="600">
        <v>2024</v>
      </c>
      <c r="J154" s="334">
        <v>0</v>
      </c>
      <c r="K154" s="157"/>
    </row>
    <row r="155" spans="8:11">
      <c r="H155" s="157"/>
      <c r="I155" s="600">
        <v>2025</v>
      </c>
      <c r="J155" s="334">
        <v>0</v>
      </c>
      <c r="K155" s="157"/>
    </row>
    <row r="156" spans="8:11">
      <c r="H156" s="157"/>
      <c r="I156" s="601">
        <v>2026</v>
      </c>
      <c r="J156" s="604">
        <v>0</v>
      </c>
      <c r="K156" s="157"/>
    </row>
    <row r="157" spans="8:11">
      <c r="I157" s="157"/>
      <c r="J157" s="157"/>
    </row>
    <row r="162" spans="9:9" s="258" customFormat="1">
      <c r="I162" s="258" t="s">
        <v>407</v>
      </c>
    </row>
    <row r="170" spans="9:9" s="258" customFormat="1">
      <c r="I170" s="258" t="s">
        <v>408</v>
      </c>
    </row>
    <row r="177" spans="8:13" s="258" customFormat="1">
      <c r="I177" s="258" t="s">
        <v>409</v>
      </c>
    </row>
    <row r="180" spans="8:13">
      <c r="I180" s="157"/>
      <c r="J180" s="157"/>
      <c r="K180" s="157"/>
      <c r="L180" s="147" t="s">
        <v>410</v>
      </c>
    </row>
    <row r="181" spans="8:13" ht="17">
      <c r="H181" s="157"/>
      <c r="I181" s="256" t="s">
        <v>233</v>
      </c>
      <c r="J181" s="242" t="s">
        <v>241</v>
      </c>
      <c r="K181" s="264" t="s">
        <v>240</v>
      </c>
      <c r="L181" s="257" t="s">
        <v>411</v>
      </c>
      <c r="M181" s="157"/>
    </row>
    <row r="182" spans="8:13">
      <c r="H182" s="157"/>
      <c r="I182" s="620">
        <v>2020</v>
      </c>
      <c r="J182" s="621" t="s">
        <v>173</v>
      </c>
      <c r="K182" s="622" t="s">
        <v>175</v>
      </c>
      <c r="L182" s="320">
        <v>0</v>
      </c>
      <c r="M182" s="157"/>
    </row>
    <row r="183" spans="8:13">
      <c r="H183" s="157"/>
      <c r="I183" s="620">
        <v>2021</v>
      </c>
      <c r="J183" s="621" t="s">
        <v>173</v>
      </c>
      <c r="K183" s="622" t="s">
        <v>175</v>
      </c>
      <c r="L183" s="320">
        <v>0</v>
      </c>
      <c r="M183" s="157"/>
    </row>
    <row r="184" spans="8:13">
      <c r="H184" s="157"/>
      <c r="I184" s="620">
        <v>2022</v>
      </c>
      <c r="J184" s="621" t="s">
        <v>173</v>
      </c>
      <c r="K184" s="622" t="s">
        <v>175</v>
      </c>
      <c r="L184" s="320">
        <v>0</v>
      </c>
      <c r="M184" s="157"/>
    </row>
    <row r="185" spans="8:13">
      <c r="H185" s="157"/>
      <c r="I185" s="620">
        <v>2023</v>
      </c>
      <c r="J185" s="621" t="s">
        <v>173</v>
      </c>
      <c r="K185" s="622" t="s">
        <v>175</v>
      </c>
      <c r="L185" s="320">
        <v>0</v>
      </c>
      <c r="M185" s="157"/>
    </row>
    <row r="186" spans="8:13">
      <c r="H186" s="157"/>
      <c r="I186" s="620">
        <v>2024</v>
      </c>
      <c r="J186" s="621" t="s">
        <v>173</v>
      </c>
      <c r="K186" s="622" t="s">
        <v>175</v>
      </c>
      <c r="L186" s="320">
        <v>0</v>
      </c>
      <c r="M186" s="157"/>
    </row>
    <row r="187" spans="8:13">
      <c r="H187" s="157"/>
      <c r="I187" s="620">
        <v>2025</v>
      </c>
      <c r="J187" s="621" t="s">
        <v>173</v>
      </c>
      <c r="K187" s="622" t="s">
        <v>175</v>
      </c>
      <c r="L187" s="320">
        <v>0</v>
      </c>
      <c r="M187" s="157"/>
    </row>
    <row r="188" spans="8:13">
      <c r="H188" s="157"/>
      <c r="I188" s="620">
        <v>2026</v>
      </c>
      <c r="J188" s="621" t="s">
        <v>173</v>
      </c>
      <c r="K188" s="622" t="s">
        <v>175</v>
      </c>
      <c r="L188" s="320">
        <v>0</v>
      </c>
      <c r="M188" s="157"/>
    </row>
    <row r="189" spans="8:13">
      <c r="H189" s="157"/>
      <c r="I189" s="620">
        <v>2020</v>
      </c>
      <c r="J189" s="621" t="s">
        <v>212</v>
      </c>
      <c r="K189" s="622" t="s">
        <v>175</v>
      </c>
      <c r="L189" s="320">
        <v>0</v>
      </c>
      <c r="M189" s="157"/>
    </row>
    <row r="190" spans="8:13">
      <c r="H190" s="157"/>
      <c r="I190" s="620">
        <v>2021</v>
      </c>
      <c r="J190" s="621" t="s">
        <v>212</v>
      </c>
      <c r="K190" s="622" t="s">
        <v>175</v>
      </c>
      <c r="L190" s="320">
        <v>0</v>
      </c>
      <c r="M190" s="157"/>
    </row>
    <row r="191" spans="8:13">
      <c r="H191" s="157"/>
      <c r="I191" s="620">
        <v>2022</v>
      </c>
      <c r="J191" s="621" t="s">
        <v>212</v>
      </c>
      <c r="K191" s="622" t="s">
        <v>175</v>
      </c>
      <c r="L191" s="320">
        <v>0</v>
      </c>
      <c r="M191" s="157"/>
    </row>
    <row r="192" spans="8:13">
      <c r="H192" s="157"/>
      <c r="I192" s="620">
        <v>2023</v>
      </c>
      <c r="J192" s="621" t="s">
        <v>212</v>
      </c>
      <c r="K192" s="622" t="s">
        <v>175</v>
      </c>
      <c r="L192" s="320">
        <v>0</v>
      </c>
      <c r="M192" s="157"/>
    </row>
    <row r="193" spans="8:13">
      <c r="H193" s="157"/>
      <c r="I193" s="620">
        <v>2024</v>
      </c>
      <c r="J193" s="621" t="s">
        <v>212</v>
      </c>
      <c r="K193" s="622" t="s">
        <v>175</v>
      </c>
      <c r="L193" s="320">
        <v>0</v>
      </c>
      <c r="M193" s="157"/>
    </row>
    <row r="194" spans="8:13">
      <c r="H194" s="157"/>
      <c r="I194" s="620">
        <v>2025</v>
      </c>
      <c r="J194" s="621" t="s">
        <v>212</v>
      </c>
      <c r="K194" s="622" t="s">
        <v>175</v>
      </c>
      <c r="L194" s="320">
        <v>0</v>
      </c>
      <c r="M194" s="157"/>
    </row>
    <row r="195" spans="8:13">
      <c r="H195" s="157"/>
      <c r="I195" s="620">
        <v>2026</v>
      </c>
      <c r="J195" s="621" t="s">
        <v>212</v>
      </c>
      <c r="K195" s="622" t="s">
        <v>175</v>
      </c>
      <c r="L195" s="320">
        <v>0</v>
      </c>
      <c r="M195" s="157"/>
    </row>
    <row r="196" spans="8:13">
      <c r="H196" s="157"/>
      <c r="I196" s="620">
        <v>2020</v>
      </c>
      <c r="J196" s="621" t="s">
        <v>173</v>
      </c>
      <c r="K196" s="623" t="s">
        <v>172</v>
      </c>
      <c r="L196" s="320">
        <v>0</v>
      </c>
      <c r="M196" s="157"/>
    </row>
    <row r="197" spans="8:13">
      <c r="H197" s="157"/>
      <c r="I197" s="620">
        <v>2021</v>
      </c>
      <c r="J197" s="621" t="s">
        <v>173</v>
      </c>
      <c r="K197" s="623" t="s">
        <v>172</v>
      </c>
      <c r="L197" s="320">
        <v>0</v>
      </c>
      <c r="M197" s="157"/>
    </row>
    <row r="198" spans="8:13">
      <c r="H198" s="157"/>
      <c r="I198" s="620">
        <v>2022</v>
      </c>
      <c r="J198" s="621" t="s">
        <v>173</v>
      </c>
      <c r="K198" s="623" t="s">
        <v>172</v>
      </c>
      <c r="L198" s="320">
        <v>0</v>
      </c>
      <c r="M198" s="157"/>
    </row>
    <row r="199" spans="8:13">
      <c r="H199" s="157"/>
      <c r="I199" s="620">
        <v>2023</v>
      </c>
      <c r="J199" s="621" t="s">
        <v>173</v>
      </c>
      <c r="K199" s="623" t="s">
        <v>172</v>
      </c>
      <c r="L199" s="320">
        <v>0</v>
      </c>
      <c r="M199" s="157"/>
    </row>
    <row r="200" spans="8:13">
      <c r="H200" s="157"/>
      <c r="I200" s="620">
        <v>2024</v>
      </c>
      <c r="J200" s="621" t="s">
        <v>173</v>
      </c>
      <c r="K200" s="623" t="s">
        <v>172</v>
      </c>
      <c r="L200" s="320">
        <v>0</v>
      </c>
      <c r="M200" s="157"/>
    </row>
    <row r="201" spans="8:13">
      <c r="H201" s="157"/>
      <c r="I201" s="620">
        <v>2025</v>
      </c>
      <c r="J201" s="621" t="s">
        <v>173</v>
      </c>
      <c r="K201" s="623" t="s">
        <v>172</v>
      </c>
      <c r="L201" s="320">
        <v>0</v>
      </c>
      <c r="M201" s="157"/>
    </row>
    <row r="202" spans="8:13">
      <c r="H202" s="157"/>
      <c r="I202" s="620">
        <v>2026</v>
      </c>
      <c r="J202" s="621" t="s">
        <v>173</v>
      </c>
      <c r="K202" s="623" t="s">
        <v>172</v>
      </c>
      <c r="L202" s="320">
        <v>0</v>
      </c>
      <c r="M202" s="157"/>
    </row>
    <row r="203" spans="8:13">
      <c r="H203" s="157"/>
      <c r="I203" s="620">
        <v>2020</v>
      </c>
      <c r="J203" s="621" t="s">
        <v>212</v>
      </c>
      <c r="K203" s="623" t="s">
        <v>172</v>
      </c>
      <c r="L203" s="320">
        <v>0</v>
      </c>
      <c r="M203" s="157"/>
    </row>
    <row r="204" spans="8:13">
      <c r="H204" s="157"/>
      <c r="I204" s="620">
        <v>2021</v>
      </c>
      <c r="J204" s="621" t="s">
        <v>212</v>
      </c>
      <c r="K204" s="623" t="s">
        <v>172</v>
      </c>
      <c r="L204" s="320">
        <v>0</v>
      </c>
      <c r="M204" s="157"/>
    </row>
    <row r="205" spans="8:13">
      <c r="H205" s="157"/>
      <c r="I205" s="620">
        <v>2022</v>
      </c>
      <c r="J205" s="621" t="s">
        <v>212</v>
      </c>
      <c r="K205" s="623" t="s">
        <v>172</v>
      </c>
      <c r="L205" s="320">
        <v>0</v>
      </c>
      <c r="M205" s="157"/>
    </row>
    <row r="206" spans="8:13">
      <c r="H206" s="157"/>
      <c r="I206" s="620">
        <v>2023</v>
      </c>
      <c r="J206" s="621" t="s">
        <v>212</v>
      </c>
      <c r="K206" s="623" t="s">
        <v>172</v>
      </c>
      <c r="L206" s="320">
        <v>0</v>
      </c>
      <c r="M206" s="157"/>
    </row>
    <row r="207" spans="8:13">
      <c r="H207" s="157"/>
      <c r="I207" s="620">
        <v>2024</v>
      </c>
      <c r="J207" s="621" t="s">
        <v>212</v>
      </c>
      <c r="K207" s="623" t="s">
        <v>172</v>
      </c>
      <c r="L207" s="320">
        <v>0</v>
      </c>
      <c r="M207" s="157"/>
    </row>
    <row r="208" spans="8:13">
      <c r="H208" s="157"/>
      <c r="I208" s="620">
        <v>2025</v>
      </c>
      <c r="J208" s="621" t="s">
        <v>212</v>
      </c>
      <c r="K208" s="623" t="s">
        <v>172</v>
      </c>
      <c r="L208" s="320">
        <v>0</v>
      </c>
      <c r="M208" s="157"/>
    </row>
    <row r="209" spans="8:14">
      <c r="H209" s="157"/>
      <c r="I209" s="624">
        <v>2026</v>
      </c>
      <c r="J209" s="625" t="s">
        <v>212</v>
      </c>
      <c r="K209" s="626" t="s">
        <v>172</v>
      </c>
      <c r="L209" s="602">
        <v>0</v>
      </c>
      <c r="M209" s="157"/>
    </row>
    <row r="210" spans="8:14">
      <c r="H210" s="157"/>
      <c r="I210" s="157"/>
      <c r="J210" s="12"/>
      <c r="K210" s="157"/>
      <c r="M210" s="157"/>
    </row>
    <row r="211" spans="8:14">
      <c r="H211" s="157"/>
      <c r="I211" s="157"/>
      <c r="J211" s="12"/>
      <c r="K211" s="157"/>
      <c r="M211" s="157"/>
    </row>
    <row r="212" spans="8:14">
      <c r="H212" s="157"/>
      <c r="I212" s="157"/>
      <c r="J212" s="12"/>
      <c r="K212" s="157"/>
      <c r="M212" s="157"/>
    </row>
    <row r="213" spans="8:14">
      <c r="H213" s="157"/>
      <c r="I213" s="157"/>
      <c r="J213" s="12"/>
      <c r="K213" s="157"/>
      <c r="M213" s="157"/>
    </row>
    <row r="214" spans="8:14">
      <c r="H214" s="157"/>
      <c r="I214" s="157"/>
      <c r="J214" s="12"/>
      <c r="K214" s="157"/>
      <c r="M214" s="157"/>
    </row>
    <row r="215" spans="8:14">
      <c r="I215" s="157"/>
      <c r="J215" s="157"/>
      <c r="K215" s="157"/>
      <c r="L215" s="157"/>
    </row>
    <row r="219" spans="8:14" s="258" customFormat="1">
      <c r="I219" s="258" t="s">
        <v>412</v>
      </c>
    </row>
    <row r="222" spans="8:14">
      <c r="I222" s="157"/>
      <c r="J222" s="157"/>
      <c r="K222" s="157"/>
      <c r="L222" s="157"/>
      <c r="M222" s="157"/>
    </row>
    <row r="223" spans="8:14" ht="17">
      <c r="H223" s="157"/>
      <c r="I223" s="235" t="s">
        <v>321</v>
      </c>
      <c r="J223" s="503" t="s">
        <v>52</v>
      </c>
      <c r="K223" s="503" t="s">
        <v>55</v>
      </c>
      <c r="L223" s="503" t="s">
        <v>60</v>
      </c>
      <c r="M223" s="593" t="s">
        <v>57</v>
      </c>
      <c r="N223" s="157"/>
    </row>
    <row r="224" spans="8:14">
      <c r="H224" s="157"/>
      <c r="I224" s="205">
        <v>2020</v>
      </c>
      <c r="J224" s="205">
        <v>5</v>
      </c>
      <c r="K224" s="226">
        <v>3</v>
      </c>
      <c r="L224" s="226">
        <v>0</v>
      </c>
      <c r="M224" s="225">
        <v>1.321012458</v>
      </c>
      <c r="N224" s="157"/>
    </row>
    <row r="225" spans="8:14">
      <c r="H225" s="157"/>
      <c r="I225" s="207">
        <v>2021</v>
      </c>
      <c r="J225" s="207">
        <v>2.0314000000000001</v>
      </c>
      <c r="K225" s="157">
        <v>4</v>
      </c>
      <c r="L225" s="157">
        <v>100.2325</v>
      </c>
      <c r="M225" s="214">
        <v>4</v>
      </c>
      <c r="N225" s="157"/>
    </row>
    <row r="226" spans="8:14">
      <c r="H226" s="157"/>
      <c r="I226" s="207">
        <v>2022</v>
      </c>
      <c r="J226" s="207">
        <v>6</v>
      </c>
      <c r="K226" s="157">
        <v>5.0324</v>
      </c>
      <c r="L226" s="157">
        <v>2</v>
      </c>
      <c r="M226" s="214">
        <v>5</v>
      </c>
      <c r="N226" s="157"/>
    </row>
    <row r="227" spans="8:14">
      <c r="H227" s="157"/>
      <c r="I227" s="207">
        <v>2023</v>
      </c>
      <c r="J227" s="207">
        <v>6.3213999999999997</v>
      </c>
      <c r="K227" s="157">
        <v>6</v>
      </c>
      <c r="L227" s="157">
        <v>3</v>
      </c>
      <c r="M227" s="214">
        <v>3</v>
      </c>
      <c r="N227" s="157"/>
    </row>
    <row r="228" spans="8:14">
      <c r="H228" s="157"/>
      <c r="I228" s="207">
        <v>2024</v>
      </c>
      <c r="J228" s="207">
        <v>2</v>
      </c>
      <c r="K228" s="157">
        <v>1</v>
      </c>
      <c r="L228" s="157">
        <v>1</v>
      </c>
      <c r="M228" s="214">
        <v>5</v>
      </c>
      <c r="N228" s="157"/>
    </row>
    <row r="229" spans="8:14">
      <c r="H229" s="157"/>
      <c r="I229" s="207">
        <v>2025</v>
      </c>
      <c r="J229" s="207">
        <v>0.21354000000000001</v>
      </c>
      <c r="K229" s="157">
        <v>3</v>
      </c>
      <c r="L229" s="157">
        <v>0</v>
      </c>
      <c r="M229" s="214">
        <v>2.32145</v>
      </c>
      <c r="N229" s="157"/>
    </row>
    <row r="230" spans="8:14">
      <c r="H230" s="157"/>
      <c r="I230" s="208">
        <v>2026</v>
      </c>
      <c r="J230" s="208">
        <v>4</v>
      </c>
      <c r="K230" s="211">
        <v>1.0254000000000001</v>
      </c>
      <c r="L230" s="211">
        <v>1</v>
      </c>
      <c r="M230" s="215">
        <v>4</v>
      </c>
      <c r="N230" s="157"/>
    </row>
    <row r="231" spans="8:14">
      <c r="I231" s="157"/>
    </row>
    <row r="234" spans="8:14" s="258" customFormat="1">
      <c r="I234" s="258" t="s">
        <v>413</v>
      </c>
    </row>
    <row r="237" spans="8:14">
      <c r="J237" s="147" t="s">
        <v>414</v>
      </c>
    </row>
    <row r="238" spans="8:14" ht="18">
      <c r="I238" s="216" t="s">
        <v>233</v>
      </c>
      <c r="J238" s="156" t="s">
        <v>142</v>
      </c>
    </row>
    <row r="239" spans="8:14">
      <c r="I239" s="600">
        <v>2020</v>
      </c>
      <c r="J239" s="320">
        <v>0</v>
      </c>
    </row>
    <row r="240" spans="8:14">
      <c r="I240" s="600">
        <v>2021</v>
      </c>
      <c r="J240" s="320">
        <v>0</v>
      </c>
    </row>
    <row r="241" spans="8:10">
      <c r="I241" s="600">
        <v>2022</v>
      </c>
      <c r="J241" s="320">
        <v>0</v>
      </c>
    </row>
    <row r="242" spans="8:10">
      <c r="I242" s="600">
        <v>2023</v>
      </c>
      <c r="J242" s="320">
        <v>0</v>
      </c>
    </row>
    <row r="243" spans="8:10">
      <c r="I243" s="600">
        <v>2024</v>
      </c>
      <c r="J243" s="320">
        <v>0</v>
      </c>
    </row>
    <row r="244" spans="8:10">
      <c r="I244" s="600">
        <v>2025</v>
      </c>
      <c r="J244" s="320">
        <v>0</v>
      </c>
    </row>
    <row r="245" spans="8:10">
      <c r="I245" s="601">
        <v>2026</v>
      </c>
      <c r="J245" s="602">
        <v>0</v>
      </c>
    </row>
    <row r="251" spans="8:10" s="258" customFormat="1">
      <c r="I251" s="258" t="s">
        <v>415</v>
      </c>
    </row>
    <row r="253" spans="8:10" ht="16" thickBot="1">
      <c r="I253" s="157"/>
      <c r="J253" s="147" t="s">
        <v>400</v>
      </c>
    </row>
    <row r="254" spans="8:10" ht="16" thickBot="1">
      <c r="H254" s="157"/>
      <c r="I254" s="216" t="s">
        <v>233</v>
      </c>
      <c r="J254" s="216" t="s">
        <v>27</v>
      </c>
    </row>
    <row r="255" spans="8:10">
      <c r="H255" s="157"/>
      <c r="I255" s="600">
        <v>2020</v>
      </c>
      <c r="J255" s="320">
        <v>0</v>
      </c>
    </row>
    <row r="256" spans="8:10">
      <c r="H256" s="157"/>
      <c r="I256" s="600">
        <v>2021</v>
      </c>
      <c r="J256" s="320">
        <v>0</v>
      </c>
    </row>
    <row r="257" spans="8:14">
      <c r="H257" s="157"/>
      <c r="I257" s="600">
        <v>2022</v>
      </c>
      <c r="J257" s="320">
        <v>0</v>
      </c>
    </row>
    <row r="258" spans="8:14">
      <c r="H258" s="157"/>
      <c r="I258" s="600">
        <v>2023</v>
      </c>
      <c r="J258" s="320">
        <v>0</v>
      </c>
    </row>
    <row r="259" spans="8:14">
      <c r="H259" s="157"/>
      <c r="I259" s="600">
        <v>2024</v>
      </c>
      <c r="J259" s="320">
        <v>0</v>
      </c>
    </row>
    <row r="260" spans="8:14">
      <c r="H260" s="157"/>
      <c r="I260" s="600">
        <v>2025</v>
      </c>
      <c r="J260" s="320">
        <v>0</v>
      </c>
    </row>
    <row r="261" spans="8:14" ht="16" thickBot="1">
      <c r="H261" s="157"/>
      <c r="I261" s="601">
        <v>2026</v>
      </c>
      <c r="J261" s="602">
        <v>0</v>
      </c>
    </row>
    <row r="262" spans="8:14">
      <c r="I262" s="157"/>
    </row>
    <row r="264" spans="8:14" s="258" customFormat="1">
      <c r="I264" s="258" t="s">
        <v>416</v>
      </c>
    </row>
    <row r="267" spans="8:14" ht="16" thickBot="1">
      <c r="I267" s="157"/>
      <c r="J267" s="157"/>
      <c r="K267" s="157"/>
      <c r="L267" s="157"/>
      <c r="M267" s="157" t="s">
        <v>417</v>
      </c>
    </row>
    <row r="268" spans="8:14" ht="18" thickBot="1">
      <c r="H268" s="157"/>
      <c r="I268" s="212" t="s">
        <v>321</v>
      </c>
      <c r="J268" s="271" t="s">
        <v>240</v>
      </c>
      <c r="K268" s="274" t="s">
        <v>241</v>
      </c>
      <c r="L268" s="213" t="s">
        <v>242</v>
      </c>
      <c r="M268" s="594" t="s">
        <v>64</v>
      </c>
      <c r="N268" s="157"/>
    </row>
    <row r="269" spans="8:14">
      <c r="H269" s="157"/>
      <c r="I269" s="207">
        <v>2020</v>
      </c>
      <c r="J269" s="12" t="s">
        <v>172</v>
      </c>
      <c r="K269" s="12" t="s">
        <v>173</v>
      </c>
      <c r="L269" s="157" t="s">
        <v>243</v>
      </c>
      <c r="M269" s="235">
        <v>200</v>
      </c>
      <c r="N269" s="157"/>
    </row>
    <row r="270" spans="8:14">
      <c r="H270" s="157"/>
      <c r="I270" s="207">
        <v>2021</v>
      </c>
      <c r="J270" s="12" t="s">
        <v>172</v>
      </c>
      <c r="K270" s="12" t="s">
        <v>173</v>
      </c>
      <c r="L270" s="157" t="s">
        <v>243</v>
      </c>
      <c r="M270" s="217">
        <v>201</v>
      </c>
      <c r="N270" s="157"/>
    </row>
    <row r="271" spans="8:14">
      <c r="H271" s="157"/>
      <c r="I271" s="207">
        <v>2022</v>
      </c>
      <c r="J271" s="12" t="s">
        <v>172</v>
      </c>
      <c r="K271" s="12" t="s">
        <v>173</v>
      </c>
      <c r="L271" s="157" t="s">
        <v>243</v>
      </c>
      <c r="M271" s="217">
        <v>202</v>
      </c>
      <c r="N271" s="157"/>
    </row>
    <row r="272" spans="8:14">
      <c r="H272" s="157"/>
      <c r="I272" s="207">
        <v>2023</v>
      </c>
      <c r="J272" s="12" t="s">
        <v>172</v>
      </c>
      <c r="K272" s="12" t="s">
        <v>173</v>
      </c>
      <c r="L272" s="157" t="s">
        <v>243</v>
      </c>
      <c r="M272" s="217">
        <v>203</v>
      </c>
      <c r="N272" s="157"/>
    </row>
    <row r="273" spans="8:14">
      <c r="H273" s="157"/>
      <c r="I273" s="207">
        <v>2024</v>
      </c>
      <c r="J273" s="12" t="s">
        <v>172</v>
      </c>
      <c r="K273" s="12" t="s">
        <v>173</v>
      </c>
      <c r="L273" s="157" t="s">
        <v>243</v>
      </c>
      <c r="M273" s="217">
        <v>204</v>
      </c>
      <c r="N273" s="157"/>
    </row>
    <row r="274" spans="8:14">
      <c r="H274" s="157"/>
      <c r="I274" s="207">
        <v>2025</v>
      </c>
      <c r="J274" s="12" t="s">
        <v>172</v>
      </c>
      <c r="K274" s="12" t="s">
        <v>173</v>
      </c>
      <c r="L274" s="157" t="s">
        <v>243</v>
      </c>
      <c r="M274" s="217">
        <v>205</v>
      </c>
      <c r="N274" s="157"/>
    </row>
    <row r="275" spans="8:14">
      <c r="H275" s="157"/>
      <c r="I275" s="207">
        <v>2026</v>
      </c>
      <c r="J275" s="12" t="s">
        <v>172</v>
      </c>
      <c r="K275" s="12" t="s">
        <v>173</v>
      </c>
      <c r="L275" s="157" t="s">
        <v>243</v>
      </c>
      <c r="M275" s="217">
        <v>206</v>
      </c>
      <c r="N275" s="157"/>
    </row>
    <row r="276" spans="8:14">
      <c r="H276" s="157"/>
      <c r="I276" s="207">
        <v>2020</v>
      </c>
      <c r="J276" s="259" t="s">
        <v>175</v>
      </c>
      <c r="K276" s="12" t="s">
        <v>173</v>
      </c>
      <c r="L276" s="157" t="s">
        <v>243</v>
      </c>
      <c r="M276" s="217">
        <v>207</v>
      </c>
      <c r="N276" s="157"/>
    </row>
    <row r="277" spans="8:14">
      <c r="H277" s="157"/>
      <c r="I277" s="207">
        <v>2021</v>
      </c>
      <c r="J277" s="259" t="s">
        <v>175</v>
      </c>
      <c r="K277" s="12" t="s">
        <v>173</v>
      </c>
      <c r="L277" s="157" t="s">
        <v>243</v>
      </c>
      <c r="M277" s="217">
        <v>208</v>
      </c>
      <c r="N277" s="157"/>
    </row>
    <row r="278" spans="8:14">
      <c r="H278" s="157"/>
      <c r="I278" s="207">
        <v>2022</v>
      </c>
      <c r="J278" s="259" t="s">
        <v>175</v>
      </c>
      <c r="K278" s="12" t="s">
        <v>173</v>
      </c>
      <c r="L278" s="157" t="s">
        <v>243</v>
      </c>
      <c r="M278" s="217">
        <v>209</v>
      </c>
      <c r="N278" s="157"/>
    </row>
    <row r="279" spans="8:14">
      <c r="H279" s="157"/>
      <c r="I279" s="207">
        <v>2023</v>
      </c>
      <c r="J279" s="259" t="s">
        <v>175</v>
      </c>
      <c r="K279" s="12" t="s">
        <v>173</v>
      </c>
      <c r="L279" s="157" t="s">
        <v>243</v>
      </c>
      <c r="M279" s="217">
        <v>210</v>
      </c>
      <c r="N279" s="157"/>
    </row>
    <row r="280" spans="8:14">
      <c r="H280" s="157"/>
      <c r="I280" s="207">
        <v>2024</v>
      </c>
      <c r="J280" s="259" t="s">
        <v>175</v>
      </c>
      <c r="K280" s="12" t="s">
        <v>173</v>
      </c>
      <c r="L280" s="157" t="s">
        <v>243</v>
      </c>
      <c r="M280" s="217">
        <v>211</v>
      </c>
      <c r="N280" s="157"/>
    </row>
    <row r="281" spans="8:14">
      <c r="H281" s="157"/>
      <c r="I281" s="207">
        <v>2025</v>
      </c>
      <c r="J281" s="259" t="s">
        <v>175</v>
      </c>
      <c r="K281" s="12" t="s">
        <v>173</v>
      </c>
      <c r="L281" s="157" t="s">
        <v>243</v>
      </c>
      <c r="M281" s="217">
        <v>212</v>
      </c>
      <c r="N281" s="157"/>
    </row>
    <row r="282" spans="8:14">
      <c r="H282" s="157"/>
      <c r="I282" s="207">
        <v>2026</v>
      </c>
      <c r="J282" s="259" t="s">
        <v>175</v>
      </c>
      <c r="K282" s="12" t="s">
        <v>173</v>
      </c>
      <c r="L282" s="157" t="s">
        <v>243</v>
      </c>
      <c r="M282" s="217">
        <v>213</v>
      </c>
      <c r="N282" s="157"/>
    </row>
    <row r="283" spans="8:14">
      <c r="H283" s="157"/>
      <c r="I283" s="207">
        <v>2020</v>
      </c>
      <c r="J283" s="12" t="s">
        <v>172</v>
      </c>
      <c r="K283" s="12" t="s">
        <v>212</v>
      </c>
      <c r="L283" s="157" t="s">
        <v>243</v>
      </c>
      <c r="M283" s="217">
        <v>214</v>
      </c>
      <c r="N283" s="157"/>
    </row>
    <row r="284" spans="8:14">
      <c r="H284" s="157"/>
      <c r="I284" s="207">
        <v>2021</v>
      </c>
      <c r="J284" s="12" t="s">
        <v>172</v>
      </c>
      <c r="K284" s="12" t="s">
        <v>212</v>
      </c>
      <c r="L284" s="157" t="s">
        <v>243</v>
      </c>
      <c r="M284" s="217">
        <v>215</v>
      </c>
      <c r="N284" s="157"/>
    </row>
    <row r="285" spans="8:14">
      <c r="H285" s="157"/>
      <c r="I285" s="207">
        <v>2022</v>
      </c>
      <c r="J285" s="12" t="s">
        <v>172</v>
      </c>
      <c r="K285" s="12" t="s">
        <v>212</v>
      </c>
      <c r="L285" s="157" t="s">
        <v>243</v>
      </c>
      <c r="M285" s="217">
        <v>216</v>
      </c>
      <c r="N285" s="157"/>
    </row>
    <row r="286" spans="8:14">
      <c r="H286" s="157"/>
      <c r="I286" s="207">
        <v>2023</v>
      </c>
      <c r="J286" s="12" t="s">
        <v>172</v>
      </c>
      <c r="K286" s="12" t="s">
        <v>212</v>
      </c>
      <c r="L286" s="157" t="s">
        <v>243</v>
      </c>
      <c r="M286" s="217">
        <v>217</v>
      </c>
      <c r="N286" s="157"/>
    </row>
    <row r="287" spans="8:14">
      <c r="H287" s="157"/>
      <c r="I287" s="207">
        <v>2024</v>
      </c>
      <c r="J287" s="12" t="s">
        <v>172</v>
      </c>
      <c r="K287" s="12" t="s">
        <v>212</v>
      </c>
      <c r="L287" s="157" t="s">
        <v>243</v>
      </c>
      <c r="M287" s="217">
        <v>218</v>
      </c>
      <c r="N287" s="157"/>
    </row>
    <row r="288" spans="8:14">
      <c r="H288" s="157"/>
      <c r="I288" s="207">
        <v>2025</v>
      </c>
      <c r="J288" s="12" t="s">
        <v>172</v>
      </c>
      <c r="K288" s="12" t="s">
        <v>212</v>
      </c>
      <c r="L288" s="157" t="s">
        <v>243</v>
      </c>
      <c r="M288" s="217">
        <v>219</v>
      </c>
      <c r="N288" s="157"/>
    </row>
    <row r="289" spans="8:14">
      <c r="H289" s="157"/>
      <c r="I289" s="207">
        <v>2026</v>
      </c>
      <c r="J289" s="12" t="s">
        <v>172</v>
      </c>
      <c r="K289" s="12" t="s">
        <v>212</v>
      </c>
      <c r="L289" s="157" t="s">
        <v>243</v>
      </c>
      <c r="M289" s="217">
        <v>220</v>
      </c>
      <c r="N289" s="157"/>
    </row>
    <row r="290" spans="8:14">
      <c r="H290" s="157"/>
      <c r="I290" s="207">
        <v>2020</v>
      </c>
      <c r="J290" s="259" t="s">
        <v>175</v>
      </c>
      <c r="K290" s="12" t="s">
        <v>212</v>
      </c>
      <c r="L290" s="157" t="s">
        <v>243</v>
      </c>
      <c r="M290" s="217">
        <v>221</v>
      </c>
      <c r="N290" s="157"/>
    </row>
    <row r="291" spans="8:14">
      <c r="H291" s="157"/>
      <c r="I291" s="207">
        <v>2021</v>
      </c>
      <c r="J291" s="259" t="s">
        <v>175</v>
      </c>
      <c r="K291" s="12" t="s">
        <v>212</v>
      </c>
      <c r="L291" s="157" t="s">
        <v>243</v>
      </c>
      <c r="M291" s="217">
        <v>222</v>
      </c>
      <c r="N291" s="157"/>
    </row>
    <row r="292" spans="8:14">
      <c r="H292" s="157"/>
      <c r="I292" s="207">
        <v>2022</v>
      </c>
      <c r="J292" s="259" t="s">
        <v>175</v>
      </c>
      <c r="K292" s="12" t="s">
        <v>212</v>
      </c>
      <c r="L292" s="157" t="s">
        <v>243</v>
      </c>
      <c r="M292" s="217">
        <v>223</v>
      </c>
      <c r="N292" s="157"/>
    </row>
    <row r="293" spans="8:14">
      <c r="H293" s="157"/>
      <c r="I293" s="207">
        <v>2023</v>
      </c>
      <c r="J293" s="259" t="s">
        <v>175</v>
      </c>
      <c r="K293" s="12" t="s">
        <v>212</v>
      </c>
      <c r="L293" s="157" t="s">
        <v>243</v>
      </c>
      <c r="M293" s="217">
        <v>224</v>
      </c>
      <c r="N293" s="157"/>
    </row>
    <row r="294" spans="8:14">
      <c r="H294" s="157"/>
      <c r="I294" s="207">
        <v>2024</v>
      </c>
      <c r="J294" s="259" t="s">
        <v>175</v>
      </c>
      <c r="K294" s="12" t="s">
        <v>212</v>
      </c>
      <c r="L294" s="157" t="s">
        <v>243</v>
      </c>
      <c r="M294" s="217">
        <v>225</v>
      </c>
      <c r="N294" s="157"/>
    </row>
    <row r="295" spans="8:14">
      <c r="H295" s="157"/>
      <c r="I295" s="207">
        <v>2025</v>
      </c>
      <c r="J295" s="259" t="s">
        <v>175</v>
      </c>
      <c r="K295" s="12" t="s">
        <v>212</v>
      </c>
      <c r="L295" s="157" t="s">
        <v>243</v>
      </c>
      <c r="M295" s="217">
        <v>226</v>
      </c>
      <c r="N295" s="157"/>
    </row>
    <row r="296" spans="8:14">
      <c r="H296" s="157"/>
      <c r="I296" s="207">
        <v>2026</v>
      </c>
      <c r="J296" s="259" t="s">
        <v>175</v>
      </c>
      <c r="K296" s="12" t="s">
        <v>212</v>
      </c>
      <c r="L296" s="157" t="s">
        <v>243</v>
      </c>
      <c r="M296" s="217">
        <v>227</v>
      </c>
      <c r="N296" s="157"/>
    </row>
    <row r="297" spans="8:14">
      <c r="H297" s="157"/>
      <c r="I297" s="207">
        <v>2020</v>
      </c>
      <c r="J297" s="12" t="s">
        <v>172</v>
      </c>
      <c r="K297" s="12" t="s">
        <v>173</v>
      </c>
      <c r="L297" s="157" t="s">
        <v>244</v>
      </c>
      <c r="M297" s="217">
        <v>228</v>
      </c>
      <c r="N297" s="157"/>
    </row>
    <row r="298" spans="8:14">
      <c r="H298" s="157"/>
      <c r="I298" s="207">
        <v>2021</v>
      </c>
      <c r="J298" s="12" t="s">
        <v>172</v>
      </c>
      <c r="K298" s="12" t="s">
        <v>173</v>
      </c>
      <c r="L298" s="157" t="s">
        <v>244</v>
      </c>
      <c r="M298" s="217">
        <v>229</v>
      </c>
      <c r="N298" s="157"/>
    </row>
    <row r="299" spans="8:14">
      <c r="H299" s="157"/>
      <c r="I299" s="207">
        <v>2022</v>
      </c>
      <c r="J299" s="12" t="s">
        <v>172</v>
      </c>
      <c r="K299" s="12" t="s">
        <v>173</v>
      </c>
      <c r="L299" s="157" t="s">
        <v>244</v>
      </c>
      <c r="M299" s="217">
        <v>230</v>
      </c>
      <c r="N299" s="157"/>
    </row>
    <row r="300" spans="8:14">
      <c r="H300" s="157"/>
      <c r="I300" s="207">
        <v>2023</v>
      </c>
      <c r="J300" s="12" t="s">
        <v>172</v>
      </c>
      <c r="K300" s="12" t="s">
        <v>173</v>
      </c>
      <c r="L300" s="157" t="s">
        <v>244</v>
      </c>
      <c r="M300" s="217">
        <v>231</v>
      </c>
      <c r="N300" s="157"/>
    </row>
    <row r="301" spans="8:14">
      <c r="H301" s="157"/>
      <c r="I301" s="207">
        <v>2024</v>
      </c>
      <c r="J301" s="12" t="s">
        <v>172</v>
      </c>
      <c r="K301" s="12" t="s">
        <v>173</v>
      </c>
      <c r="L301" s="157" t="s">
        <v>244</v>
      </c>
      <c r="M301" s="217">
        <v>232</v>
      </c>
      <c r="N301" s="157"/>
    </row>
    <row r="302" spans="8:14">
      <c r="H302" s="157"/>
      <c r="I302" s="207">
        <v>2025</v>
      </c>
      <c r="J302" s="12" t="s">
        <v>172</v>
      </c>
      <c r="K302" s="12" t="s">
        <v>173</v>
      </c>
      <c r="L302" s="157" t="s">
        <v>244</v>
      </c>
      <c r="M302" s="217">
        <v>233</v>
      </c>
      <c r="N302" s="157"/>
    </row>
    <row r="303" spans="8:14">
      <c r="H303" s="157"/>
      <c r="I303" s="207">
        <v>2026</v>
      </c>
      <c r="J303" s="12" t="s">
        <v>172</v>
      </c>
      <c r="K303" s="12" t="s">
        <v>173</v>
      </c>
      <c r="L303" s="157" t="s">
        <v>244</v>
      </c>
      <c r="M303" s="217">
        <v>234</v>
      </c>
      <c r="N303" s="157"/>
    </row>
    <row r="304" spans="8:14">
      <c r="H304" s="157"/>
      <c r="I304" s="207">
        <v>2020</v>
      </c>
      <c r="J304" s="259" t="s">
        <v>175</v>
      </c>
      <c r="K304" s="12" t="s">
        <v>173</v>
      </c>
      <c r="L304" s="157" t="s">
        <v>244</v>
      </c>
      <c r="M304" s="217">
        <v>235</v>
      </c>
      <c r="N304" s="157"/>
    </row>
    <row r="305" spans="8:14">
      <c r="H305" s="157"/>
      <c r="I305" s="207">
        <v>2021</v>
      </c>
      <c r="J305" s="259" t="s">
        <v>175</v>
      </c>
      <c r="K305" s="12" t="s">
        <v>173</v>
      </c>
      <c r="L305" s="157" t="s">
        <v>244</v>
      </c>
      <c r="M305" s="217">
        <v>236</v>
      </c>
      <c r="N305" s="157"/>
    </row>
    <row r="306" spans="8:14">
      <c r="H306" s="157"/>
      <c r="I306" s="207">
        <v>2022</v>
      </c>
      <c r="J306" s="259" t="s">
        <v>175</v>
      </c>
      <c r="K306" s="12" t="s">
        <v>173</v>
      </c>
      <c r="L306" s="157" t="s">
        <v>244</v>
      </c>
      <c r="M306" s="217">
        <v>237</v>
      </c>
      <c r="N306" s="157"/>
    </row>
    <row r="307" spans="8:14">
      <c r="H307" s="157"/>
      <c r="I307" s="207">
        <v>2023</v>
      </c>
      <c r="J307" s="259" t="s">
        <v>175</v>
      </c>
      <c r="K307" s="12" t="s">
        <v>173</v>
      </c>
      <c r="L307" s="157" t="s">
        <v>244</v>
      </c>
      <c r="M307" s="217">
        <v>238</v>
      </c>
      <c r="N307" s="157"/>
    </row>
    <row r="308" spans="8:14">
      <c r="H308" s="157"/>
      <c r="I308" s="207">
        <v>2024</v>
      </c>
      <c r="J308" s="259" t="s">
        <v>175</v>
      </c>
      <c r="K308" s="12" t="s">
        <v>173</v>
      </c>
      <c r="L308" s="157" t="s">
        <v>244</v>
      </c>
      <c r="M308" s="217">
        <v>239</v>
      </c>
      <c r="N308" s="157"/>
    </row>
    <row r="309" spans="8:14">
      <c r="H309" s="157"/>
      <c r="I309" s="207">
        <v>2025</v>
      </c>
      <c r="J309" s="259" t="s">
        <v>175</v>
      </c>
      <c r="K309" s="12" t="s">
        <v>173</v>
      </c>
      <c r="L309" s="157" t="s">
        <v>244</v>
      </c>
      <c r="M309" s="217">
        <v>240</v>
      </c>
      <c r="N309" s="157"/>
    </row>
    <row r="310" spans="8:14">
      <c r="H310" s="157"/>
      <c r="I310" s="207">
        <v>2026</v>
      </c>
      <c r="J310" s="259" t="s">
        <v>175</v>
      </c>
      <c r="K310" s="12" t="s">
        <v>173</v>
      </c>
      <c r="L310" s="157" t="s">
        <v>244</v>
      </c>
      <c r="M310" s="217">
        <v>241</v>
      </c>
      <c r="N310" s="157"/>
    </row>
    <row r="311" spans="8:14">
      <c r="H311" s="157"/>
      <c r="I311" s="207">
        <v>2020</v>
      </c>
      <c r="J311" s="12" t="s">
        <v>172</v>
      </c>
      <c r="K311" s="12" t="s">
        <v>212</v>
      </c>
      <c r="L311" s="157" t="s">
        <v>244</v>
      </c>
      <c r="M311" s="217">
        <v>242</v>
      </c>
      <c r="N311" s="157"/>
    </row>
    <row r="312" spans="8:14">
      <c r="H312" s="157"/>
      <c r="I312" s="207">
        <v>2021</v>
      </c>
      <c r="J312" s="12" t="s">
        <v>172</v>
      </c>
      <c r="K312" s="12" t="s">
        <v>212</v>
      </c>
      <c r="L312" s="157" t="s">
        <v>244</v>
      </c>
      <c r="M312" s="217">
        <v>243</v>
      </c>
      <c r="N312" s="157"/>
    </row>
    <row r="313" spans="8:14">
      <c r="H313" s="157"/>
      <c r="I313" s="207">
        <v>2022</v>
      </c>
      <c r="J313" s="12" t="s">
        <v>172</v>
      </c>
      <c r="K313" s="12" t="s">
        <v>212</v>
      </c>
      <c r="L313" s="157" t="s">
        <v>244</v>
      </c>
      <c r="M313" s="217">
        <v>244</v>
      </c>
      <c r="N313" s="157"/>
    </row>
    <row r="314" spans="8:14">
      <c r="H314" s="157"/>
      <c r="I314" s="207">
        <v>2023</v>
      </c>
      <c r="J314" s="12" t="s">
        <v>172</v>
      </c>
      <c r="K314" s="12" t="s">
        <v>212</v>
      </c>
      <c r="L314" s="157" t="s">
        <v>244</v>
      </c>
      <c r="M314" s="217">
        <v>245</v>
      </c>
      <c r="N314" s="157"/>
    </row>
    <row r="315" spans="8:14">
      <c r="H315" s="157"/>
      <c r="I315" s="207">
        <v>2024</v>
      </c>
      <c r="J315" s="12" t="s">
        <v>172</v>
      </c>
      <c r="K315" s="12" t="s">
        <v>212</v>
      </c>
      <c r="L315" s="157" t="s">
        <v>244</v>
      </c>
      <c r="M315" s="217">
        <v>246</v>
      </c>
      <c r="N315" s="157"/>
    </row>
    <row r="316" spans="8:14">
      <c r="H316" s="157"/>
      <c r="I316" s="207">
        <v>2025</v>
      </c>
      <c r="J316" s="12" t="s">
        <v>172</v>
      </c>
      <c r="K316" s="12" t="s">
        <v>212</v>
      </c>
      <c r="L316" s="157" t="s">
        <v>244</v>
      </c>
      <c r="M316" s="217">
        <v>247</v>
      </c>
      <c r="N316" s="157"/>
    </row>
    <row r="317" spans="8:14">
      <c r="H317" s="157"/>
      <c r="I317" s="207">
        <v>2026</v>
      </c>
      <c r="J317" s="12" t="s">
        <v>172</v>
      </c>
      <c r="K317" s="12" t="s">
        <v>212</v>
      </c>
      <c r="L317" s="157" t="s">
        <v>244</v>
      </c>
      <c r="M317" s="217">
        <v>248</v>
      </c>
      <c r="N317" s="157"/>
    </row>
    <row r="318" spans="8:14">
      <c r="H318" s="157"/>
      <c r="I318" s="207">
        <v>2020</v>
      </c>
      <c r="J318" s="259" t="s">
        <v>175</v>
      </c>
      <c r="K318" s="12" t="s">
        <v>212</v>
      </c>
      <c r="L318" s="157" t="s">
        <v>244</v>
      </c>
      <c r="M318" s="217">
        <v>249</v>
      </c>
      <c r="N318" s="157"/>
    </row>
    <row r="319" spans="8:14">
      <c r="H319" s="157"/>
      <c r="I319" s="207">
        <v>2021</v>
      </c>
      <c r="J319" s="259" t="s">
        <v>175</v>
      </c>
      <c r="K319" s="12" t="s">
        <v>212</v>
      </c>
      <c r="L319" s="157" t="s">
        <v>244</v>
      </c>
      <c r="M319" s="217">
        <v>250</v>
      </c>
      <c r="N319" s="157"/>
    </row>
    <row r="320" spans="8:14">
      <c r="H320" s="157"/>
      <c r="I320" s="207">
        <v>2022</v>
      </c>
      <c r="J320" s="259" t="s">
        <v>175</v>
      </c>
      <c r="K320" s="12" t="s">
        <v>212</v>
      </c>
      <c r="L320" s="157" t="s">
        <v>244</v>
      </c>
      <c r="M320" s="217">
        <v>251</v>
      </c>
      <c r="N320" s="157"/>
    </row>
    <row r="321" spans="8:14">
      <c r="H321" s="157"/>
      <c r="I321" s="207">
        <v>2023</v>
      </c>
      <c r="J321" s="259" t="s">
        <v>175</v>
      </c>
      <c r="K321" s="12" t="s">
        <v>212</v>
      </c>
      <c r="L321" s="157" t="s">
        <v>244</v>
      </c>
      <c r="M321" s="217">
        <v>252</v>
      </c>
      <c r="N321" s="157"/>
    </row>
    <row r="322" spans="8:14">
      <c r="H322" s="157"/>
      <c r="I322" s="207">
        <v>2024</v>
      </c>
      <c r="J322" s="259" t="s">
        <v>175</v>
      </c>
      <c r="K322" s="12" t="s">
        <v>212</v>
      </c>
      <c r="L322" s="157" t="s">
        <v>244</v>
      </c>
      <c r="M322" s="217">
        <v>253</v>
      </c>
      <c r="N322" s="157"/>
    </row>
    <row r="323" spans="8:14">
      <c r="H323" s="157"/>
      <c r="I323" s="207">
        <v>2025</v>
      </c>
      <c r="J323" s="259" t="s">
        <v>175</v>
      </c>
      <c r="K323" s="12" t="s">
        <v>212</v>
      </c>
      <c r="L323" s="157" t="s">
        <v>244</v>
      </c>
      <c r="M323" s="217">
        <v>254</v>
      </c>
      <c r="N323" s="157"/>
    </row>
    <row r="324" spans="8:14" ht="16" thickBot="1">
      <c r="H324" s="157"/>
      <c r="I324" s="208">
        <v>2026</v>
      </c>
      <c r="J324" s="260" t="s">
        <v>175</v>
      </c>
      <c r="K324" s="210" t="s">
        <v>212</v>
      </c>
      <c r="L324" s="211" t="s">
        <v>244</v>
      </c>
      <c r="M324" s="218">
        <v>255</v>
      </c>
      <c r="N324" s="157"/>
    </row>
    <row r="325" spans="8:14">
      <c r="H325" s="157"/>
      <c r="I325" s="157"/>
      <c r="J325" s="12"/>
      <c r="K325" s="157"/>
      <c r="L325" s="157"/>
      <c r="M325" s="261">
        <f>SUM(M269:M324)</f>
        <v>12740</v>
      </c>
      <c r="N325" s="157"/>
    </row>
    <row r="326" spans="8:14">
      <c r="H326" s="157"/>
      <c r="I326" s="157"/>
      <c r="J326" s="12"/>
      <c r="K326" s="157"/>
      <c r="L326" s="157"/>
      <c r="M326" s="157"/>
      <c r="N326" s="157"/>
    </row>
    <row r="327" spans="8:14" ht="16" thickBot="1">
      <c r="I327" s="157"/>
      <c r="J327" s="157"/>
      <c r="K327" s="157"/>
      <c r="L327" s="157"/>
    </row>
    <row r="328" spans="8:14" ht="17">
      <c r="H328" s="157"/>
      <c r="I328" s="212" t="s">
        <v>233</v>
      </c>
      <c r="J328" s="271" t="s">
        <v>240</v>
      </c>
      <c r="K328" s="213" t="s">
        <v>242</v>
      </c>
      <c r="L328" s="273" t="s">
        <v>31</v>
      </c>
      <c r="M328" s="157"/>
    </row>
    <row r="329" spans="8:14">
      <c r="H329" s="157"/>
      <c r="I329" s="207">
        <v>2020</v>
      </c>
      <c r="J329" s="12" t="s">
        <v>172</v>
      </c>
      <c r="K329" s="214" t="s">
        <v>243</v>
      </c>
      <c r="L329" s="235">
        <v>0.35</v>
      </c>
      <c r="M329" s="157"/>
    </row>
    <row r="330" spans="8:14">
      <c r="H330" s="157"/>
      <c r="I330" s="207">
        <v>2021</v>
      </c>
      <c r="J330" s="12" t="s">
        <v>172</v>
      </c>
      <c r="K330" s="214" t="s">
        <v>243</v>
      </c>
      <c r="L330" s="217">
        <v>0.36</v>
      </c>
      <c r="M330" s="157"/>
    </row>
    <row r="331" spans="8:14">
      <c r="H331" s="157"/>
      <c r="I331" s="207">
        <v>2022</v>
      </c>
      <c r="J331" s="12" t="s">
        <v>172</v>
      </c>
      <c r="K331" s="214" t="s">
        <v>243</v>
      </c>
      <c r="L331" s="217">
        <v>0.37</v>
      </c>
      <c r="M331" s="157"/>
    </row>
    <row r="332" spans="8:14">
      <c r="H332" s="157"/>
      <c r="I332" s="207">
        <v>2023</v>
      </c>
      <c r="J332" s="12" t="s">
        <v>172</v>
      </c>
      <c r="K332" s="214" t="s">
        <v>243</v>
      </c>
      <c r="L332" s="217">
        <v>0.38</v>
      </c>
      <c r="M332" s="157"/>
    </row>
    <row r="333" spans="8:14">
      <c r="H333" s="157"/>
      <c r="I333" s="207">
        <v>2024</v>
      </c>
      <c r="J333" s="12" t="s">
        <v>172</v>
      </c>
      <c r="K333" s="214" t="s">
        <v>243</v>
      </c>
      <c r="L333" s="217">
        <v>0.39</v>
      </c>
      <c r="M333" s="157"/>
    </row>
    <row r="334" spans="8:14">
      <c r="H334" s="157"/>
      <c r="I334" s="207">
        <v>2025</v>
      </c>
      <c r="J334" s="12" t="s">
        <v>172</v>
      </c>
      <c r="K334" s="214" t="s">
        <v>243</v>
      </c>
      <c r="L334" s="217">
        <v>0.4</v>
      </c>
      <c r="M334" s="157"/>
    </row>
    <row r="335" spans="8:14">
      <c r="H335" s="157"/>
      <c r="I335" s="207">
        <v>2026</v>
      </c>
      <c r="J335" s="12" t="s">
        <v>172</v>
      </c>
      <c r="K335" s="214" t="s">
        <v>243</v>
      </c>
      <c r="L335" s="217">
        <v>0.41</v>
      </c>
      <c r="M335" s="157"/>
    </row>
    <row r="336" spans="8:14">
      <c r="H336" s="157"/>
      <c r="I336" s="207">
        <v>2020</v>
      </c>
      <c r="J336" s="259" t="s">
        <v>175</v>
      </c>
      <c r="K336" s="214" t="s">
        <v>243</v>
      </c>
      <c r="L336" s="217">
        <v>0.42</v>
      </c>
      <c r="M336" s="157"/>
    </row>
    <row r="337" spans="8:13">
      <c r="H337" s="157"/>
      <c r="I337" s="207">
        <v>2021</v>
      </c>
      <c r="J337" s="259" t="s">
        <v>175</v>
      </c>
      <c r="K337" s="214" t="s">
        <v>243</v>
      </c>
      <c r="L337" s="217">
        <v>0.43</v>
      </c>
      <c r="M337" s="157"/>
    </row>
    <row r="338" spans="8:13">
      <c r="H338" s="157"/>
      <c r="I338" s="207">
        <v>2022</v>
      </c>
      <c r="J338" s="259" t="s">
        <v>175</v>
      </c>
      <c r="K338" s="214" t="s">
        <v>243</v>
      </c>
      <c r="L338" s="217">
        <v>0.44</v>
      </c>
      <c r="M338" s="157"/>
    </row>
    <row r="339" spans="8:13">
      <c r="H339" s="157"/>
      <c r="I339" s="207">
        <v>2023</v>
      </c>
      <c r="J339" s="259" t="s">
        <v>175</v>
      </c>
      <c r="K339" s="214" t="s">
        <v>243</v>
      </c>
      <c r="L339" s="217">
        <v>0.45</v>
      </c>
      <c r="M339" s="157"/>
    </row>
    <row r="340" spans="8:13">
      <c r="H340" s="157"/>
      <c r="I340" s="207">
        <v>2024</v>
      </c>
      <c r="J340" s="259" t="s">
        <v>175</v>
      </c>
      <c r="K340" s="214" t="s">
        <v>243</v>
      </c>
      <c r="L340" s="217">
        <v>0.46</v>
      </c>
      <c r="M340" s="157"/>
    </row>
    <row r="341" spans="8:13">
      <c r="H341" s="157"/>
      <c r="I341" s="207">
        <v>2025</v>
      </c>
      <c r="J341" s="259" t="s">
        <v>175</v>
      </c>
      <c r="K341" s="214" t="s">
        <v>243</v>
      </c>
      <c r="L341" s="217">
        <v>0.47</v>
      </c>
      <c r="M341" s="157"/>
    </row>
    <row r="342" spans="8:13">
      <c r="H342" s="157"/>
      <c r="I342" s="207">
        <v>2026</v>
      </c>
      <c r="J342" s="259" t="s">
        <v>175</v>
      </c>
      <c r="K342" s="214" t="s">
        <v>243</v>
      </c>
      <c r="L342" s="217">
        <v>0.48</v>
      </c>
      <c r="M342" s="157"/>
    </row>
    <row r="343" spans="8:13">
      <c r="H343" s="157"/>
      <c r="I343" s="207">
        <v>2020</v>
      </c>
      <c r="J343" s="12" t="s">
        <v>172</v>
      </c>
      <c r="K343" s="214" t="s">
        <v>244</v>
      </c>
      <c r="L343" s="217">
        <v>0.49</v>
      </c>
      <c r="M343" s="157"/>
    </row>
    <row r="344" spans="8:13">
      <c r="H344" s="157"/>
      <c r="I344" s="207">
        <v>2021</v>
      </c>
      <c r="J344" s="12" t="s">
        <v>172</v>
      </c>
      <c r="K344" s="214" t="s">
        <v>244</v>
      </c>
      <c r="L344" s="217">
        <v>0.5</v>
      </c>
      <c r="M344" s="157"/>
    </row>
    <row r="345" spans="8:13">
      <c r="H345" s="157"/>
      <c r="I345" s="207">
        <v>2022</v>
      </c>
      <c r="J345" s="12" t="s">
        <v>172</v>
      </c>
      <c r="K345" s="214" t="s">
        <v>244</v>
      </c>
      <c r="L345" s="217">
        <v>0.51</v>
      </c>
      <c r="M345" s="157"/>
    </row>
    <row r="346" spans="8:13">
      <c r="H346" s="157"/>
      <c r="I346" s="207">
        <v>2023</v>
      </c>
      <c r="J346" s="12" t="s">
        <v>172</v>
      </c>
      <c r="K346" s="214" t="s">
        <v>244</v>
      </c>
      <c r="L346" s="217">
        <v>0.52</v>
      </c>
      <c r="M346" s="157"/>
    </row>
    <row r="347" spans="8:13">
      <c r="H347" s="157"/>
      <c r="I347" s="207">
        <v>2024</v>
      </c>
      <c r="J347" s="12" t="s">
        <v>172</v>
      </c>
      <c r="K347" s="214" t="s">
        <v>244</v>
      </c>
      <c r="L347" s="217">
        <v>0.53</v>
      </c>
      <c r="M347" s="157"/>
    </row>
    <row r="348" spans="8:13">
      <c r="H348" s="157"/>
      <c r="I348" s="207">
        <v>2025</v>
      </c>
      <c r="J348" s="12" t="s">
        <v>172</v>
      </c>
      <c r="K348" s="214" t="s">
        <v>244</v>
      </c>
      <c r="L348" s="217">
        <v>0.54</v>
      </c>
      <c r="M348" s="157"/>
    </row>
    <row r="349" spans="8:13">
      <c r="H349" s="157"/>
      <c r="I349" s="207">
        <v>2026</v>
      </c>
      <c r="J349" s="12" t="s">
        <v>172</v>
      </c>
      <c r="K349" s="214" t="s">
        <v>244</v>
      </c>
      <c r="L349" s="217">
        <v>0.55000000000000004</v>
      </c>
      <c r="M349" s="157"/>
    </row>
    <row r="350" spans="8:13">
      <c r="H350" s="157"/>
      <c r="I350" s="207">
        <v>2020</v>
      </c>
      <c r="J350" s="259" t="s">
        <v>175</v>
      </c>
      <c r="K350" s="214" t="s">
        <v>244</v>
      </c>
      <c r="L350" s="217">
        <v>0.56000000000000005</v>
      </c>
      <c r="M350" s="157"/>
    </row>
    <row r="351" spans="8:13">
      <c r="H351" s="157"/>
      <c r="I351" s="207">
        <v>2021</v>
      </c>
      <c r="J351" s="259" t="s">
        <v>175</v>
      </c>
      <c r="K351" s="214" t="s">
        <v>244</v>
      </c>
      <c r="L351" s="217">
        <v>0.56999999999999995</v>
      </c>
      <c r="M351" s="157"/>
    </row>
    <row r="352" spans="8:13">
      <c r="H352" s="157"/>
      <c r="I352" s="207">
        <v>2022</v>
      </c>
      <c r="J352" s="259" t="s">
        <v>175</v>
      </c>
      <c r="K352" s="214" t="s">
        <v>244</v>
      </c>
      <c r="L352" s="217">
        <v>0.57999999999999996</v>
      </c>
      <c r="M352" s="157"/>
    </row>
    <row r="353" spans="8:13">
      <c r="H353" s="157"/>
      <c r="I353" s="207">
        <v>2023</v>
      </c>
      <c r="J353" s="259" t="s">
        <v>175</v>
      </c>
      <c r="K353" s="214" t="s">
        <v>244</v>
      </c>
      <c r="L353" s="217">
        <v>0.59</v>
      </c>
      <c r="M353" s="157"/>
    </row>
    <row r="354" spans="8:13">
      <c r="H354" s="157"/>
      <c r="I354" s="207">
        <v>2024</v>
      </c>
      <c r="J354" s="259" t="s">
        <v>175</v>
      </c>
      <c r="K354" s="214" t="s">
        <v>244</v>
      </c>
      <c r="L354" s="217">
        <v>0.6</v>
      </c>
      <c r="M354" s="157"/>
    </row>
    <row r="355" spans="8:13">
      <c r="H355" s="157"/>
      <c r="I355" s="207">
        <v>2025</v>
      </c>
      <c r="J355" s="259" t="s">
        <v>175</v>
      </c>
      <c r="K355" s="214" t="s">
        <v>244</v>
      </c>
      <c r="L355" s="217">
        <v>0.61</v>
      </c>
      <c r="M355" s="157"/>
    </row>
    <row r="356" spans="8:13" ht="16" thickBot="1">
      <c r="H356" s="157"/>
      <c r="I356" s="208">
        <v>2026</v>
      </c>
      <c r="J356" s="260" t="s">
        <v>175</v>
      </c>
      <c r="K356" s="215" t="s">
        <v>244</v>
      </c>
      <c r="L356" s="218">
        <v>0.62</v>
      </c>
      <c r="M356" s="157"/>
    </row>
    <row r="357" spans="8:13">
      <c r="I357" s="157"/>
      <c r="J357" s="157"/>
      <c r="K357" s="157"/>
      <c r="L357" s="157"/>
    </row>
    <row r="358" spans="8:13">
      <c r="I358" s="157"/>
      <c r="J358" s="157"/>
      <c r="K358" s="157"/>
      <c r="L358" s="157"/>
    </row>
    <row r="359" spans="8:13" ht="16" thickBot="1">
      <c r="I359" s="157"/>
      <c r="J359" s="157"/>
      <c r="K359" s="157"/>
      <c r="L359" s="157"/>
    </row>
    <row r="360" spans="8:13" ht="33" thickBot="1">
      <c r="H360" s="157"/>
      <c r="I360" s="222" t="s">
        <v>241</v>
      </c>
      <c r="J360" s="594" t="s">
        <v>112</v>
      </c>
      <c r="K360" s="157"/>
      <c r="L360" s="157"/>
    </row>
    <row r="361" spans="8:13">
      <c r="H361" s="157"/>
      <c r="I361" s="223" t="s">
        <v>173</v>
      </c>
      <c r="J361" s="595">
        <v>0.89</v>
      </c>
      <c r="K361" s="157"/>
      <c r="L361" s="157"/>
    </row>
    <row r="362" spans="8:13" ht="16" thickBot="1">
      <c r="H362" s="157"/>
      <c r="I362" s="224" t="s">
        <v>212</v>
      </c>
      <c r="J362" s="596">
        <v>0.92</v>
      </c>
      <c r="K362" s="157"/>
      <c r="L362" s="157"/>
    </row>
    <row r="363" spans="8:13">
      <c r="I363" s="157"/>
      <c r="J363" s="157"/>
      <c r="K363" s="157"/>
      <c r="L363" s="157"/>
    </row>
    <row r="364" spans="8:13">
      <c r="I364" s="157"/>
      <c r="J364" s="157"/>
      <c r="K364" s="157"/>
      <c r="L364" s="157"/>
    </row>
    <row r="365" spans="8:13">
      <c r="I365" s="157"/>
      <c r="J365" s="157"/>
      <c r="K365" s="157"/>
      <c r="L365" s="157"/>
    </row>
    <row r="366" spans="8:13" s="258" customFormat="1">
      <c r="I366" s="258" t="s">
        <v>418</v>
      </c>
    </row>
    <row r="367" spans="8:13">
      <c r="I367" s="157"/>
      <c r="J367" s="157"/>
      <c r="K367" s="157"/>
      <c r="L367" s="157"/>
    </row>
    <row r="368" spans="8:13">
      <c r="I368" s="157"/>
      <c r="J368" s="157"/>
      <c r="K368" s="157"/>
      <c r="L368" s="157"/>
    </row>
    <row r="369" spans="9:12" ht="16" thickBot="1">
      <c r="I369" s="157"/>
      <c r="J369" s="157"/>
      <c r="K369" s="157"/>
      <c r="L369" s="157"/>
    </row>
    <row r="370" spans="9:12" ht="18" thickBot="1">
      <c r="I370" s="212" t="s">
        <v>321</v>
      </c>
      <c r="J370" s="213" t="s">
        <v>242</v>
      </c>
      <c r="K370" s="272" t="s">
        <v>403</v>
      </c>
    </row>
    <row r="371" spans="9:12">
      <c r="I371" s="205">
        <v>2020</v>
      </c>
      <c r="J371" s="225" t="s">
        <v>243</v>
      </c>
      <c r="K371" s="225">
        <f t="shared" ref="K371:K384" si="1">SUMIFS($M$269:$M$324,$I$269:$I$324,I371,$L$269:$L$324,J371)</f>
        <v>842</v>
      </c>
    </row>
    <row r="372" spans="9:12">
      <c r="I372" s="207">
        <v>2021</v>
      </c>
      <c r="J372" s="214" t="s">
        <v>243</v>
      </c>
      <c r="K372" s="214">
        <f t="shared" si="1"/>
        <v>846</v>
      </c>
    </row>
    <row r="373" spans="9:12">
      <c r="I373" s="207">
        <v>2022</v>
      </c>
      <c r="J373" s="214" t="s">
        <v>243</v>
      </c>
      <c r="K373" s="214">
        <f t="shared" si="1"/>
        <v>850</v>
      </c>
      <c r="L373" s="157"/>
    </row>
    <row r="374" spans="9:12">
      <c r="I374" s="207">
        <v>2023</v>
      </c>
      <c r="J374" s="214" t="s">
        <v>243</v>
      </c>
      <c r="K374" s="214">
        <f t="shared" si="1"/>
        <v>854</v>
      </c>
      <c r="L374" s="157"/>
    </row>
    <row r="375" spans="9:12">
      <c r="I375" s="207">
        <v>2024</v>
      </c>
      <c r="J375" s="214" t="s">
        <v>243</v>
      </c>
      <c r="K375" s="214">
        <f t="shared" si="1"/>
        <v>858</v>
      </c>
      <c r="L375" s="157"/>
    </row>
    <row r="376" spans="9:12">
      <c r="I376" s="207">
        <v>2025</v>
      </c>
      <c r="J376" s="214" t="s">
        <v>243</v>
      </c>
      <c r="K376" s="214">
        <f t="shared" si="1"/>
        <v>862</v>
      </c>
      <c r="L376" s="157"/>
    </row>
    <row r="377" spans="9:12">
      <c r="I377" s="207">
        <v>2026</v>
      </c>
      <c r="J377" s="214" t="s">
        <v>243</v>
      </c>
      <c r="K377" s="214">
        <f t="shared" si="1"/>
        <v>866</v>
      </c>
      <c r="L377" s="157"/>
    </row>
    <row r="378" spans="9:12">
      <c r="I378" s="207">
        <v>2020</v>
      </c>
      <c r="J378" s="214" t="s">
        <v>244</v>
      </c>
      <c r="K378" s="214">
        <f t="shared" si="1"/>
        <v>954</v>
      </c>
      <c r="L378" s="157"/>
    </row>
    <row r="379" spans="9:12">
      <c r="I379" s="207">
        <v>2021</v>
      </c>
      <c r="J379" s="214" t="s">
        <v>244</v>
      </c>
      <c r="K379" s="214">
        <f t="shared" si="1"/>
        <v>958</v>
      </c>
      <c r="L379" s="157"/>
    </row>
    <row r="380" spans="9:12">
      <c r="I380" s="207">
        <v>2022</v>
      </c>
      <c r="J380" s="214" t="s">
        <v>244</v>
      </c>
      <c r="K380" s="214">
        <f t="shared" si="1"/>
        <v>962</v>
      </c>
      <c r="L380" s="157"/>
    </row>
    <row r="381" spans="9:12">
      <c r="I381" s="207">
        <v>2023</v>
      </c>
      <c r="J381" s="214" t="s">
        <v>244</v>
      </c>
      <c r="K381" s="214">
        <f t="shared" si="1"/>
        <v>966</v>
      </c>
      <c r="L381" s="157"/>
    </row>
    <row r="382" spans="9:12">
      <c r="I382" s="207">
        <v>2024</v>
      </c>
      <c r="J382" s="214" t="s">
        <v>244</v>
      </c>
      <c r="K382" s="214">
        <f t="shared" si="1"/>
        <v>970</v>
      </c>
      <c r="L382" s="157"/>
    </row>
    <row r="383" spans="9:12">
      <c r="I383" s="207">
        <v>2025</v>
      </c>
      <c r="J383" s="214" t="s">
        <v>244</v>
      </c>
      <c r="K383" s="214">
        <f t="shared" si="1"/>
        <v>974</v>
      </c>
      <c r="L383" s="157"/>
    </row>
    <row r="384" spans="9:12" ht="16" thickBot="1">
      <c r="I384" s="208">
        <v>2026</v>
      </c>
      <c r="J384" s="215" t="s">
        <v>244</v>
      </c>
      <c r="K384" s="215">
        <f t="shared" si="1"/>
        <v>978</v>
      </c>
      <c r="L384" s="157"/>
    </row>
    <row r="385" spans="8:13">
      <c r="I385" s="157"/>
      <c r="J385" s="157"/>
      <c r="K385" s="261">
        <f>SUM(K371:K384)</f>
        <v>12740</v>
      </c>
      <c r="L385" s="157"/>
    </row>
    <row r="386" spans="8:13">
      <c r="I386" s="157"/>
      <c r="J386" s="157"/>
      <c r="K386" s="157"/>
      <c r="L386" s="157"/>
    </row>
    <row r="387" spans="8:13">
      <c r="I387" s="157"/>
      <c r="J387" s="157"/>
      <c r="K387" s="157"/>
      <c r="L387" s="157"/>
    </row>
    <row r="388" spans="8:13">
      <c r="I388" s="157"/>
      <c r="J388" s="157"/>
      <c r="K388" s="157"/>
      <c r="L388" s="157"/>
    </row>
    <row r="390" spans="8:13" ht="15.75" customHeight="1"/>
    <row r="391" spans="8:13" s="258" customFormat="1">
      <c r="I391" s="258" t="s">
        <v>419</v>
      </c>
    </row>
    <row r="393" spans="8:13" ht="16" thickBot="1">
      <c r="I393" s="157"/>
      <c r="J393" s="157"/>
      <c r="K393" s="157"/>
      <c r="L393" s="157"/>
    </row>
    <row r="394" spans="8:13" ht="18" thickBot="1">
      <c r="I394" s="597" t="s">
        <v>47</v>
      </c>
      <c r="K394" s="157"/>
      <c r="L394" s="157"/>
    </row>
    <row r="395" spans="8:13" ht="16" thickBot="1">
      <c r="I395" s="218">
        <v>25</v>
      </c>
      <c r="K395" s="157"/>
      <c r="L395" s="157"/>
    </row>
    <row r="396" spans="8:13">
      <c r="I396" s="157"/>
      <c r="J396" s="157"/>
      <c r="K396" s="157"/>
      <c r="L396" s="157"/>
    </row>
    <row r="397" spans="8:13">
      <c r="I397" s="157"/>
      <c r="J397" s="157"/>
      <c r="K397" s="157"/>
      <c r="L397" s="157"/>
    </row>
    <row r="398" spans="8:13" ht="16" thickBot="1">
      <c r="I398" s="157"/>
      <c r="J398" s="157"/>
      <c r="K398" s="157"/>
      <c r="L398" s="157"/>
    </row>
    <row r="399" spans="8:13" ht="18" thickBot="1">
      <c r="H399" s="157"/>
      <c r="I399" s="205" t="s">
        <v>321</v>
      </c>
      <c r="J399" s="206" t="s">
        <v>242</v>
      </c>
      <c r="K399" s="275" t="s">
        <v>240</v>
      </c>
      <c r="L399" s="598" t="s">
        <v>40</v>
      </c>
      <c r="M399" s="157"/>
    </row>
    <row r="400" spans="8:13">
      <c r="H400" s="157"/>
      <c r="I400" s="205">
        <v>2020</v>
      </c>
      <c r="J400" s="226" t="s">
        <v>243</v>
      </c>
      <c r="K400" s="120" t="s">
        <v>172</v>
      </c>
      <c r="L400" s="235">
        <v>4.9000000000000002E-2</v>
      </c>
      <c r="M400" s="157"/>
    </row>
    <row r="401" spans="8:13">
      <c r="H401" s="157"/>
      <c r="I401" s="207">
        <v>2021</v>
      </c>
      <c r="J401" s="157" t="s">
        <v>243</v>
      </c>
      <c r="K401" s="12" t="s">
        <v>172</v>
      </c>
      <c r="L401" s="217">
        <v>0.05</v>
      </c>
      <c r="M401" s="157"/>
    </row>
    <row r="402" spans="8:13">
      <c r="H402" s="157"/>
      <c r="I402" s="207">
        <v>2022</v>
      </c>
      <c r="J402" s="157" t="s">
        <v>243</v>
      </c>
      <c r="K402" s="12" t="s">
        <v>172</v>
      </c>
      <c r="L402" s="217">
        <v>5.0999999999999997E-2</v>
      </c>
      <c r="M402" s="157"/>
    </row>
    <row r="403" spans="8:13">
      <c r="H403" s="157"/>
      <c r="I403" s="207">
        <v>2023</v>
      </c>
      <c r="J403" s="157" t="s">
        <v>243</v>
      </c>
      <c r="K403" s="12" t="s">
        <v>172</v>
      </c>
      <c r="L403" s="217">
        <v>5.1999999999999998E-2</v>
      </c>
      <c r="M403" s="157"/>
    </row>
    <row r="404" spans="8:13">
      <c r="H404" s="157"/>
      <c r="I404" s="207">
        <v>2024</v>
      </c>
      <c r="J404" s="157" t="s">
        <v>243</v>
      </c>
      <c r="K404" s="12" t="s">
        <v>172</v>
      </c>
      <c r="L404" s="217">
        <v>5.2999999999999999E-2</v>
      </c>
      <c r="M404" s="157"/>
    </row>
    <row r="405" spans="8:13">
      <c r="H405" s="157"/>
      <c r="I405" s="207">
        <v>2025</v>
      </c>
      <c r="J405" s="157" t="s">
        <v>243</v>
      </c>
      <c r="K405" s="12" t="s">
        <v>172</v>
      </c>
      <c r="L405" s="217">
        <v>5.3999999999999999E-2</v>
      </c>
      <c r="M405" s="157"/>
    </row>
    <row r="406" spans="8:13">
      <c r="H406" s="157"/>
      <c r="I406" s="207">
        <v>2026</v>
      </c>
      <c r="J406" s="157" t="s">
        <v>243</v>
      </c>
      <c r="K406" s="12" t="s">
        <v>172</v>
      </c>
      <c r="L406" s="217">
        <v>5.5E-2</v>
      </c>
      <c r="M406" s="157"/>
    </row>
    <row r="407" spans="8:13">
      <c r="H407" s="157"/>
      <c r="I407" s="207">
        <v>2020</v>
      </c>
      <c r="J407" s="157" t="s">
        <v>244</v>
      </c>
      <c r="K407" s="12" t="s">
        <v>172</v>
      </c>
      <c r="L407" s="217">
        <v>5.6000000000000001E-2</v>
      </c>
      <c r="M407" s="157"/>
    </row>
    <row r="408" spans="8:13">
      <c r="H408" s="157"/>
      <c r="I408" s="207">
        <v>2021</v>
      </c>
      <c r="J408" s="157" t="s">
        <v>244</v>
      </c>
      <c r="K408" s="12" t="s">
        <v>172</v>
      </c>
      <c r="L408" s="217">
        <v>5.7000000000000002E-2</v>
      </c>
      <c r="M408" s="157"/>
    </row>
    <row r="409" spans="8:13">
      <c r="H409" s="157"/>
      <c r="I409" s="207">
        <v>2022</v>
      </c>
      <c r="J409" s="157" t="s">
        <v>244</v>
      </c>
      <c r="K409" s="12" t="s">
        <v>172</v>
      </c>
      <c r="L409" s="217">
        <v>5.8000000000000003E-2</v>
      </c>
      <c r="M409" s="157"/>
    </row>
    <row r="410" spans="8:13">
      <c r="H410" s="157"/>
      <c r="I410" s="207">
        <v>2023</v>
      </c>
      <c r="J410" s="157" t="s">
        <v>244</v>
      </c>
      <c r="K410" s="12" t="s">
        <v>172</v>
      </c>
      <c r="L410" s="217">
        <v>5.8999999999999997E-2</v>
      </c>
      <c r="M410" s="157"/>
    </row>
    <row r="411" spans="8:13">
      <c r="H411" s="157"/>
      <c r="I411" s="207">
        <v>2024</v>
      </c>
      <c r="J411" s="157" t="s">
        <v>244</v>
      </c>
      <c r="K411" s="12" t="s">
        <v>172</v>
      </c>
      <c r="L411" s="217">
        <v>0.06</v>
      </c>
      <c r="M411" s="157"/>
    </row>
    <row r="412" spans="8:13">
      <c r="H412" s="157"/>
      <c r="I412" s="207">
        <v>2025</v>
      </c>
      <c r="J412" s="157" t="s">
        <v>244</v>
      </c>
      <c r="K412" s="12" t="s">
        <v>172</v>
      </c>
      <c r="L412" s="217">
        <v>6.0999999999999999E-2</v>
      </c>
      <c r="M412" s="157"/>
    </row>
    <row r="413" spans="8:13">
      <c r="H413" s="157"/>
      <c r="I413" s="207">
        <v>2026</v>
      </c>
      <c r="J413" s="157" t="s">
        <v>244</v>
      </c>
      <c r="K413" s="12" t="s">
        <v>172</v>
      </c>
      <c r="L413" s="217">
        <v>6.2E-2</v>
      </c>
      <c r="M413" s="157"/>
    </row>
    <row r="414" spans="8:13">
      <c r="H414" s="157"/>
      <c r="I414" s="207">
        <v>2020</v>
      </c>
      <c r="J414" s="157" t="s">
        <v>243</v>
      </c>
      <c r="K414" s="259" t="s">
        <v>175</v>
      </c>
      <c r="L414" s="217">
        <v>6.3E-2</v>
      </c>
      <c r="M414" s="157"/>
    </row>
    <row r="415" spans="8:13">
      <c r="H415" s="157"/>
      <c r="I415" s="207">
        <v>2021</v>
      </c>
      <c r="J415" s="157" t="s">
        <v>243</v>
      </c>
      <c r="K415" s="259" t="s">
        <v>175</v>
      </c>
      <c r="L415" s="217">
        <v>6.4000000000000001E-2</v>
      </c>
      <c r="M415" s="157"/>
    </row>
    <row r="416" spans="8:13">
      <c r="H416" s="157"/>
      <c r="I416" s="207">
        <v>2022</v>
      </c>
      <c r="J416" s="157" t="s">
        <v>243</v>
      </c>
      <c r="K416" s="259" t="s">
        <v>175</v>
      </c>
      <c r="L416" s="217">
        <v>6.5000000000000002E-2</v>
      </c>
      <c r="M416" s="157"/>
    </row>
    <row r="417" spans="8:13">
      <c r="H417" s="157"/>
      <c r="I417" s="207">
        <v>2023</v>
      </c>
      <c r="J417" s="157" t="s">
        <v>243</v>
      </c>
      <c r="K417" s="259" t="s">
        <v>175</v>
      </c>
      <c r="L417" s="217">
        <v>6.6000000000000003E-2</v>
      </c>
      <c r="M417" s="157"/>
    </row>
    <row r="418" spans="8:13">
      <c r="H418" s="157"/>
      <c r="I418" s="207">
        <v>2024</v>
      </c>
      <c r="J418" s="157" t="s">
        <v>243</v>
      </c>
      <c r="K418" s="259" t="s">
        <v>175</v>
      </c>
      <c r="L418" s="217">
        <v>6.7000000000000004E-2</v>
      </c>
      <c r="M418" s="157"/>
    </row>
    <row r="419" spans="8:13">
      <c r="H419" s="157"/>
      <c r="I419" s="207">
        <v>2025</v>
      </c>
      <c r="J419" s="157" t="s">
        <v>243</v>
      </c>
      <c r="K419" s="259" t="s">
        <v>175</v>
      </c>
      <c r="L419" s="217">
        <v>6.8000000000000005E-2</v>
      </c>
      <c r="M419" s="157"/>
    </row>
    <row r="420" spans="8:13">
      <c r="H420" s="157"/>
      <c r="I420" s="207">
        <v>2026</v>
      </c>
      <c r="J420" s="157" t="s">
        <v>243</v>
      </c>
      <c r="K420" s="259" t="s">
        <v>175</v>
      </c>
      <c r="L420" s="217">
        <v>6.9000000000000006E-2</v>
      </c>
      <c r="M420" s="157"/>
    </row>
    <row r="421" spans="8:13">
      <c r="H421" s="157"/>
      <c r="I421" s="207">
        <v>2020</v>
      </c>
      <c r="J421" s="157" t="s">
        <v>244</v>
      </c>
      <c r="K421" s="259" t="s">
        <v>175</v>
      </c>
      <c r="L421" s="217">
        <v>7.0000000000000007E-2</v>
      </c>
      <c r="M421" s="157"/>
    </row>
    <row r="422" spans="8:13">
      <c r="H422" s="157"/>
      <c r="I422" s="207">
        <v>2021</v>
      </c>
      <c r="J422" s="157" t="s">
        <v>244</v>
      </c>
      <c r="K422" s="259" t="s">
        <v>175</v>
      </c>
      <c r="L422" s="217">
        <v>7.0999999999999994E-2</v>
      </c>
      <c r="M422" s="157"/>
    </row>
    <row r="423" spans="8:13">
      <c r="H423" s="157"/>
      <c r="I423" s="207">
        <v>2022</v>
      </c>
      <c r="J423" s="157" t="s">
        <v>244</v>
      </c>
      <c r="K423" s="259" t="s">
        <v>175</v>
      </c>
      <c r="L423" s="217">
        <v>7.1999999999999995E-2</v>
      </c>
      <c r="M423" s="157"/>
    </row>
    <row r="424" spans="8:13">
      <c r="H424" s="157"/>
      <c r="I424" s="207">
        <v>2023</v>
      </c>
      <c r="J424" s="157" t="s">
        <v>244</v>
      </c>
      <c r="K424" s="259" t="s">
        <v>175</v>
      </c>
      <c r="L424" s="217">
        <v>7.2999999999999995E-2</v>
      </c>
      <c r="M424" s="157"/>
    </row>
    <row r="425" spans="8:13">
      <c r="H425" s="157"/>
      <c r="I425" s="207">
        <v>2024</v>
      </c>
      <c r="J425" s="157" t="s">
        <v>244</v>
      </c>
      <c r="K425" s="259" t="s">
        <v>175</v>
      </c>
      <c r="L425" s="217">
        <v>7.3999999999999996E-2</v>
      </c>
      <c r="M425" s="157"/>
    </row>
    <row r="426" spans="8:13">
      <c r="H426" s="157"/>
      <c r="I426" s="207">
        <v>2025</v>
      </c>
      <c r="J426" s="157" t="s">
        <v>244</v>
      </c>
      <c r="K426" s="259" t="s">
        <v>175</v>
      </c>
      <c r="L426" s="217">
        <v>7.4999999999999997E-2</v>
      </c>
      <c r="M426" s="157"/>
    </row>
    <row r="427" spans="8:13" ht="16" thickBot="1">
      <c r="H427" s="157"/>
      <c r="I427" s="208">
        <v>2026</v>
      </c>
      <c r="J427" s="211" t="s">
        <v>244</v>
      </c>
      <c r="K427" s="260" t="s">
        <v>175</v>
      </c>
      <c r="L427" s="218">
        <v>7.5999999999999998E-2</v>
      </c>
      <c r="M427" s="157"/>
    </row>
    <row r="428" spans="8:13">
      <c r="I428" s="157"/>
      <c r="J428" s="157"/>
      <c r="K428" s="157"/>
      <c r="L428" s="157"/>
    </row>
    <row r="435" spans="9:12" s="258" customFormat="1">
      <c r="I435" s="258" t="s">
        <v>420</v>
      </c>
    </row>
    <row r="437" spans="9:12" ht="16" thickBot="1"/>
    <row r="438" spans="9:12" ht="18" thickBot="1">
      <c r="I438" s="212" t="s">
        <v>321</v>
      </c>
      <c r="J438" s="213" t="s">
        <v>241</v>
      </c>
      <c r="K438" s="599" t="s">
        <v>99</v>
      </c>
      <c r="L438" s="594" t="s">
        <v>104</v>
      </c>
    </row>
    <row r="439" spans="9:12">
      <c r="I439" s="207">
        <v>2020</v>
      </c>
      <c r="J439" s="12" t="s">
        <v>173</v>
      </c>
      <c r="K439" s="205">
        <v>2</v>
      </c>
      <c r="L439" s="225">
        <v>3</v>
      </c>
    </row>
    <row r="440" spans="9:12">
      <c r="I440" s="207">
        <v>2021</v>
      </c>
      <c r="J440" s="12" t="s">
        <v>173</v>
      </c>
      <c r="K440" s="207">
        <v>3</v>
      </c>
      <c r="L440" s="214">
        <v>4</v>
      </c>
    </row>
    <row r="441" spans="9:12">
      <c r="I441" s="207">
        <v>2022</v>
      </c>
      <c r="J441" s="12" t="s">
        <v>173</v>
      </c>
      <c r="K441" s="207">
        <v>4</v>
      </c>
      <c r="L441" s="214">
        <v>2</v>
      </c>
    </row>
    <row r="442" spans="9:12">
      <c r="I442" s="207">
        <v>2023</v>
      </c>
      <c r="J442" s="12" t="s">
        <v>173</v>
      </c>
      <c r="K442" s="207">
        <v>5</v>
      </c>
      <c r="L442" s="214">
        <v>34</v>
      </c>
    </row>
    <row r="443" spans="9:12">
      <c r="I443" s="207">
        <v>2024</v>
      </c>
      <c r="J443" s="12" t="s">
        <v>173</v>
      </c>
      <c r="K443" s="207">
        <v>6</v>
      </c>
      <c r="L443" s="214">
        <v>5</v>
      </c>
    </row>
    <row r="444" spans="9:12">
      <c r="I444" s="207">
        <v>2025</v>
      </c>
      <c r="J444" s="12" t="s">
        <v>173</v>
      </c>
      <c r="K444" s="207">
        <v>7</v>
      </c>
      <c r="L444" s="214">
        <v>6</v>
      </c>
    </row>
    <row r="445" spans="9:12">
      <c r="I445" s="207">
        <v>2026</v>
      </c>
      <c r="J445" s="12" t="s">
        <v>173</v>
      </c>
      <c r="K445" s="207">
        <v>8</v>
      </c>
      <c r="L445" s="214">
        <v>7</v>
      </c>
    </row>
    <row r="446" spans="9:12">
      <c r="I446" s="207">
        <v>2020</v>
      </c>
      <c r="J446" s="12" t="s">
        <v>212</v>
      </c>
      <c r="K446" s="207">
        <v>9</v>
      </c>
      <c r="L446" s="214">
        <v>5</v>
      </c>
    </row>
    <row r="447" spans="9:12">
      <c r="I447" s="207">
        <v>2021</v>
      </c>
      <c r="J447" s="12" t="s">
        <v>212</v>
      </c>
      <c r="K447" s="207">
        <v>10</v>
      </c>
      <c r="L447" s="214">
        <v>3</v>
      </c>
    </row>
    <row r="448" spans="9:12">
      <c r="I448" s="207">
        <v>2022</v>
      </c>
      <c r="J448" s="12" t="s">
        <v>212</v>
      </c>
      <c r="K448" s="207">
        <v>1</v>
      </c>
      <c r="L448" s="214">
        <v>2</v>
      </c>
    </row>
    <row r="449" spans="8:13">
      <c r="I449" s="207">
        <v>2023</v>
      </c>
      <c r="J449" s="12" t="s">
        <v>212</v>
      </c>
      <c r="K449" s="207">
        <v>2</v>
      </c>
      <c r="L449" s="214">
        <v>2</v>
      </c>
    </row>
    <row r="450" spans="8:13">
      <c r="I450" s="207">
        <v>2024</v>
      </c>
      <c r="J450" s="12" t="s">
        <v>212</v>
      </c>
      <c r="K450" s="207">
        <v>3</v>
      </c>
      <c r="L450" s="214">
        <v>3</v>
      </c>
    </row>
    <row r="451" spans="8:13">
      <c r="I451" s="207">
        <v>2025</v>
      </c>
      <c r="J451" s="12" t="s">
        <v>212</v>
      </c>
      <c r="K451" s="207">
        <v>4</v>
      </c>
      <c r="L451" s="214">
        <v>5</v>
      </c>
    </row>
    <row r="452" spans="8:13" ht="16" thickBot="1">
      <c r="I452" s="208">
        <v>2026</v>
      </c>
      <c r="J452" s="210" t="s">
        <v>212</v>
      </c>
      <c r="K452" s="208">
        <v>5</v>
      </c>
      <c r="L452" s="215">
        <v>5</v>
      </c>
    </row>
    <row r="458" spans="8:13" s="258" customFormat="1">
      <c r="I458" s="258" t="s">
        <v>421</v>
      </c>
    </row>
    <row r="461" spans="8:13" ht="16" thickBot="1">
      <c r="I461" s="157"/>
      <c r="J461" s="157"/>
      <c r="K461" s="157"/>
      <c r="L461" s="147" t="s">
        <v>410</v>
      </c>
    </row>
    <row r="462" spans="8:13" ht="18" thickBot="1">
      <c r="H462" s="157"/>
      <c r="I462" s="256" t="s">
        <v>233</v>
      </c>
      <c r="J462" s="242" t="s">
        <v>241</v>
      </c>
      <c r="K462" s="264" t="s">
        <v>240</v>
      </c>
      <c r="L462" s="257" t="s">
        <v>411</v>
      </c>
      <c r="M462" s="157"/>
    </row>
    <row r="463" spans="8:13">
      <c r="H463" s="157"/>
      <c r="I463" s="620">
        <v>2020</v>
      </c>
      <c r="J463" s="621" t="s">
        <v>173</v>
      </c>
      <c r="K463" s="622" t="s">
        <v>175</v>
      </c>
      <c r="L463" s="375">
        <v>0</v>
      </c>
      <c r="M463" s="157"/>
    </row>
    <row r="464" spans="8:13">
      <c r="H464" s="157"/>
      <c r="I464" s="620">
        <v>2021</v>
      </c>
      <c r="J464" s="621" t="s">
        <v>173</v>
      </c>
      <c r="K464" s="622" t="s">
        <v>175</v>
      </c>
      <c r="L464" s="320">
        <v>0</v>
      </c>
      <c r="M464" s="157"/>
    </row>
    <row r="465" spans="8:13">
      <c r="H465" s="157"/>
      <c r="I465" s="620">
        <v>2022</v>
      </c>
      <c r="J465" s="621" t="s">
        <v>173</v>
      </c>
      <c r="K465" s="622" t="s">
        <v>175</v>
      </c>
      <c r="L465" s="320">
        <v>0</v>
      </c>
      <c r="M465" s="157"/>
    </row>
    <row r="466" spans="8:13">
      <c r="H466" s="157"/>
      <c r="I466" s="620">
        <v>2023</v>
      </c>
      <c r="J466" s="621" t="s">
        <v>173</v>
      </c>
      <c r="K466" s="622" t="s">
        <v>175</v>
      </c>
      <c r="L466" s="320">
        <v>0</v>
      </c>
      <c r="M466" s="157"/>
    </row>
    <row r="467" spans="8:13">
      <c r="H467" s="157"/>
      <c r="I467" s="620">
        <v>2024</v>
      </c>
      <c r="J467" s="621" t="s">
        <v>173</v>
      </c>
      <c r="K467" s="622" t="s">
        <v>175</v>
      </c>
      <c r="L467" s="320">
        <v>0</v>
      </c>
      <c r="M467" s="157"/>
    </row>
    <row r="468" spans="8:13">
      <c r="H468" s="157"/>
      <c r="I468" s="620">
        <v>2025</v>
      </c>
      <c r="J468" s="621" t="s">
        <v>173</v>
      </c>
      <c r="K468" s="622" t="s">
        <v>175</v>
      </c>
      <c r="L468" s="320">
        <v>0</v>
      </c>
      <c r="M468" s="157"/>
    </row>
    <row r="469" spans="8:13">
      <c r="H469" s="157"/>
      <c r="I469" s="620">
        <v>2026</v>
      </c>
      <c r="J469" s="621" t="s">
        <v>173</v>
      </c>
      <c r="K469" s="622" t="s">
        <v>175</v>
      </c>
      <c r="L469" s="320">
        <v>0</v>
      </c>
      <c r="M469" s="157"/>
    </row>
    <row r="470" spans="8:13">
      <c r="H470" s="157"/>
      <c r="I470" s="620">
        <v>2020</v>
      </c>
      <c r="J470" s="621" t="s">
        <v>212</v>
      </c>
      <c r="K470" s="622" t="s">
        <v>175</v>
      </c>
      <c r="L470" s="320">
        <v>0</v>
      </c>
      <c r="M470" s="157"/>
    </row>
    <row r="471" spans="8:13">
      <c r="H471" s="157"/>
      <c r="I471" s="620">
        <v>2021</v>
      </c>
      <c r="J471" s="621" t="s">
        <v>212</v>
      </c>
      <c r="K471" s="622" t="s">
        <v>175</v>
      </c>
      <c r="L471" s="320">
        <v>0</v>
      </c>
      <c r="M471" s="157"/>
    </row>
    <row r="472" spans="8:13">
      <c r="H472" s="157"/>
      <c r="I472" s="620">
        <v>2022</v>
      </c>
      <c r="J472" s="621" t="s">
        <v>212</v>
      </c>
      <c r="K472" s="622" t="s">
        <v>175</v>
      </c>
      <c r="L472" s="320">
        <v>0</v>
      </c>
      <c r="M472" s="157"/>
    </row>
    <row r="473" spans="8:13">
      <c r="H473" s="157"/>
      <c r="I473" s="620">
        <v>2023</v>
      </c>
      <c r="J473" s="621" t="s">
        <v>212</v>
      </c>
      <c r="K473" s="622" t="s">
        <v>175</v>
      </c>
      <c r="L473" s="320">
        <v>0</v>
      </c>
      <c r="M473" s="157"/>
    </row>
    <row r="474" spans="8:13">
      <c r="H474" s="157"/>
      <c r="I474" s="620">
        <v>2024</v>
      </c>
      <c r="J474" s="621" t="s">
        <v>212</v>
      </c>
      <c r="K474" s="622" t="s">
        <v>175</v>
      </c>
      <c r="L474" s="320">
        <v>0</v>
      </c>
      <c r="M474" s="157"/>
    </row>
    <row r="475" spans="8:13">
      <c r="H475" s="157"/>
      <c r="I475" s="620">
        <v>2025</v>
      </c>
      <c r="J475" s="621" t="s">
        <v>212</v>
      </c>
      <c r="K475" s="622" t="s">
        <v>175</v>
      </c>
      <c r="L475" s="320">
        <v>0</v>
      </c>
      <c r="M475" s="157"/>
    </row>
    <row r="476" spans="8:13">
      <c r="H476" s="157"/>
      <c r="I476" s="620">
        <v>2026</v>
      </c>
      <c r="J476" s="621" t="s">
        <v>212</v>
      </c>
      <c r="K476" s="622" t="s">
        <v>175</v>
      </c>
      <c r="L476" s="320">
        <v>0</v>
      </c>
      <c r="M476" s="157"/>
    </row>
    <row r="477" spans="8:13">
      <c r="H477" s="157"/>
      <c r="I477" s="620">
        <v>2020</v>
      </c>
      <c r="J477" s="621" t="s">
        <v>173</v>
      </c>
      <c r="K477" s="623" t="s">
        <v>172</v>
      </c>
      <c r="L477" s="320">
        <v>0</v>
      </c>
      <c r="M477" s="157"/>
    </row>
    <row r="478" spans="8:13">
      <c r="H478" s="157"/>
      <c r="I478" s="620">
        <v>2021</v>
      </c>
      <c r="J478" s="621" t="s">
        <v>173</v>
      </c>
      <c r="K478" s="623" t="s">
        <v>172</v>
      </c>
      <c r="L478" s="320">
        <v>0</v>
      </c>
      <c r="M478" s="157"/>
    </row>
    <row r="479" spans="8:13">
      <c r="H479" s="157"/>
      <c r="I479" s="620">
        <v>2022</v>
      </c>
      <c r="J479" s="621" t="s">
        <v>173</v>
      </c>
      <c r="K479" s="623" t="s">
        <v>172</v>
      </c>
      <c r="L479" s="320">
        <v>0</v>
      </c>
      <c r="M479" s="157"/>
    </row>
    <row r="480" spans="8:13">
      <c r="H480" s="157"/>
      <c r="I480" s="620">
        <v>2023</v>
      </c>
      <c r="J480" s="621" t="s">
        <v>173</v>
      </c>
      <c r="K480" s="623" t="s">
        <v>172</v>
      </c>
      <c r="L480" s="320">
        <v>0</v>
      </c>
      <c r="M480" s="157"/>
    </row>
    <row r="481" spans="8:13">
      <c r="H481" s="157"/>
      <c r="I481" s="620">
        <v>2024</v>
      </c>
      <c r="J481" s="621" t="s">
        <v>173</v>
      </c>
      <c r="K481" s="623" t="s">
        <v>172</v>
      </c>
      <c r="L481" s="320">
        <v>0</v>
      </c>
      <c r="M481" s="157"/>
    </row>
    <row r="482" spans="8:13">
      <c r="H482" s="157"/>
      <c r="I482" s="620">
        <v>2025</v>
      </c>
      <c r="J482" s="621" t="s">
        <v>173</v>
      </c>
      <c r="K482" s="623" t="s">
        <v>172</v>
      </c>
      <c r="L482" s="320">
        <v>0</v>
      </c>
      <c r="M482" s="157"/>
    </row>
    <row r="483" spans="8:13">
      <c r="H483" s="157"/>
      <c r="I483" s="620">
        <v>2026</v>
      </c>
      <c r="J483" s="621" t="s">
        <v>173</v>
      </c>
      <c r="K483" s="623" t="s">
        <v>172</v>
      </c>
      <c r="L483" s="320">
        <v>0</v>
      </c>
      <c r="M483" s="157"/>
    </row>
    <row r="484" spans="8:13">
      <c r="H484" s="157"/>
      <c r="I484" s="620">
        <v>2020</v>
      </c>
      <c r="J484" s="621" t="s">
        <v>212</v>
      </c>
      <c r="K484" s="623" t="s">
        <v>172</v>
      </c>
      <c r="L484" s="320">
        <v>0</v>
      </c>
      <c r="M484" s="157"/>
    </row>
    <row r="485" spans="8:13">
      <c r="H485" s="157"/>
      <c r="I485" s="620">
        <v>2021</v>
      </c>
      <c r="J485" s="621" t="s">
        <v>212</v>
      </c>
      <c r="K485" s="623" t="s">
        <v>172</v>
      </c>
      <c r="L485" s="320">
        <v>0</v>
      </c>
      <c r="M485" s="157"/>
    </row>
    <row r="486" spans="8:13">
      <c r="H486" s="157"/>
      <c r="I486" s="620">
        <v>2022</v>
      </c>
      <c r="J486" s="621" t="s">
        <v>212</v>
      </c>
      <c r="K486" s="623" t="s">
        <v>172</v>
      </c>
      <c r="L486" s="320">
        <v>0</v>
      </c>
      <c r="M486" s="157"/>
    </row>
    <row r="487" spans="8:13">
      <c r="H487" s="157"/>
      <c r="I487" s="620">
        <v>2023</v>
      </c>
      <c r="J487" s="621" t="s">
        <v>212</v>
      </c>
      <c r="K487" s="623" t="s">
        <v>172</v>
      </c>
      <c r="L487" s="320">
        <v>0</v>
      </c>
      <c r="M487" s="157"/>
    </row>
    <row r="488" spans="8:13">
      <c r="H488" s="157"/>
      <c r="I488" s="620">
        <v>2024</v>
      </c>
      <c r="J488" s="621" t="s">
        <v>212</v>
      </c>
      <c r="K488" s="623" t="s">
        <v>172</v>
      </c>
      <c r="L488" s="320">
        <v>0</v>
      </c>
      <c r="M488" s="157"/>
    </row>
    <row r="489" spans="8:13">
      <c r="H489" s="157"/>
      <c r="I489" s="620">
        <v>2025</v>
      </c>
      <c r="J489" s="621" t="s">
        <v>212</v>
      </c>
      <c r="K489" s="623" t="s">
        <v>172</v>
      </c>
      <c r="L489" s="320">
        <v>0</v>
      </c>
      <c r="M489" s="157"/>
    </row>
    <row r="490" spans="8:13" ht="16" thickBot="1">
      <c r="H490" s="157"/>
      <c r="I490" s="624">
        <v>2026</v>
      </c>
      <c r="J490" s="625" t="s">
        <v>212</v>
      </c>
      <c r="K490" s="626" t="s">
        <v>172</v>
      </c>
      <c r="L490" s="602">
        <v>0</v>
      </c>
      <c r="M490" s="157"/>
    </row>
    <row r="491" spans="8:13">
      <c r="H491" s="157"/>
      <c r="I491" s="157"/>
      <c r="J491" s="12"/>
      <c r="K491" s="157"/>
      <c r="M491" s="157"/>
    </row>
    <row r="492" spans="8:13">
      <c r="H492" s="157"/>
      <c r="I492" s="157"/>
      <c r="J492" s="12"/>
      <c r="K492" s="157"/>
      <c r="M492" s="157"/>
    </row>
    <row r="493" spans="8:13">
      <c r="H493" s="157"/>
      <c r="I493" s="157"/>
      <c r="J493" s="12"/>
      <c r="K493" s="157"/>
      <c r="M493" s="157"/>
    </row>
    <row r="494" spans="8:13">
      <c r="H494" s="157"/>
      <c r="I494" s="157"/>
      <c r="J494" s="12"/>
      <c r="K494" s="157"/>
      <c r="M494" s="157"/>
    </row>
    <row r="495" spans="8:13">
      <c r="H495" s="157"/>
      <c r="I495" s="157"/>
      <c r="J495" s="12"/>
      <c r="K495" s="157"/>
      <c r="M495" s="157"/>
    </row>
    <row r="496" spans="8:13">
      <c r="I496" s="157"/>
      <c r="J496" s="157"/>
      <c r="K496" s="157"/>
      <c r="L496" s="157"/>
    </row>
    <row r="500" spans="8:14" s="258" customFormat="1">
      <c r="I500" s="258" t="s">
        <v>422</v>
      </c>
    </row>
    <row r="503" spans="8:14">
      <c r="I503" s="157"/>
      <c r="J503" s="157"/>
      <c r="K503" s="157"/>
      <c r="L503" s="157"/>
      <c r="M503" s="157"/>
    </row>
    <row r="504" spans="8:14" ht="17">
      <c r="H504" s="157"/>
      <c r="I504" s="235" t="s">
        <v>321</v>
      </c>
      <c r="J504" s="593" t="s">
        <v>52</v>
      </c>
      <c r="K504" s="157"/>
      <c r="N504" s="157"/>
    </row>
    <row r="505" spans="8:14">
      <c r="H505" s="157"/>
      <c r="I505" s="627">
        <v>2020</v>
      </c>
      <c r="J505" s="235">
        <v>5</v>
      </c>
      <c r="K505" s="157"/>
      <c r="N505" s="157"/>
    </row>
    <row r="506" spans="8:14">
      <c r="H506" s="157"/>
      <c r="I506" s="628">
        <v>2021</v>
      </c>
      <c r="J506" s="217">
        <v>2.0314000000000001</v>
      </c>
      <c r="K506" s="157"/>
      <c r="N506" s="157"/>
    </row>
    <row r="507" spans="8:14">
      <c r="H507" s="157"/>
      <c r="I507" s="628">
        <v>2022</v>
      </c>
      <c r="J507" s="217">
        <v>6</v>
      </c>
      <c r="K507" s="157"/>
      <c r="N507" s="157"/>
    </row>
    <row r="508" spans="8:14">
      <c r="H508" s="157"/>
      <c r="I508" s="628">
        <v>2023</v>
      </c>
      <c r="J508" s="217">
        <v>6.3213999999999997</v>
      </c>
      <c r="K508" s="157"/>
      <c r="N508" s="157"/>
    </row>
    <row r="509" spans="8:14">
      <c r="H509" s="157"/>
      <c r="I509" s="628">
        <v>2024</v>
      </c>
      <c r="J509" s="217">
        <v>2</v>
      </c>
      <c r="K509" s="157"/>
      <c r="N509" s="157"/>
    </row>
    <row r="510" spans="8:14">
      <c r="H510" s="157"/>
      <c r="I510" s="628">
        <v>2025</v>
      </c>
      <c r="J510" s="217">
        <v>0.21354000000000001</v>
      </c>
      <c r="K510" s="157"/>
      <c r="N510" s="157"/>
    </row>
    <row r="511" spans="8:14">
      <c r="H511" s="157"/>
      <c r="I511" s="629">
        <v>2026</v>
      </c>
      <c r="J511" s="218">
        <v>4</v>
      </c>
      <c r="K511" s="157"/>
      <c r="N511" s="157"/>
    </row>
    <row r="512" spans="8:14">
      <c r="I512" s="157"/>
      <c r="J512" s="157"/>
    </row>
    <row r="513" spans="9:11">
      <c r="I513" s="157"/>
    </row>
    <row r="514" spans="9:11">
      <c r="I514" s="157"/>
    </row>
    <row r="515" spans="9:11" ht="17">
      <c r="I515" s="235" t="s">
        <v>321</v>
      </c>
      <c r="J515" s="593" t="s">
        <v>55</v>
      </c>
    </row>
    <row r="516" spans="9:11">
      <c r="I516" s="205">
        <v>2020</v>
      </c>
      <c r="J516" s="235">
        <v>3</v>
      </c>
      <c r="K516" s="157"/>
    </row>
    <row r="517" spans="9:11">
      <c r="I517" s="207">
        <v>2021</v>
      </c>
      <c r="J517" s="217">
        <v>4</v>
      </c>
      <c r="K517" s="157"/>
    </row>
    <row r="518" spans="9:11">
      <c r="I518" s="207">
        <v>2022</v>
      </c>
      <c r="J518" s="217">
        <v>5.0324</v>
      </c>
      <c r="K518" s="157"/>
    </row>
    <row r="519" spans="9:11">
      <c r="I519" s="207">
        <v>2023</v>
      </c>
      <c r="J519" s="217">
        <v>6</v>
      </c>
      <c r="K519" s="157"/>
    </row>
    <row r="520" spans="9:11">
      <c r="I520" s="207">
        <v>2024</v>
      </c>
      <c r="J520" s="217">
        <v>1</v>
      </c>
      <c r="K520" s="157"/>
    </row>
    <row r="521" spans="9:11">
      <c r="I521" s="207">
        <v>2025</v>
      </c>
      <c r="J521" s="217">
        <v>3</v>
      </c>
      <c r="K521" s="157"/>
    </row>
    <row r="522" spans="9:11">
      <c r="I522" s="208">
        <v>2026</v>
      </c>
      <c r="J522" s="218">
        <v>1.0254000000000001</v>
      </c>
      <c r="K522" s="157"/>
    </row>
    <row r="523" spans="9:11">
      <c r="I523" s="157"/>
      <c r="J523" s="157"/>
    </row>
    <row r="524" spans="9:11">
      <c r="I524" s="157"/>
    </row>
    <row r="525" spans="9:11">
      <c r="I525" s="157"/>
    </row>
    <row r="526" spans="9:11" ht="17">
      <c r="I526" s="235" t="s">
        <v>321</v>
      </c>
      <c r="J526" s="593" t="s">
        <v>60</v>
      </c>
    </row>
    <row r="527" spans="9:11">
      <c r="I527" s="205">
        <v>2020</v>
      </c>
      <c r="J527" s="235">
        <v>0</v>
      </c>
      <c r="K527" s="157"/>
    </row>
    <row r="528" spans="9:11">
      <c r="I528" s="207">
        <v>2021</v>
      </c>
      <c r="J528" s="217">
        <v>100.2325</v>
      </c>
      <c r="K528" s="157"/>
    </row>
    <row r="529" spans="9:11">
      <c r="I529" s="207">
        <v>2022</v>
      </c>
      <c r="J529" s="217">
        <v>2</v>
      </c>
      <c r="K529" s="157"/>
    </row>
    <row r="530" spans="9:11">
      <c r="I530" s="207">
        <v>2023</v>
      </c>
      <c r="J530" s="217">
        <v>3</v>
      </c>
      <c r="K530" s="157"/>
    </row>
    <row r="531" spans="9:11">
      <c r="I531" s="207">
        <v>2024</v>
      </c>
      <c r="J531" s="217">
        <v>1</v>
      </c>
      <c r="K531" s="157"/>
    </row>
    <row r="532" spans="9:11">
      <c r="I532" s="207">
        <v>2025</v>
      </c>
      <c r="J532" s="217">
        <v>0</v>
      </c>
      <c r="K532" s="157"/>
    </row>
    <row r="533" spans="9:11">
      <c r="I533" s="208">
        <v>2026</v>
      </c>
      <c r="J533" s="218">
        <v>1</v>
      </c>
      <c r="K533" s="157"/>
    </row>
    <row r="534" spans="9:11">
      <c r="I534" s="157"/>
      <c r="J534" s="157"/>
    </row>
    <row r="535" spans="9:11">
      <c r="I535" s="157"/>
    </row>
    <row r="536" spans="9:11">
      <c r="I536" s="157"/>
    </row>
    <row r="537" spans="9:11" ht="17">
      <c r="I537" s="235" t="s">
        <v>321</v>
      </c>
      <c r="J537" s="593" t="s">
        <v>57</v>
      </c>
    </row>
    <row r="538" spans="9:11">
      <c r="I538" s="205">
        <v>2020</v>
      </c>
      <c r="J538" s="235">
        <v>1.321012458</v>
      </c>
      <c r="K538" s="157"/>
    </row>
    <row r="539" spans="9:11">
      <c r="I539" s="207">
        <v>2021</v>
      </c>
      <c r="J539" s="217">
        <v>4</v>
      </c>
      <c r="K539" s="157"/>
    </row>
    <row r="540" spans="9:11">
      <c r="I540" s="207">
        <v>2022</v>
      </c>
      <c r="J540" s="217">
        <v>5</v>
      </c>
      <c r="K540" s="157"/>
    </row>
    <row r="541" spans="9:11">
      <c r="I541" s="207">
        <v>2023</v>
      </c>
      <c r="J541" s="217">
        <v>3</v>
      </c>
      <c r="K541" s="157"/>
    </row>
    <row r="542" spans="9:11">
      <c r="I542" s="207">
        <v>2024</v>
      </c>
      <c r="J542" s="217">
        <v>5</v>
      </c>
      <c r="K542" s="157"/>
    </row>
    <row r="543" spans="9:11">
      <c r="I543" s="207">
        <v>2025</v>
      </c>
      <c r="J543" s="217">
        <v>2.32145</v>
      </c>
      <c r="K543" s="157"/>
    </row>
    <row r="544" spans="9:11">
      <c r="I544" s="208">
        <v>2026</v>
      </c>
      <c r="J544" s="218">
        <v>4</v>
      </c>
      <c r="K544" s="157"/>
    </row>
    <row r="545" spans="9:10">
      <c r="I545" s="157"/>
      <c r="J545" s="157"/>
    </row>
    <row r="546" spans="9:10">
      <c r="I546" s="157"/>
    </row>
    <row r="547" spans="9:10">
      <c r="I547" s="157"/>
    </row>
    <row r="548" spans="9:10">
      <c r="I548" s="157"/>
    </row>
    <row r="551" spans="9:10" s="258" customFormat="1">
      <c r="I551" s="258" t="s">
        <v>423</v>
      </c>
    </row>
    <row r="554" spans="9:10" ht="16" thickBot="1">
      <c r="J554" s="147" t="s">
        <v>414</v>
      </c>
    </row>
    <row r="555" spans="9:10" ht="19" thickBot="1">
      <c r="I555" s="216" t="s">
        <v>233</v>
      </c>
      <c r="J555" s="156" t="s">
        <v>142</v>
      </c>
    </row>
    <row r="556" spans="9:10">
      <c r="I556" s="217">
        <v>2020</v>
      </c>
      <c r="J556" s="153">
        <v>0</v>
      </c>
    </row>
    <row r="557" spans="9:10">
      <c r="I557" s="217">
        <v>2021</v>
      </c>
      <c r="J557" s="153">
        <v>0</v>
      </c>
    </row>
    <row r="558" spans="9:10">
      <c r="I558" s="217">
        <v>2022</v>
      </c>
      <c r="J558" s="153">
        <v>0</v>
      </c>
    </row>
    <row r="559" spans="9:10">
      <c r="I559" s="217">
        <v>2023</v>
      </c>
      <c r="J559" s="153">
        <v>0</v>
      </c>
    </row>
    <row r="560" spans="9:10">
      <c r="I560" s="217">
        <v>2024</v>
      </c>
      <c r="J560" s="153">
        <v>0</v>
      </c>
    </row>
    <row r="561" spans="8:13">
      <c r="I561" s="217">
        <v>2025</v>
      </c>
      <c r="J561" s="153">
        <v>0</v>
      </c>
    </row>
    <row r="562" spans="8:13" ht="16" thickBot="1">
      <c r="I562" s="218">
        <v>2026</v>
      </c>
      <c r="J562" s="155">
        <v>0</v>
      </c>
    </row>
    <row r="567" spans="8:13" s="258" customFormat="1">
      <c r="I567" s="258" t="s">
        <v>424</v>
      </c>
    </row>
    <row r="570" spans="8:13">
      <c r="I570" s="157"/>
      <c r="J570" s="157"/>
      <c r="K570" s="157"/>
      <c r="L570" s="157"/>
    </row>
    <row r="571" spans="8:13" ht="17">
      <c r="H571" s="157"/>
      <c r="I571" s="396" t="s">
        <v>335</v>
      </c>
      <c r="J571" s="397" t="s">
        <v>340</v>
      </c>
      <c r="K571" s="213" t="s">
        <v>242</v>
      </c>
      <c r="L571" s="412" t="s">
        <v>425</v>
      </c>
      <c r="M571" s="157"/>
    </row>
    <row r="572" spans="8:13">
      <c r="H572" s="157"/>
      <c r="I572" s="348">
        <v>2020</v>
      </c>
      <c r="J572" s="350" t="s">
        <v>348</v>
      </c>
      <c r="K572" s="157" t="s">
        <v>243</v>
      </c>
      <c r="L572" s="235">
        <v>2.0099999999999998</v>
      </c>
      <c r="M572" s="157"/>
    </row>
    <row r="573" spans="8:13">
      <c r="H573" s="157"/>
      <c r="I573" s="348">
        <v>2021</v>
      </c>
      <c r="J573" s="350" t="s">
        <v>348</v>
      </c>
      <c r="K573" s="157" t="s">
        <v>243</v>
      </c>
      <c r="L573" s="217">
        <v>2.0110000000000001</v>
      </c>
      <c r="M573" s="157"/>
    </row>
    <row r="574" spans="8:13">
      <c r="H574" s="157"/>
      <c r="I574" s="348">
        <v>2022</v>
      </c>
      <c r="J574" s="350" t="s">
        <v>348</v>
      </c>
      <c r="K574" s="157" t="s">
        <v>243</v>
      </c>
      <c r="L574" s="217">
        <v>2.012</v>
      </c>
      <c r="M574" s="157"/>
    </row>
    <row r="575" spans="8:13">
      <c r="H575" s="157"/>
      <c r="I575" s="348">
        <v>2023</v>
      </c>
      <c r="J575" s="350" t="s">
        <v>348</v>
      </c>
      <c r="K575" s="157" t="s">
        <v>243</v>
      </c>
      <c r="L575" s="217">
        <v>2.0129999999999999</v>
      </c>
      <c r="M575" s="157"/>
    </row>
    <row r="576" spans="8:13">
      <c r="H576" s="157"/>
      <c r="I576" s="348">
        <v>2024</v>
      </c>
      <c r="J576" s="350" t="s">
        <v>348</v>
      </c>
      <c r="K576" s="157" t="s">
        <v>243</v>
      </c>
      <c r="L576" s="217">
        <v>2.0139999999999998</v>
      </c>
      <c r="M576" s="157"/>
    </row>
    <row r="577" spans="8:13">
      <c r="H577" s="157"/>
      <c r="I577" s="348">
        <v>2025</v>
      </c>
      <c r="J577" s="350" t="s">
        <v>348</v>
      </c>
      <c r="K577" s="157" t="s">
        <v>243</v>
      </c>
      <c r="L577" s="217">
        <v>2.0150000000000001</v>
      </c>
      <c r="M577" s="157"/>
    </row>
    <row r="578" spans="8:13">
      <c r="H578" s="157"/>
      <c r="I578" s="348">
        <v>2026</v>
      </c>
      <c r="J578" s="350" t="s">
        <v>348</v>
      </c>
      <c r="K578" s="157" t="s">
        <v>243</v>
      </c>
      <c r="L578" s="217">
        <v>2.016</v>
      </c>
      <c r="M578" s="157"/>
    </row>
    <row r="579" spans="8:13">
      <c r="H579" s="157"/>
      <c r="I579" s="348">
        <v>2020</v>
      </c>
      <c r="J579" s="350" t="s">
        <v>349</v>
      </c>
      <c r="K579" s="157" t="s">
        <v>243</v>
      </c>
      <c r="L579" s="217">
        <v>2.0169999999999999</v>
      </c>
      <c r="M579" s="157"/>
    </row>
    <row r="580" spans="8:13">
      <c r="H580" s="157"/>
      <c r="I580" s="348">
        <v>2021</v>
      </c>
      <c r="J580" s="350" t="s">
        <v>349</v>
      </c>
      <c r="K580" s="157" t="s">
        <v>243</v>
      </c>
      <c r="L580" s="217">
        <v>2.0179999999999998</v>
      </c>
      <c r="M580" s="157"/>
    </row>
    <row r="581" spans="8:13">
      <c r="H581" s="157"/>
      <c r="I581" s="348">
        <v>2022</v>
      </c>
      <c r="J581" s="350" t="s">
        <v>349</v>
      </c>
      <c r="K581" s="157" t="s">
        <v>243</v>
      </c>
      <c r="L581" s="217">
        <v>2.0190000000000001</v>
      </c>
      <c r="M581" s="157"/>
    </row>
    <row r="582" spans="8:13">
      <c r="H582" s="157"/>
      <c r="I582" s="348">
        <v>2023</v>
      </c>
      <c r="J582" s="350" t="s">
        <v>349</v>
      </c>
      <c r="K582" s="157" t="s">
        <v>243</v>
      </c>
      <c r="L582" s="217">
        <v>2.02</v>
      </c>
      <c r="M582" s="157"/>
    </row>
    <row r="583" spans="8:13">
      <c r="H583" s="157"/>
      <c r="I583" s="348">
        <v>2024</v>
      </c>
      <c r="J583" s="350" t="s">
        <v>349</v>
      </c>
      <c r="K583" s="157" t="s">
        <v>243</v>
      </c>
      <c r="L583" s="217">
        <v>2.0209999999999999</v>
      </c>
      <c r="M583" s="157"/>
    </row>
    <row r="584" spans="8:13">
      <c r="H584" s="157"/>
      <c r="I584" s="348">
        <v>2025</v>
      </c>
      <c r="J584" s="350" t="s">
        <v>349</v>
      </c>
      <c r="K584" s="157" t="s">
        <v>243</v>
      </c>
      <c r="L584" s="217">
        <v>2.0219999999999998</v>
      </c>
      <c r="M584" s="157"/>
    </row>
    <row r="585" spans="8:13">
      <c r="H585" s="157"/>
      <c r="I585" s="348">
        <v>2026</v>
      </c>
      <c r="J585" s="350" t="s">
        <v>349</v>
      </c>
      <c r="K585" s="157" t="s">
        <v>243</v>
      </c>
      <c r="L585" s="217">
        <v>2.0230000000000001</v>
      </c>
      <c r="M585" s="157"/>
    </row>
    <row r="586" spans="8:13">
      <c r="H586" s="157"/>
      <c r="I586" s="348">
        <v>2020</v>
      </c>
      <c r="J586" s="350" t="s">
        <v>348</v>
      </c>
      <c r="K586" s="157" t="s">
        <v>244</v>
      </c>
      <c r="L586" s="217">
        <v>2.024</v>
      </c>
      <c r="M586" s="157"/>
    </row>
    <row r="587" spans="8:13">
      <c r="H587" s="157"/>
      <c r="I587" s="348">
        <v>2021</v>
      </c>
      <c r="J587" s="350" t="s">
        <v>348</v>
      </c>
      <c r="K587" s="157" t="s">
        <v>244</v>
      </c>
      <c r="L587" s="217">
        <v>2.0249999999999999</v>
      </c>
      <c r="M587" s="157"/>
    </row>
    <row r="588" spans="8:13">
      <c r="H588" s="157"/>
      <c r="I588" s="348">
        <v>2022</v>
      </c>
      <c r="J588" s="350" t="s">
        <v>348</v>
      </c>
      <c r="K588" s="157" t="s">
        <v>244</v>
      </c>
      <c r="L588" s="217">
        <v>2.02600000000001</v>
      </c>
      <c r="M588" s="157"/>
    </row>
    <row r="589" spans="8:13">
      <c r="H589" s="157"/>
      <c r="I589" s="348">
        <v>2023</v>
      </c>
      <c r="J589" s="350" t="s">
        <v>348</v>
      </c>
      <c r="K589" s="157" t="s">
        <v>244</v>
      </c>
      <c r="L589" s="217">
        <v>2.0270000000000099</v>
      </c>
      <c r="M589" s="157"/>
    </row>
    <row r="590" spans="8:13">
      <c r="H590" s="157"/>
      <c r="I590" s="348">
        <v>2024</v>
      </c>
      <c r="J590" s="350" t="s">
        <v>348</v>
      </c>
      <c r="K590" s="157" t="s">
        <v>244</v>
      </c>
      <c r="L590" s="217">
        <v>2.0280000000000098</v>
      </c>
      <c r="M590" s="157"/>
    </row>
    <row r="591" spans="8:13">
      <c r="H591" s="157"/>
      <c r="I591" s="348">
        <v>2025</v>
      </c>
      <c r="J591" s="350" t="s">
        <v>348</v>
      </c>
      <c r="K591" s="157" t="s">
        <v>244</v>
      </c>
      <c r="L591" s="217">
        <v>2.0290000000000101</v>
      </c>
      <c r="M591" s="157"/>
    </row>
    <row r="592" spans="8:13">
      <c r="H592" s="157"/>
      <c r="I592" s="348">
        <v>2026</v>
      </c>
      <c r="J592" s="350" t="s">
        <v>348</v>
      </c>
      <c r="K592" s="157" t="s">
        <v>244</v>
      </c>
      <c r="L592" s="217">
        <v>2.03000000000001</v>
      </c>
      <c r="M592" s="157"/>
    </row>
    <row r="593" spans="8:13">
      <c r="H593" s="157"/>
      <c r="I593" s="348">
        <v>2020</v>
      </c>
      <c r="J593" s="350" t="s">
        <v>349</v>
      </c>
      <c r="K593" s="157" t="s">
        <v>244</v>
      </c>
      <c r="L593" s="217">
        <v>2.0310000000000099</v>
      </c>
      <c r="M593" s="157"/>
    </row>
    <row r="594" spans="8:13">
      <c r="H594" s="157"/>
      <c r="I594" s="348">
        <v>2021</v>
      </c>
      <c r="J594" s="350" t="s">
        <v>349</v>
      </c>
      <c r="K594" s="157" t="s">
        <v>244</v>
      </c>
      <c r="L594" s="217">
        <v>2.0320000000000098</v>
      </c>
      <c r="M594" s="157"/>
    </row>
    <row r="595" spans="8:13">
      <c r="H595" s="157"/>
      <c r="I595" s="348">
        <v>2022</v>
      </c>
      <c r="J595" s="350" t="s">
        <v>349</v>
      </c>
      <c r="K595" s="157" t="s">
        <v>244</v>
      </c>
      <c r="L595" s="217">
        <v>2.0330000000000101</v>
      </c>
      <c r="M595" s="157"/>
    </row>
    <row r="596" spans="8:13">
      <c r="H596" s="157"/>
      <c r="I596" s="348">
        <v>2023</v>
      </c>
      <c r="J596" s="350" t="s">
        <v>349</v>
      </c>
      <c r="K596" s="157" t="s">
        <v>244</v>
      </c>
      <c r="L596" s="217">
        <v>2.03400000000001</v>
      </c>
      <c r="M596" s="157"/>
    </row>
    <row r="597" spans="8:13">
      <c r="H597" s="157"/>
      <c r="I597" s="348">
        <v>2024</v>
      </c>
      <c r="J597" s="350" t="s">
        <v>349</v>
      </c>
      <c r="K597" s="157" t="s">
        <v>244</v>
      </c>
      <c r="L597" s="217">
        <v>2.0350000000000099</v>
      </c>
      <c r="M597" s="157"/>
    </row>
    <row r="598" spans="8:13">
      <c r="H598" s="157"/>
      <c r="I598" s="348">
        <v>2025</v>
      </c>
      <c r="J598" s="350" t="s">
        <v>349</v>
      </c>
      <c r="K598" s="157" t="s">
        <v>244</v>
      </c>
      <c r="L598" s="217">
        <v>2.0360000000000098</v>
      </c>
      <c r="M598" s="157"/>
    </row>
    <row r="599" spans="8:13">
      <c r="H599" s="157"/>
      <c r="I599" s="352">
        <v>2026</v>
      </c>
      <c r="J599" s="353" t="s">
        <v>349</v>
      </c>
      <c r="K599" s="211" t="s">
        <v>244</v>
      </c>
      <c r="L599" s="218">
        <v>2.0370000000000101</v>
      </c>
      <c r="M599" s="157"/>
    </row>
    <row r="600" spans="8:13">
      <c r="I600" s="157"/>
      <c r="J600" s="157"/>
      <c r="K600" s="157"/>
      <c r="L600" s="157"/>
    </row>
    <row r="602" spans="8:13" ht="16" thickBot="1">
      <c r="L602" s="157"/>
    </row>
    <row r="603" spans="8:13" ht="17">
      <c r="I603" s="396" t="s">
        <v>335</v>
      </c>
      <c r="J603" s="397" t="s">
        <v>340</v>
      </c>
      <c r="K603" s="274" t="s">
        <v>242</v>
      </c>
      <c r="L603" s="412" t="s">
        <v>426</v>
      </c>
      <c r="M603" s="157"/>
    </row>
    <row r="604" spans="8:13">
      <c r="I604" s="348">
        <v>2020</v>
      </c>
      <c r="J604" s="350" t="s">
        <v>348</v>
      </c>
      <c r="K604" s="157" t="s">
        <v>243</v>
      </c>
      <c r="L604" s="235">
        <v>100</v>
      </c>
      <c r="M604" s="157"/>
    </row>
    <row r="605" spans="8:13">
      <c r="I605" s="348">
        <v>2021</v>
      </c>
      <c r="J605" s="350" t="s">
        <v>348</v>
      </c>
      <c r="K605" s="157" t="s">
        <v>243</v>
      </c>
      <c r="L605" s="217">
        <v>101</v>
      </c>
      <c r="M605" s="157"/>
    </row>
    <row r="606" spans="8:13">
      <c r="I606" s="348">
        <v>2022</v>
      </c>
      <c r="J606" s="350" t="s">
        <v>348</v>
      </c>
      <c r="K606" s="157" t="s">
        <v>243</v>
      </c>
      <c r="L606" s="217">
        <v>102</v>
      </c>
      <c r="M606" s="157"/>
    </row>
    <row r="607" spans="8:13">
      <c r="I607" s="348">
        <v>2023</v>
      </c>
      <c r="J607" s="350" t="s">
        <v>348</v>
      </c>
      <c r="K607" s="157" t="s">
        <v>243</v>
      </c>
      <c r="L607" s="217">
        <v>103</v>
      </c>
      <c r="M607" s="157"/>
    </row>
    <row r="608" spans="8:13">
      <c r="I608" s="348">
        <v>2024</v>
      </c>
      <c r="J608" s="350" t="s">
        <v>348</v>
      </c>
      <c r="K608" s="157" t="s">
        <v>243</v>
      </c>
      <c r="L608" s="217">
        <v>104</v>
      </c>
      <c r="M608" s="157"/>
    </row>
    <row r="609" spans="9:13">
      <c r="I609" s="348">
        <v>2025</v>
      </c>
      <c r="J609" s="350" t="s">
        <v>348</v>
      </c>
      <c r="K609" s="157" t="s">
        <v>243</v>
      </c>
      <c r="L609" s="217">
        <v>105</v>
      </c>
      <c r="M609" s="157"/>
    </row>
    <row r="610" spans="9:13">
      <c r="I610" s="348">
        <v>2026</v>
      </c>
      <c r="J610" s="350" t="s">
        <v>348</v>
      </c>
      <c r="K610" s="157" t="s">
        <v>243</v>
      </c>
      <c r="L610" s="217">
        <v>106</v>
      </c>
      <c r="M610" s="157"/>
    </row>
    <row r="611" spans="9:13">
      <c r="I611" s="348">
        <v>2020</v>
      </c>
      <c r="J611" s="350" t="s">
        <v>349</v>
      </c>
      <c r="K611" s="157" t="s">
        <v>243</v>
      </c>
      <c r="L611" s="217">
        <v>107</v>
      </c>
      <c r="M611" s="157"/>
    </row>
    <row r="612" spans="9:13">
      <c r="I612" s="348">
        <v>2021</v>
      </c>
      <c r="J612" s="350" t="s">
        <v>349</v>
      </c>
      <c r="K612" s="157" t="s">
        <v>243</v>
      </c>
      <c r="L612" s="217">
        <v>108</v>
      </c>
      <c r="M612" s="157"/>
    </row>
    <row r="613" spans="9:13">
      <c r="I613" s="348">
        <v>2022</v>
      </c>
      <c r="J613" s="350" t="s">
        <v>349</v>
      </c>
      <c r="K613" s="157" t="s">
        <v>243</v>
      </c>
      <c r="L613" s="217">
        <v>109</v>
      </c>
      <c r="M613" s="157"/>
    </row>
    <row r="614" spans="9:13">
      <c r="I614" s="348">
        <v>2023</v>
      </c>
      <c r="J614" s="350" t="s">
        <v>349</v>
      </c>
      <c r="K614" s="157" t="s">
        <v>243</v>
      </c>
      <c r="L614" s="217">
        <v>110</v>
      </c>
      <c r="M614" s="157"/>
    </row>
    <row r="615" spans="9:13">
      <c r="I615" s="348">
        <v>2024</v>
      </c>
      <c r="J615" s="350" t="s">
        <v>349</v>
      </c>
      <c r="K615" s="157" t="s">
        <v>243</v>
      </c>
      <c r="L615" s="217">
        <v>111</v>
      </c>
      <c r="M615" s="157"/>
    </row>
    <row r="616" spans="9:13">
      <c r="I616" s="348">
        <v>2025</v>
      </c>
      <c r="J616" s="350" t="s">
        <v>349</v>
      </c>
      <c r="K616" s="157" t="s">
        <v>243</v>
      </c>
      <c r="L616" s="217">
        <v>112</v>
      </c>
      <c r="M616" s="157"/>
    </row>
    <row r="617" spans="9:13">
      <c r="I617" s="348">
        <v>2026</v>
      </c>
      <c r="J617" s="350" t="s">
        <v>349</v>
      </c>
      <c r="K617" s="157" t="s">
        <v>243</v>
      </c>
      <c r="L617" s="217">
        <v>113</v>
      </c>
      <c r="M617" s="157"/>
    </row>
    <row r="618" spans="9:13">
      <c r="I618" s="348">
        <v>2020</v>
      </c>
      <c r="J618" s="350" t="s">
        <v>348</v>
      </c>
      <c r="K618" s="157" t="s">
        <v>244</v>
      </c>
      <c r="L618" s="217">
        <v>114</v>
      </c>
      <c r="M618" s="157"/>
    </row>
    <row r="619" spans="9:13">
      <c r="I619" s="348">
        <v>2021</v>
      </c>
      <c r="J619" s="350" t="s">
        <v>348</v>
      </c>
      <c r="K619" s="157" t="s">
        <v>244</v>
      </c>
      <c r="L619" s="217">
        <v>115</v>
      </c>
      <c r="M619" s="157"/>
    </row>
    <row r="620" spans="9:13">
      <c r="I620" s="348">
        <v>2022</v>
      </c>
      <c r="J620" s="350" t="s">
        <v>348</v>
      </c>
      <c r="K620" s="157" t="s">
        <v>244</v>
      </c>
      <c r="L620" s="217">
        <v>116</v>
      </c>
      <c r="M620" s="157"/>
    </row>
    <row r="621" spans="9:13">
      <c r="I621" s="348">
        <v>2023</v>
      </c>
      <c r="J621" s="350" t="s">
        <v>348</v>
      </c>
      <c r="K621" s="157" t="s">
        <v>244</v>
      </c>
      <c r="L621" s="217">
        <v>117</v>
      </c>
      <c r="M621" s="157"/>
    </row>
    <row r="622" spans="9:13">
      <c r="I622" s="348">
        <v>2024</v>
      </c>
      <c r="J622" s="350" t="s">
        <v>348</v>
      </c>
      <c r="K622" s="157" t="s">
        <v>244</v>
      </c>
      <c r="L622" s="217">
        <v>118</v>
      </c>
      <c r="M622" s="157"/>
    </row>
    <row r="623" spans="9:13">
      <c r="I623" s="348">
        <v>2025</v>
      </c>
      <c r="J623" s="350" t="s">
        <v>348</v>
      </c>
      <c r="K623" s="157" t="s">
        <v>244</v>
      </c>
      <c r="L623" s="217">
        <v>119</v>
      </c>
      <c r="M623" s="157"/>
    </row>
    <row r="624" spans="9:13">
      <c r="I624" s="348">
        <v>2026</v>
      </c>
      <c r="J624" s="350" t="s">
        <v>348</v>
      </c>
      <c r="K624" s="157" t="s">
        <v>244</v>
      </c>
      <c r="L624" s="217">
        <v>120</v>
      </c>
      <c r="M624" s="157"/>
    </row>
    <row r="625" spans="9:13">
      <c r="I625" s="348">
        <v>2020</v>
      </c>
      <c r="J625" s="350" t="s">
        <v>349</v>
      </c>
      <c r="K625" s="157" t="s">
        <v>244</v>
      </c>
      <c r="L625" s="217">
        <v>121</v>
      </c>
      <c r="M625" s="157"/>
    </row>
    <row r="626" spans="9:13">
      <c r="I626" s="348">
        <v>2021</v>
      </c>
      <c r="J626" s="350" t="s">
        <v>349</v>
      </c>
      <c r="K626" s="157" t="s">
        <v>244</v>
      </c>
      <c r="L626" s="217">
        <v>122</v>
      </c>
      <c r="M626" s="157"/>
    </row>
    <row r="627" spans="9:13">
      <c r="I627" s="348">
        <v>2022</v>
      </c>
      <c r="J627" s="350" t="s">
        <v>349</v>
      </c>
      <c r="K627" s="157" t="s">
        <v>244</v>
      </c>
      <c r="L627" s="217">
        <v>123</v>
      </c>
      <c r="M627" s="157"/>
    </row>
    <row r="628" spans="9:13">
      <c r="I628" s="348">
        <v>2023</v>
      </c>
      <c r="J628" s="350" t="s">
        <v>349</v>
      </c>
      <c r="K628" s="157" t="s">
        <v>244</v>
      </c>
      <c r="L628" s="217">
        <v>124</v>
      </c>
      <c r="M628" s="157"/>
    </row>
    <row r="629" spans="9:13">
      <c r="I629" s="348">
        <v>2024</v>
      </c>
      <c r="J629" s="350" t="s">
        <v>349</v>
      </c>
      <c r="K629" s="157" t="s">
        <v>244</v>
      </c>
      <c r="L629" s="217">
        <v>125</v>
      </c>
      <c r="M629" s="157"/>
    </row>
    <row r="630" spans="9:13">
      <c r="I630" s="348">
        <v>2025</v>
      </c>
      <c r="J630" s="350" t="s">
        <v>349</v>
      </c>
      <c r="K630" s="157" t="s">
        <v>244</v>
      </c>
      <c r="L630" s="217">
        <v>126</v>
      </c>
      <c r="M630" s="157"/>
    </row>
    <row r="631" spans="9:13">
      <c r="I631" s="352">
        <v>2026</v>
      </c>
      <c r="J631" s="353" t="s">
        <v>349</v>
      </c>
      <c r="K631" s="211" t="s">
        <v>244</v>
      </c>
      <c r="L631" s="218">
        <v>127</v>
      </c>
      <c r="M631" s="157"/>
    </row>
    <row r="632" spans="9:13">
      <c r="L632" s="157"/>
    </row>
    <row r="635" spans="9:13" ht="16" thickBot="1"/>
    <row r="636" spans="9:13" ht="17">
      <c r="I636" s="396" t="s">
        <v>335</v>
      </c>
      <c r="J636" s="397" t="s">
        <v>340</v>
      </c>
      <c r="K636" s="274" t="s">
        <v>242</v>
      </c>
      <c r="L636" s="412" t="s">
        <v>427</v>
      </c>
    </row>
    <row r="637" spans="9:13">
      <c r="I637" s="348">
        <v>2020</v>
      </c>
      <c r="J637" s="370" t="s">
        <v>348</v>
      </c>
      <c r="K637" s="157" t="s">
        <v>243</v>
      </c>
      <c r="L637" s="235">
        <v>0.01</v>
      </c>
      <c r="M637" s="157"/>
    </row>
    <row r="638" spans="9:13">
      <c r="I638" s="348">
        <v>2021</v>
      </c>
      <c r="J638" s="370" t="s">
        <v>348</v>
      </c>
      <c r="K638" s="157" t="s">
        <v>243</v>
      </c>
      <c r="L638" s="217">
        <v>1.2E-2</v>
      </c>
      <c r="M638" s="157"/>
    </row>
    <row r="639" spans="9:13">
      <c r="I639" s="348">
        <v>2022</v>
      </c>
      <c r="J639" s="370" t="s">
        <v>348</v>
      </c>
      <c r="K639" s="157" t="s">
        <v>243</v>
      </c>
      <c r="L639" s="217">
        <v>1.2999999999999999E-2</v>
      </c>
      <c r="M639" s="157"/>
    </row>
    <row r="640" spans="9:13">
      <c r="I640" s="348">
        <v>2023</v>
      </c>
      <c r="J640" s="370" t="s">
        <v>348</v>
      </c>
      <c r="K640" s="157" t="s">
        <v>243</v>
      </c>
      <c r="L640" s="217">
        <v>1.4E-2</v>
      </c>
      <c r="M640" s="157"/>
    </row>
    <row r="641" spans="9:13">
      <c r="I641" s="348">
        <v>2024</v>
      </c>
      <c r="J641" s="370" t="s">
        <v>348</v>
      </c>
      <c r="K641" s="157" t="s">
        <v>243</v>
      </c>
      <c r="L641" s="217">
        <v>1.55E-2</v>
      </c>
      <c r="M641" s="157"/>
    </row>
    <row r="642" spans="9:13">
      <c r="I642" s="348">
        <v>2025</v>
      </c>
      <c r="J642" s="370" t="s">
        <v>348</v>
      </c>
      <c r="K642" s="157" t="s">
        <v>243</v>
      </c>
      <c r="L642" s="217">
        <v>1.6799999999999999E-2</v>
      </c>
      <c r="M642" s="157"/>
    </row>
    <row r="643" spans="9:13">
      <c r="I643" s="348">
        <v>2026</v>
      </c>
      <c r="J643" s="370" t="s">
        <v>348</v>
      </c>
      <c r="K643" s="157" t="s">
        <v>243</v>
      </c>
      <c r="L643" s="217">
        <v>1.8100000000000002E-2</v>
      </c>
      <c r="M643" s="157"/>
    </row>
    <row r="644" spans="9:13">
      <c r="I644" s="348">
        <v>2020</v>
      </c>
      <c r="J644" s="370" t="s">
        <v>349</v>
      </c>
      <c r="K644" s="157" t="s">
        <v>243</v>
      </c>
      <c r="L644" s="217">
        <v>1.9400000000000001E-2</v>
      </c>
      <c r="M644" s="157"/>
    </row>
    <row r="645" spans="9:13">
      <c r="I645" s="348">
        <v>2021</v>
      </c>
      <c r="J645" s="370" t="s">
        <v>349</v>
      </c>
      <c r="K645" s="157" t="s">
        <v>243</v>
      </c>
      <c r="L645" s="217">
        <v>2.07E-2</v>
      </c>
      <c r="M645" s="157"/>
    </row>
    <row r="646" spans="9:13">
      <c r="I646" s="348">
        <v>2022</v>
      </c>
      <c r="J646" s="370" t="s">
        <v>349</v>
      </c>
      <c r="K646" s="157" t="s">
        <v>243</v>
      </c>
      <c r="L646" s="217">
        <v>2.1999999999999999E-2</v>
      </c>
      <c r="M646" s="157"/>
    </row>
    <row r="647" spans="9:13">
      <c r="I647" s="348">
        <v>2023</v>
      </c>
      <c r="J647" s="370" t="s">
        <v>349</v>
      </c>
      <c r="K647" s="157" t="s">
        <v>243</v>
      </c>
      <c r="L647" s="217">
        <v>2.3300000000000001E-2</v>
      </c>
      <c r="M647" s="157"/>
    </row>
    <row r="648" spans="9:13">
      <c r="I648" s="348">
        <v>2024</v>
      </c>
      <c r="J648" s="370" t="s">
        <v>349</v>
      </c>
      <c r="K648" s="157" t="s">
        <v>243</v>
      </c>
      <c r="L648" s="217">
        <v>2.46E-2</v>
      </c>
      <c r="M648" s="157"/>
    </row>
    <row r="649" spans="9:13">
      <c r="I649" s="348">
        <v>2025</v>
      </c>
      <c r="J649" s="370" t="s">
        <v>349</v>
      </c>
      <c r="K649" s="157" t="s">
        <v>243</v>
      </c>
      <c r="L649" s="217">
        <v>2.5899999999999999E-2</v>
      </c>
      <c r="M649" s="157"/>
    </row>
    <row r="650" spans="9:13">
      <c r="I650" s="348">
        <v>2026</v>
      </c>
      <c r="J650" s="370" t="s">
        <v>349</v>
      </c>
      <c r="K650" s="157" t="s">
        <v>243</v>
      </c>
      <c r="L650" s="217">
        <v>2.7199999999999998E-2</v>
      </c>
      <c r="M650" s="157"/>
    </row>
    <row r="651" spans="9:13">
      <c r="I651" s="348">
        <v>2020</v>
      </c>
      <c r="J651" s="370" t="s">
        <v>348</v>
      </c>
      <c r="K651" s="157" t="s">
        <v>244</v>
      </c>
      <c r="L651" s="217">
        <v>2.8500000000000001E-2</v>
      </c>
      <c r="M651" s="157"/>
    </row>
    <row r="652" spans="9:13">
      <c r="I652" s="348">
        <v>2021</v>
      </c>
      <c r="J652" s="370" t="s">
        <v>348</v>
      </c>
      <c r="K652" s="157" t="s">
        <v>244</v>
      </c>
      <c r="L652" s="217">
        <v>2.98E-2</v>
      </c>
      <c r="M652" s="157"/>
    </row>
    <row r="653" spans="9:13">
      <c r="I653" s="348">
        <v>2022</v>
      </c>
      <c r="J653" s="370" t="s">
        <v>348</v>
      </c>
      <c r="K653" s="157" t="s">
        <v>244</v>
      </c>
      <c r="L653" s="217">
        <v>3.1099999999999999E-2</v>
      </c>
      <c r="M653" s="157"/>
    </row>
    <row r="654" spans="9:13">
      <c r="I654" s="348">
        <v>2023</v>
      </c>
      <c r="J654" s="370" t="s">
        <v>348</v>
      </c>
      <c r="K654" s="157" t="s">
        <v>244</v>
      </c>
      <c r="L654" s="217">
        <v>3.2399999999999998E-2</v>
      </c>
      <c r="M654" s="157"/>
    </row>
    <row r="655" spans="9:13">
      <c r="I655" s="348">
        <v>2024</v>
      </c>
      <c r="J655" s="370" t="s">
        <v>348</v>
      </c>
      <c r="K655" s="157" t="s">
        <v>244</v>
      </c>
      <c r="L655" s="217">
        <v>3.3700000000000001E-2</v>
      </c>
      <c r="M655" s="157"/>
    </row>
    <row r="656" spans="9:13">
      <c r="I656" s="348">
        <v>2025</v>
      </c>
      <c r="J656" s="370" t="s">
        <v>348</v>
      </c>
      <c r="K656" s="157" t="s">
        <v>244</v>
      </c>
      <c r="L656" s="217">
        <v>3.5000000000000003E-2</v>
      </c>
      <c r="M656" s="157"/>
    </row>
    <row r="657" spans="9:13">
      <c r="I657" s="348">
        <v>2026</v>
      </c>
      <c r="J657" s="370" t="s">
        <v>348</v>
      </c>
      <c r="K657" s="157" t="s">
        <v>244</v>
      </c>
      <c r="L657" s="217">
        <v>3.6299999999999999E-2</v>
      </c>
      <c r="M657" s="157"/>
    </row>
    <row r="658" spans="9:13">
      <c r="I658" s="348">
        <v>2020</v>
      </c>
      <c r="J658" s="370" t="s">
        <v>349</v>
      </c>
      <c r="K658" s="157" t="s">
        <v>244</v>
      </c>
      <c r="L658" s="217">
        <v>3.7600000000000001E-2</v>
      </c>
      <c r="M658" s="157"/>
    </row>
    <row r="659" spans="9:13">
      <c r="I659" s="348">
        <v>2021</v>
      </c>
      <c r="J659" s="370" t="s">
        <v>349</v>
      </c>
      <c r="K659" s="157" t="s">
        <v>244</v>
      </c>
      <c r="L659" s="217">
        <v>3.8899999999999997E-2</v>
      </c>
      <c r="M659" s="157"/>
    </row>
    <row r="660" spans="9:13">
      <c r="I660" s="348">
        <v>2022</v>
      </c>
      <c r="J660" s="370" t="s">
        <v>349</v>
      </c>
      <c r="K660" s="157" t="s">
        <v>244</v>
      </c>
      <c r="L660" s="217">
        <v>4.02E-2</v>
      </c>
      <c r="M660" s="157"/>
    </row>
    <row r="661" spans="9:13">
      <c r="I661" s="348">
        <v>2023</v>
      </c>
      <c r="J661" s="370" t="s">
        <v>349</v>
      </c>
      <c r="K661" s="157" t="s">
        <v>244</v>
      </c>
      <c r="L661" s="217">
        <v>4.1500000000000002E-2</v>
      </c>
      <c r="M661" s="157"/>
    </row>
    <row r="662" spans="9:13">
      <c r="I662" s="348">
        <v>2024</v>
      </c>
      <c r="J662" s="370" t="s">
        <v>349</v>
      </c>
      <c r="K662" s="157" t="s">
        <v>244</v>
      </c>
      <c r="L662" s="217">
        <v>4.2799999999999998E-2</v>
      </c>
      <c r="M662" s="157"/>
    </row>
    <row r="663" spans="9:13">
      <c r="I663" s="348">
        <v>2025</v>
      </c>
      <c r="J663" s="370" t="s">
        <v>349</v>
      </c>
      <c r="K663" s="157" t="s">
        <v>244</v>
      </c>
      <c r="L663" s="217">
        <v>4.41E-2</v>
      </c>
      <c r="M663" s="157"/>
    </row>
    <row r="664" spans="9:13">
      <c r="I664" s="352">
        <v>2026</v>
      </c>
      <c r="J664" s="353" t="s">
        <v>349</v>
      </c>
      <c r="K664" s="211" t="s">
        <v>244</v>
      </c>
      <c r="L664" s="218">
        <v>4.5400000000000003E-2</v>
      </c>
      <c r="M664" s="157"/>
    </row>
    <row r="665" spans="9:13">
      <c r="L665" s="157"/>
    </row>
    <row r="666" spans="9:13">
      <c r="L666" s="157"/>
    </row>
    <row r="667" spans="9:13">
      <c r="L667" s="157"/>
    </row>
    <row r="669" spans="9:13" s="258" customFormat="1">
      <c r="I669" s="258" t="s">
        <v>428</v>
      </c>
    </row>
    <row r="674" spans="9:12" ht="17">
      <c r="I674" s="396" t="s">
        <v>335</v>
      </c>
      <c r="J674" s="397" t="s">
        <v>340</v>
      </c>
      <c r="K674" s="213" t="s">
        <v>242</v>
      </c>
      <c r="L674" s="411" t="s">
        <v>429</v>
      </c>
    </row>
    <row r="675" spans="9:12">
      <c r="I675" s="348">
        <v>2020</v>
      </c>
      <c r="J675" s="350" t="s">
        <v>348</v>
      </c>
      <c r="K675" s="157" t="s">
        <v>243</v>
      </c>
      <c r="L675" s="235">
        <v>2.3976562499999998</v>
      </c>
    </row>
    <row r="676" spans="9:12">
      <c r="I676" s="348">
        <v>2021</v>
      </c>
      <c r="J676" s="350" t="s">
        <v>348</v>
      </c>
      <c r="K676" s="157" t="s">
        <v>243</v>
      </c>
      <c r="L676" s="217">
        <v>2.39775625</v>
      </c>
    </row>
    <row r="677" spans="9:12">
      <c r="I677" s="348">
        <v>2022</v>
      </c>
      <c r="J677" s="350" t="s">
        <v>348</v>
      </c>
      <c r="K677" s="157" t="s">
        <v>243</v>
      </c>
      <c r="L677" s="217">
        <v>2.3978562499999998</v>
      </c>
    </row>
    <row r="678" spans="9:12">
      <c r="I678" s="348">
        <v>2023</v>
      </c>
      <c r="J678" s="350" t="s">
        <v>348</v>
      </c>
      <c r="K678" s="157" t="s">
        <v>243</v>
      </c>
      <c r="L678" s="217">
        <v>2.39795625</v>
      </c>
    </row>
    <row r="679" spans="9:12">
      <c r="I679" s="348">
        <v>2024</v>
      </c>
      <c r="J679" s="350" t="s">
        <v>348</v>
      </c>
      <c r="K679" s="157" t="s">
        <v>243</v>
      </c>
      <c r="L679" s="217">
        <v>2.3980562499999998</v>
      </c>
    </row>
    <row r="680" spans="9:12">
      <c r="I680" s="348">
        <v>2025</v>
      </c>
      <c r="J680" s="350" t="s">
        <v>348</v>
      </c>
      <c r="K680" s="157" t="s">
        <v>243</v>
      </c>
      <c r="L680" s="217">
        <v>2.39815625</v>
      </c>
    </row>
    <row r="681" spans="9:12">
      <c r="I681" s="348">
        <v>2026</v>
      </c>
      <c r="J681" s="350" t="s">
        <v>348</v>
      </c>
      <c r="K681" s="157" t="s">
        <v>243</v>
      </c>
      <c r="L681" s="217">
        <v>2.3982562500000002</v>
      </c>
    </row>
    <row r="682" spans="9:12">
      <c r="I682" s="348">
        <v>2020</v>
      </c>
      <c r="J682" s="350" t="s">
        <v>349</v>
      </c>
      <c r="K682" s="157" t="s">
        <v>243</v>
      </c>
      <c r="L682" s="217">
        <v>2.39835625</v>
      </c>
    </row>
    <row r="683" spans="9:12">
      <c r="I683" s="348">
        <v>2021</v>
      </c>
      <c r="J683" s="350" t="s">
        <v>349</v>
      </c>
      <c r="K683" s="157" t="s">
        <v>243</v>
      </c>
      <c r="L683" s="217">
        <v>2.3984562500000002</v>
      </c>
    </row>
    <row r="684" spans="9:12">
      <c r="I684" s="348">
        <v>2022</v>
      </c>
      <c r="J684" s="350" t="s">
        <v>349</v>
      </c>
      <c r="K684" s="157" t="s">
        <v>243</v>
      </c>
      <c r="L684" s="217">
        <v>2.3985562499999999</v>
      </c>
    </row>
    <row r="685" spans="9:12">
      <c r="I685" s="348">
        <v>2023</v>
      </c>
      <c r="J685" s="350" t="s">
        <v>349</v>
      </c>
      <c r="K685" s="157" t="s">
        <v>243</v>
      </c>
      <c r="L685" s="217">
        <v>2.3986562500000002</v>
      </c>
    </row>
    <row r="686" spans="9:12">
      <c r="I686" s="348">
        <v>2024</v>
      </c>
      <c r="J686" s="350" t="s">
        <v>349</v>
      </c>
      <c r="K686" s="157" t="s">
        <v>243</v>
      </c>
      <c r="L686" s="217">
        <v>2.3987562499999999</v>
      </c>
    </row>
    <row r="687" spans="9:12">
      <c r="I687" s="348">
        <v>2025</v>
      </c>
      <c r="J687" s="350" t="s">
        <v>349</v>
      </c>
      <c r="K687" s="157" t="s">
        <v>243</v>
      </c>
      <c r="L687" s="217">
        <v>2.3988562500000001</v>
      </c>
    </row>
    <row r="688" spans="9:12">
      <c r="I688" s="348">
        <v>2026</v>
      </c>
      <c r="J688" s="350" t="s">
        <v>349</v>
      </c>
      <c r="K688" s="157" t="s">
        <v>243</v>
      </c>
      <c r="L688" s="217">
        <v>2.3989562499999999</v>
      </c>
    </row>
    <row r="689" spans="9:12">
      <c r="I689" s="348">
        <v>2020</v>
      </c>
      <c r="J689" s="350" t="s">
        <v>348</v>
      </c>
      <c r="K689" s="157" t="s">
        <v>244</v>
      </c>
      <c r="L689" s="217">
        <v>2.3990562500000001</v>
      </c>
    </row>
    <row r="690" spans="9:12">
      <c r="I690" s="348">
        <v>2021</v>
      </c>
      <c r="J690" s="350" t="s">
        <v>348</v>
      </c>
      <c r="K690" s="157" t="s">
        <v>244</v>
      </c>
      <c r="L690" s="217">
        <v>2.3991562499999999</v>
      </c>
    </row>
    <row r="691" spans="9:12">
      <c r="I691" s="348">
        <v>2022</v>
      </c>
      <c r="J691" s="350" t="s">
        <v>348</v>
      </c>
      <c r="K691" s="157" t="s">
        <v>244</v>
      </c>
      <c r="L691" s="217">
        <v>2.3992562500000001</v>
      </c>
    </row>
    <row r="692" spans="9:12">
      <c r="I692" s="348">
        <v>2023</v>
      </c>
      <c r="J692" s="350" t="s">
        <v>348</v>
      </c>
      <c r="K692" s="157" t="s">
        <v>244</v>
      </c>
      <c r="L692" s="217">
        <v>2.3993562499999999</v>
      </c>
    </row>
    <row r="693" spans="9:12">
      <c r="I693" s="348">
        <v>2024</v>
      </c>
      <c r="J693" s="350" t="s">
        <v>348</v>
      </c>
      <c r="K693" s="157" t="s">
        <v>244</v>
      </c>
      <c r="L693" s="217">
        <v>2.3994562500000001</v>
      </c>
    </row>
    <row r="694" spans="9:12">
      <c r="I694" s="348">
        <v>2025</v>
      </c>
      <c r="J694" s="350" t="s">
        <v>348</v>
      </c>
      <c r="K694" s="157" t="s">
        <v>244</v>
      </c>
      <c r="L694" s="217">
        <v>2.3995562499999998</v>
      </c>
    </row>
    <row r="695" spans="9:12">
      <c r="I695" s="348">
        <v>2026</v>
      </c>
      <c r="J695" s="350" t="s">
        <v>348</v>
      </c>
      <c r="K695" s="157" t="s">
        <v>244</v>
      </c>
      <c r="L695" s="217">
        <v>2.39965625</v>
      </c>
    </row>
    <row r="696" spans="9:12">
      <c r="I696" s="348">
        <v>2020</v>
      </c>
      <c r="J696" s="350" t="s">
        <v>349</v>
      </c>
      <c r="K696" s="157" t="s">
        <v>244</v>
      </c>
      <c r="L696" s="217">
        <v>2.3997562499999998</v>
      </c>
    </row>
    <row r="697" spans="9:12">
      <c r="I697" s="348">
        <v>2021</v>
      </c>
      <c r="J697" s="350" t="s">
        <v>349</v>
      </c>
      <c r="K697" s="157" t="s">
        <v>244</v>
      </c>
      <c r="L697" s="217">
        <v>2.39985625</v>
      </c>
    </row>
    <row r="698" spans="9:12">
      <c r="I698" s="348">
        <v>2022</v>
      </c>
      <c r="J698" s="350" t="s">
        <v>349</v>
      </c>
      <c r="K698" s="157" t="s">
        <v>244</v>
      </c>
      <c r="L698" s="217">
        <v>2.3999562499999998</v>
      </c>
    </row>
    <row r="699" spans="9:12">
      <c r="I699" s="348">
        <v>2023</v>
      </c>
      <c r="J699" s="350" t="s">
        <v>349</v>
      </c>
      <c r="K699" s="157" t="s">
        <v>244</v>
      </c>
      <c r="L699" s="217">
        <v>2.40005625</v>
      </c>
    </row>
    <row r="700" spans="9:12">
      <c r="I700" s="348">
        <v>2024</v>
      </c>
      <c r="J700" s="350" t="s">
        <v>349</v>
      </c>
      <c r="K700" s="157" t="s">
        <v>244</v>
      </c>
      <c r="L700" s="217">
        <v>2.40015625000001</v>
      </c>
    </row>
    <row r="701" spans="9:12">
      <c r="I701" s="348">
        <v>2025</v>
      </c>
      <c r="J701" s="350" t="s">
        <v>349</v>
      </c>
      <c r="K701" s="157" t="s">
        <v>244</v>
      </c>
      <c r="L701" s="217">
        <v>2.4002562500000102</v>
      </c>
    </row>
    <row r="702" spans="9:12">
      <c r="I702" s="352">
        <v>2026</v>
      </c>
      <c r="J702" s="353" t="s">
        <v>349</v>
      </c>
      <c r="K702" s="211" t="s">
        <v>244</v>
      </c>
      <c r="L702" s="218">
        <v>2.40035625000001</v>
      </c>
    </row>
    <row r="703" spans="9:12">
      <c r="I703" s="157"/>
      <c r="J703" s="157"/>
      <c r="K703" s="157"/>
      <c r="L703" s="157"/>
    </row>
    <row r="705" spans="9:12">
      <c r="L705" s="157"/>
    </row>
    <row r="706" spans="9:12" ht="17">
      <c r="I706" s="396" t="s">
        <v>335</v>
      </c>
      <c r="J706" s="397" t="s">
        <v>340</v>
      </c>
      <c r="K706" s="274" t="s">
        <v>242</v>
      </c>
      <c r="L706" s="412" t="s">
        <v>430</v>
      </c>
    </row>
    <row r="707" spans="9:12">
      <c r="I707" s="348">
        <v>2020</v>
      </c>
      <c r="J707" s="350" t="s">
        <v>348</v>
      </c>
      <c r="K707" s="157" t="s">
        <v>243</v>
      </c>
      <c r="L707" s="235">
        <v>100</v>
      </c>
    </row>
    <row r="708" spans="9:12">
      <c r="I708" s="348">
        <v>2021</v>
      </c>
      <c r="J708" s="350" t="s">
        <v>348</v>
      </c>
      <c r="K708" s="157" t="s">
        <v>243</v>
      </c>
      <c r="L708" s="217">
        <v>110</v>
      </c>
    </row>
    <row r="709" spans="9:12">
      <c r="I709" s="348">
        <v>2022</v>
      </c>
      <c r="J709" s="350" t="s">
        <v>348</v>
      </c>
      <c r="K709" s="157" t="s">
        <v>243</v>
      </c>
      <c r="L709" s="217">
        <v>120</v>
      </c>
    </row>
    <row r="710" spans="9:12">
      <c r="I710" s="348">
        <v>2023</v>
      </c>
      <c r="J710" s="350" t="s">
        <v>348</v>
      </c>
      <c r="K710" s="157" t="s">
        <v>243</v>
      </c>
      <c r="L710" s="217">
        <v>130</v>
      </c>
    </row>
    <row r="711" spans="9:12">
      <c r="I711" s="348">
        <v>2024</v>
      </c>
      <c r="J711" s="350" t="s">
        <v>348</v>
      </c>
      <c r="K711" s="157" t="s">
        <v>243</v>
      </c>
      <c r="L711" s="217">
        <v>140</v>
      </c>
    </row>
    <row r="712" spans="9:12">
      <c r="I712" s="348">
        <v>2025</v>
      </c>
      <c r="J712" s="350" t="s">
        <v>348</v>
      </c>
      <c r="K712" s="157" t="s">
        <v>243</v>
      </c>
      <c r="L712" s="217">
        <v>150</v>
      </c>
    </row>
    <row r="713" spans="9:12">
      <c r="I713" s="348">
        <v>2026</v>
      </c>
      <c r="J713" s="350" t="s">
        <v>348</v>
      </c>
      <c r="K713" s="157" t="s">
        <v>243</v>
      </c>
      <c r="L713" s="217">
        <v>160</v>
      </c>
    </row>
    <row r="714" spans="9:12">
      <c r="I714" s="348">
        <v>2020</v>
      </c>
      <c r="J714" s="350" t="s">
        <v>349</v>
      </c>
      <c r="K714" s="157" t="s">
        <v>243</v>
      </c>
      <c r="L714" s="217">
        <v>170</v>
      </c>
    </row>
    <row r="715" spans="9:12">
      <c r="I715" s="348">
        <v>2021</v>
      </c>
      <c r="J715" s="350" t="s">
        <v>349</v>
      </c>
      <c r="K715" s="157" t="s">
        <v>243</v>
      </c>
      <c r="L715" s="217">
        <v>180</v>
      </c>
    </row>
    <row r="716" spans="9:12">
      <c r="I716" s="348">
        <v>2022</v>
      </c>
      <c r="J716" s="350" t="s">
        <v>349</v>
      </c>
      <c r="K716" s="157" t="s">
        <v>243</v>
      </c>
      <c r="L716" s="217">
        <v>190</v>
      </c>
    </row>
    <row r="717" spans="9:12">
      <c r="I717" s="348">
        <v>2023</v>
      </c>
      <c r="J717" s="350" t="s">
        <v>349</v>
      </c>
      <c r="K717" s="157" t="s">
        <v>243</v>
      </c>
      <c r="L717" s="217">
        <v>200</v>
      </c>
    </row>
    <row r="718" spans="9:12">
      <c r="I718" s="348">
        <v>2024</v>
      </c>
      <c r="J718" s="350" t="s">
        <v>349</v>
      </c>
      <c r="K718" s="157" t="s">
        <v>243</v>
      </c>
      <c r="L718" s="217">
        <v>210</v>
      </c>
    </row>
    <row r="719" spans="9:12">
      <c r="I719" s="348">
        <v>2025</v>
      </c>
      <c r="J719" s="350" t="s">
        <v>349</v>
      </c>
      <c r="K719" s="157" t="s">
        <v>243</v>
      </c>
      <c r="L719" s="217">
        <v>220</v>
      </c>
    </row>
    <row r="720" spans="9:12">
      <c r="I720" s="348">
        <v>2026</v>
      </c>
      <c r="J720" s="350" t="s">
        <v>349</v>
      </c>
      <c r="K720" s="157" t="s">
        <v>243</v>
      </c>
      <c r="L720" s="217">
        <v>230</v>
      </c>
    </row>
    <row r="721" spans="9:12">
      <c r="I721" s="348">
        <v>2020</v>
      </c>
      <c r="J721" s="350" t="s">
        <v>348</v>
      </c>
      <c r="K721" s="157" t="s">
        <v>244</v>
      </c>
      <c r="L721" s="217">
        <v>240</v>
      </c>
    </row>
    <row r="722" spans="9:12">
      <c r="I722" s="348">
        <v>2021</v>
      </c>
      <c r="J722" s="350" t="s">
        <v>348</v>
      </c>
      <c r="K722" s="157" t="s">
        <v>244</v>
      </c>
      <c r="L722" s="217">
        <v>250</v>
      </c>
    </row>
    <row r="723" spans="9:12">
      <c r="I723" s="348">
        <v>2022</v>
      </c>
      <c r="J723" s="350" t="s">
        <v>348</v>
      </c>
      <c r="K723" s="157" t="s">
        <v>244</v>
      </c>
      <c r="L723" s="217">
        <v>260</v>
      </c>
    </row>
    <row r="724" spans="9:12">
      <c r="I724" s="348">
        <v>2023</v>
      </c>
      <c r="J724" s="350" t="s">
        <v>348</v>
      </c>
      <c r="K724" s="157" t="s">
        <v>244</v>
      </c>
      <c r="L724" s="217">
        <v>270</v>
      </c>
    </row>
    <row r="725" spans="9:12">
      <c r="I725" s="348">
        <v>2024</v>
      </c>
      <c r="J725" s="350" t="s">
        <v>348</v>
      </c>
      <c r="K725" s="157" t="s">
        <v>244</v>
      </c>
      <c r="L725" s="217">
        <v>280</v>
      </c>
    </row>
    <row r="726" spans="9:12">
      <c r="I726" s="348">
        <v>2025</v>
      </c>
      <c r="J726" s="350" t="s">
        <v>348</v>
      </c>
      <c r="K726" s="157" t="s">
        <v>244</v>
      </c>
      <c r="L726" s="217">
        <v>290</v>
      </c>
    </row>
    <row r="727" spans="9:12">
      <c r="I727" s="348">
        <v>2026</v>
      </c>
      <c r="J727" s="350" t="s">
        <v>348</v>
      </c>
      <c r="K727" s="157" t="s">
        <v>244</v>
      </c>
      <c r="L727" s="217">
        <v>300</v>
      </c>
    </row>
    <row r="728" spans="9:12">
      <c r="I728" s="348">
        <v>2020</v>
      </c>
      <c r="J728" s="350" t="s">
        <v>349</v>
      </c>
      <c r="K728" s="157" t="s">
        <v>244</v>
      </c>
      <c r="L728" s="217">
        <v>310</v>
      </c>
    </row>
    <row r="729" spans="9:12">
      <c r="I729" s="348">
        <v>2021</v>
      </c>
      <c r="J729" s="350" t="s">
        <v>349</v>
      </c>
      <c r="K729" s="157" t="s">
        <v>244</v>
      </c>
      <c r="L729" s="217">
        <v>320</v>
      </c>
    </row>
    <row r="730" spans="9:12">
      <c r="I730" s="348">
        <v>2022</v>
      </c>
      <c r="J730" s="350" t="s">
        <v>349</v>
      </c>
      <c r="K730" s="157" t="s">
        <v>244</v>
      </c>
      <c r="L730" s="217">
        <v>330</v>
      </c>
    </row>
    <row r="731" spans="9:12">
      <c r="I731" s="348">
        <v>2023</v>
      </c>
      <c r="J731" s="350" t="s">
        <v>349</v>
      </c>
      <c r="K731" s="157" t="s">
        <v>244</v>
      </c>
      <c r="L731" s="217">
        <v>340</v>
      </c>
    </row>
    <row r="732" spans="9:12">
      <c r="I732" s="348">
        <v>2024</v>
      </c>
      <c r="J732" s="350" t="s">
        <v>349</v>
      </c>
      <c r="K732" s="157" t="s">
        <v>244</v>
      </c>
      <c r="L732" s="217">
        <v>350</v>
      </c>
    </row>
    <row r="733" spans="9:12">
      <c r="I733" s="348">
        <v>2025</v>
      </c>
      <c r="J733" s="350" t="s">
        <v>349</v>
      </c>
      <c r="K733" s="157" t="s">
        <v>244</v>
      </c>
      <c r="L733" s="217">
        <v>360</v>
      </c>
    </row>
    <row r="734" spans="9:12">
      <c r="I734" s="352">
        <v>2026</v>
      </c>
      <c r="J734" s="353" t="s">
        <v>349</v>
      </c>
      <c r="K734" s="211" t="s">
        <v>244</v>
      </c>
      <c r="L734" s="218">
        <v>370</v>
      </c>
    </row>
    <row r="735" spans="9:12">
      <c r="L735" s="157"/>
    </row>
    <row r="739" spans="9:12" ht="17">
      <c r="I739" s="396" t="s">
        <v>335</v>
      </c>
      <c r="J739" s="397" t="s">
        <v>340</v>
      </c>
      <c r="K739" s="274" t="s">
        <v>242</v>
      </c>
      <c r="L739" s="412" t="s">
        <v>431</v>
      </c>
    </row>
    <row r="740" spans="9:12">
      <c r="I740" s="348">
        <v>2020</v>
      </c>
      <c r="J740" s="370" t="s">
        <v>348</v>
      </c>
      <c r="K740" s="157" t="s">
        <v>243</v>
      </c>
      <c r="L740" s="235">
        <v>0.03</v>
      </c>
    </row>
    <row r="741" spans="9:12">
      <c r="I741" s="348">
        <v>2021</v>
      </c>
      <c r="J741" s="370" t="s">
        <v>348</v>
      </c>
      <c r="K741" s="157" t="s">
        <v>243</v>
      </c>
      <c r="L741" s="217">
        <v>0.04</v>
      </c>
    </row>
    <row r="742" spans="9:12">
      <c r="I742" s="348">
        <v>2022</v>
      </c>
      <c r="J742" s="370" t="s">
        <v>348</v>
      </c>
      <c r="K742" s="157" t="s">
        <v>243</v>
      </c>
      <c r="L742" s="217">
        <v>0.05</v>
      </c>
    </row>
    <row r="743" spans="9:12">
      <c r="I743" s="348">
        <v>2023</v>
      </c>
      <c r="J743" s="370" t="s">
        <v>348</v>
      </c>
      <c r="K743" s="157" t="s">
        <v>243</v>
      </c>
      <c r="L743" s="217">
        <v>0.06</v>
      </c>
    </row>
    <row r="744" spans="9:12">
      <c r="I744" s="348">
        <v>2024</v>
      </c>
      <c r="J744" s="370" t="s">
        <v>348</v>
      </c>
      <c r="K744" s="157" t="s">
        <v>243</v>
      </c>
      <c r="L744" s="217">
        <v>7.0000000000000007E-2</v>
      </c>
    </row>
    <row r="745" spans="9:12">
      <c r="I745" s="348">
        <v>2025</v>
      </c>
      <c r="J745" s="370" t="s">
        <v>348</v>
      </c>
      <c r="K745" s="157" t="s">
        <v>243</v>
      </c>
      <c r="L745" s="217">
        <v>0.08</v>
      </c>
    </row>
    <row r="746" spans="9:12">
      <c r="I746" s="348">
        <v>2026</v>
      </c>
      <c r="J746" s="370" t="s">
        <v>348</v>
      </c>
      <c r="K746" s="157" t="s">
        <v>243</v>
      </c>
      <c r="L746" s="217">
        <v>0.09</v>
      </c>
    </row>
    <row r="747" spans="9:12">
      <c r="I747" s="348">
        <v>2020</v>
      </c>
      <c r="J747" s="370" t="s">
        <v>349</v>
      </c>
      <c r="K747" s="157" t="s">
        <v>243</v>
      </c>
      <c r="L747" s="217">
        <v>0.1</v>
      </c>
    </row>
    <row r="748" spans="9:12">
      <c r="I748" s="348">
        <v>2021</v>
      </c>
      <c r="J748" s="370" t="s">
        <v>349</v>
      </c>
      <c r="K748" s="157" t="s">
        <v>243</v>
      </c>
      <c r="L748" s="217">
        <v>0.11</v>
      </c>
    </row>
    <row r="749" spans="9:12">
      <c r="I749" s="348">
        <v>2022</v>
      </c>
      <c r="J749" s="370" t="s">
        <v>349</v>
      </c>
      <c r="K749" s="157" t="s">
        <v>243</v>
      </c>
      <c r="L749" s="217">
        <v>0.12</v>
      </c>
    </row>
    <row r="750" spans="9:12">
      <c r="I750" s="348">
        <v>2023</v>
      </c>
      <c r="J750" s="370" t="s">
        <v>349</v>
      </c>
      <c r="K750" s="157" t="s">
        <v>243</v>
      </c>
      <c r="L750" s="217">
        <v>0.13</v>
      </c>
    </row>
    <row r="751" spans="9:12">
      <c r="I751" s="348">
        <v>2024</v>
      </c>
      <c r="J751" s="370" t="s">
        <v>349</v>
      </c>
      <c r="K751" s="157" t="s">
        <v>243</v>
      </c>
      <c r="L751" s="217">
        <v>0.14000000000000001</v>
      </c>
    </row>
    <row r="752" spans="9:12">
      <c r="I752" s="348">
        <v>2025</v>
      </c>
      <c r="J752" s="370" t="s">
        <v>349</v>
      </c>
      <c r="K752" s="157" t="s">
        <v>243</v>
      </c>
      <c r="L752" s="217">
        <v>0.15</v>
      </c>
    </row>
    <row r="753" spans="9:12">
      <c r="I753" s="348">
        <v>2026</v>
      </c>
      <c r="J753" s="370" t="s">
        <v>349</v>
      </c>
      <c r="K753" s="157" t="s">
        <v>243</v>
      </c>
      <c r="L753" s="217">
        <v>0.16</v>
      </c>
    </row>
    <row r="754" spans="9:12">
      <c r="I754" s="348">
        <v>2020</v>
      </c>
      <c r="J754" s="370" t="s">
        <v>348</v>
      </c>
      <c r="K754" s="157" t="s">
        <v>244</v>
      </c>
      <c r="L754" s="217">
        <v>0.17</v>
      </c>
    </row>
    <row r="755" spans="9:12">
      <c r="I755" s="348">
        <v>2021</v>
      </c>
      <c r="J755" s="370" t="s">
        <v>348</v>
      </c>
      <c r="K755" s="157" t="s">
        <v>244</v>
      </c>
      <c r="L755" s="217">
        <v>0.18</v>
      </c>
    </row>
    <row r="756" spans="9:12">
      <c r="I756" s="348">
        <v>2022</v>
      </c>
      <c r="J756" s="370" t="s">
        <v>348</v>
      </c>
      <c r="K756" s="157" t="s">
        <v>244</v>
      </c>
      <c r="L756" s="217">
        <v>0.19</v>
      </c>
    </row>
    <row r="757" spans="9:12">
      <c r="I757" s="348">
        <v>2023</v>
      </c>
      <c r="J757" s="370" t="s">
        <v>348</v>
      </c>
      <c r="K757" s="157" t="s">
        <v>244</v>
      </c>
      <c r="L757" s="217">
        <v>0.08</v>
      </c>
    </row>
    <row r="758" spans="9:12">
      <c r="I758" s="348">
        <v>2024</v>
      </c>
      <c r="J758" s="370" t="s">
        <v>348</v>
      </c>
      <c r="K758" s="157" t="s">
        <v>244</v>
      </c>
      <c r="L758" s="217">
        <v>0.09</v>
      </c>
    </row>
    <row r="759" spans="9:12">
      <c r="I759" s="348">
        <v>2025</v>
      </c>
      <c r="J759" s="370" t="s">
        <v>348</v>
      </c>
      <c r="K759" s="157" t="s">
        <v>244</v>
      </c>
      <c r="L759" s="217">
        <v>0.1</v>
      </c>
    </row>
    <row r="760" spans="9:12">
      <c r="I760" s="348">
        <v>2026</v>
      </c>
      <c r="J760" s="370" t="s">
        <v>348</v>
      </c>
      <c r="K760" s="157" t="s">
        <v>244</v>
      </c>
      <c r="L760" s="217">
        <v>0.11</v>
      </c>
    </row>
    <row r="761" spans="9:12">
      <c r="I761" s="348">
        <v>2020</v>
      </c>
      <c r="J761" s="370" t="s">
        <v>349</v>
      </c>
      <c r="K761" s="157" t="s">
        <v>244</v>
      </c>
      <c r="L761" s="217">
        <v>0.12</v>
      </c>
    </row>
    <row r="762" spans="9:12">
      <c r="I762" s="348">
        <v>2021</v>
      </c>
      <c r="J762" s="370" t="s">
        <v>349</v>
      </c>
      <c r="K762" s="157" t="s">
        <v>244</v>
      </c>
      <c r="L762" s="217">
        <v>0.13</v>
      </c>
    </row>
    <row r="763" spans="9:12">
      <c r="I763" s="348">
        <v>2022</v>
      </c>
      <c r="J763" s="370" t="s">
        <v>349</v>
      </c>
      <c r="K763" s="157" t="s">
        <v>244</v>
      </c>
      <c r="L763" s="217">
        <v>0.14000000000000001</v>
      </c>
    </row>
    <row r="764" spans="9:12">
      <c r="I764" s="348">
        <v>2023</v>
      </c>
      <c r="J764" s="370" t="s">
        <v>349</v>
      </c>
      <c r="K764" s="157" t="s">
        <v>244</v>
      </c>
      <c r="L764" s="217">
        <v>0.15</v>
      </c>
    </row>
    <row r="765" spans="9:12">
      <c r="I765" s="348">
        <v>2024</v>
      </c>
      <c r="J765" s="370" t="s">
        <v>349</v>
      </c>
      <c r="K765" s="157" t="s">
        <v>244</v>
      </c>
      <c r="L765" s="217">
        <v>0.05</v>
      </c>
    </row>
    <row r="766" spans="9:12">
      <c r="I766" s="348">
        <v>2025</v>
      </c>
      <c r="J766" s="370" t="s">
        <v>349</v>
      </c>
      <c r="K766" s="157" t="s">
        <v>244</v>
      </c>
      <c r="L766" s="217">
        <v>0.09</v>
      </c>
    </row>
    <row r="767" spans="9:12">
      <c r="I767" s="352">
        <v>2026</v>
      </c>
      <c r="J767" s="353" t="s">
        <v>349</v>
      </c>
      <c r="K767" s="211" t="s">
        <v>244</v>
      </c>
      <c r="L767" s="218">
        <v>0.2</v>
      </c>
    </row>
    <row r="774" spans="9:13" s="258" customFormat="1">
      <c r="I774" s="258" t="s">
        <v>432</v>
      </c>
    </row>
    <row r="778" spans="9:13" ht="17">
      <c r="I778" s="396" t="s">
        <v>335</v>
      </c>
      <c r="J778" s="397" t="s">
        <v>340</v>
      </c>
      <c r="K778" s="213" t="s">
        <v>242</v>
      </c>
      <c r="L778" s="412" t="s">
        <v>433</v>
      </c>
    </row>
    <row r="779" spans="9:13">
      <c r="I779" s="348">
        <v>2020</v>
      </c>
      <c r="J779" s="350" t="s">
        <v>348</v>
      </c>
      <c r="K779" s="157" t="s">
        <v>243</v>
      </c>
      <c r="L779" s="235">
        <v>2.11</v>
      </c>
      <c r="M779" s="157"/>
    </row>
    <row r="780" spans="9:13">
      <c r="I780" s="348">
        <v>2021</v>
      </c>
      <c r="J780" s="350" t="s">
        <v>348</v>
      </c>
      <c r="K780" s="157" t="s">
        <v>243</v>
      </c>
      <c r="L780" s="217">
        <v>2.12</v>
      </c>
      <c r="M780" s="157"/>
    </row>
    <row r="781" spans="9:13">
      <c r="I781" s="348">
        <v>2022</v>
      </c>
      <c r="J781" s="350" t="s">
        <v>348</v>
      </c>
      <c r="K781" s="157" t="s">
        <v>243</v>
      </c>
      <c r="L781" s="217">
        <v>2.13</v>
      </c>
      <c r="M781" s="157"/>
    </row>
    <row r="782" spans="9:13">
      <c r="I782" s="348">
        <v>2023</v>
      </c>
      <c r="J782" s="350" t="s">
        <v>348</v>
      </c>
      <c r="K782" s="157" t="s">
        <v>243</v>
      </c>
      <c r="L782" s="217">
        <v>2.14</v>
      </c>
      <c r="M782" s="157"/>
    </row>
    <row r="783" spans="9:13">
      <c r="I783" s="348">
        <v>2024</v>
      </c>
      <c r="J783" s="350" t="s">
        <v>348</v>
      </c>
      <c r="K783" s="157" t="s">
        <v>243</v>
      </c>
      <c r="L783" s="217">
        <v>2.0099999999999998</v>
      </c>
      <c r="M783" s="157"/>
    </row>
    <row r="784" spans="9:13">
      <c r="I784" s="348">
        <v>2025</v>
      </c>
      <c r="J784" s="350" t="s">
        <v>348</v>
      </c>
      <c r="K784" s="157" t="s">
        <v>243</v>
      </c>
      <c r="L784" s="217">
        <v>2.16</v>
      </c>
      <c r="M784" s="157"/>
    </row>
    <row r="785" spans="9:13">
      <c r="I785" s="348">
        <v>2026</v>
      </c>
      <c r="J785" s="350" t="s">
        <v>348</v>
      </c>
      <c r="K785" s="157" t="s">
        <v>243</v>
      </c>
      <c r="L785" s="217">
        <v>2.17</v>
      </c>
      <c r="M785" s="157"/>
    </row>
    <row r="786" spans="9:13">
      <c r="I786" s="348">
        <v>2020</v>
      </c>
      <c r="J786" s="350" t="s">
        <v>349</v>
      </c>
      <c r="K786" s="157" t="s">
        <v>243</v>
      </c>
      <c r="L786" s="217">
        <v>2.1800000000000002</v>
      </c>
      <c r="M786" s="157"/>
    </row>
    <row r="787" spans="9:13">
      <c r="I787" s="348">
        <v>2021</v>
      </c>
      <c r="J787" s="350" t="s">
        <v>349</v>
      </c>
      <c r="K787" s="157" t="s">
        <v>243</v>
      </c>
      <c r="L787" s="217">
        <v>2.19</v>
      </c>
      <c r="M787" s="157"/>
    </row>
    <row r="788" spans="9:13">
      <c r="I788" s="348">
        <v>2022</v>
      </c>
      <c r="J788" s="350" t="s">
        <v>349</v>
      </c>
      <c r="K788" s="157" t="s">
        <v>243</v>
      </c>
      <c r="L788" s="217">
        <v>1.1000000000000001</v>
      </c>
      <c r="M788" s="157"/>
    </row>
    <row r="789" spans="9:13">
      <c r="I789" s="348">
        <v>2023</v>
      </c>
      <c r="J789" s="350" t="s">
        <v>349</v>
      </c>
      <c r="K789" s="157" t="s">
        <v>243</v>
      </c>
      <c r="L789" s="217">
        <v>2.21</v>
      </c>
      <c r="M789" s="157"/>
    </row>
    <row r="790" spans="9:13">
      <c r="I790" s="348">
        <v>2024</v>
      </c>
      <c r="J790" s="350" t="s">
        <v>349</v>
      </c>
      <c r="K790" s="157" t="s">
        <v>243</v>
      </c>
      <c r="L790" s="217">
        <v>2</v>
      </c>
      <c r="M790" s="157"/>
    </row>
    <row r="791" spans="9:13">
      <c r="I791" s="348">
        <v>2025</v>
      </c>
      <c r="J791" s="350" t="s">
        <v>349</v>
      </c>
      <c r="K791" s="157" t="s">
        <v>243</v>
      </c>
      <c r="L791" s="217">
        <v>2.23</v>
      </c>
      <c r="M791" s="157"/>
    </row>
    <row r="792" spans="9:13">
      <c r="I792" s="348">
        <v>2026</v>
      </c>
      <c r="J792" s="350" t="s">
        <v>349</v>
      </c>
      <c r="K792" s="157" t="s">
        <v>243</v>
      </c>
      <c r="L792" s="217">
        <v>2.2400000000000002</v>
      </c>
      <c r="M792" s="157"/>
    </row>
    <row r="793" spans="9:13">
      <c r="I793" s="348">
        <v>2020</v>
      </c>
      <c r="J793" s="350" t="s">
        <v>348</v>
      </c>
      <c r="K793" s="157" t="s">
        <v>244</v>
      </c>
      <c r="L793" s="217">
        <v>2.25</v>
      </c>
      <c r="M793" s="157"/>
    </row>
    <row r="794" spans="9:13">
      <c r="I794" s="348">
        <v>2021</v>
      </c>
      <c r="J794" s="350" t="s">
        <v>348</v>
      </c>
      <c r="K794" s="157" t="s">
        <v>244</v>
      </c>
      <c r="L794" s="217">
        <v>2.2599999999999998</v>
      </c>
      <c r="M794" s="157"/>
    </row>
    <row r="795" spans="9:13">
      <c r="I795" s="348">
        <v>2022</v>
      </c>
      <c r="J795" s="350" t="s">
        <v>348</v>
      </c>
      <c r="K795" s="157" t="s">
        <v>244</v>
      </c>
      <c r="L795" s="217">
        <v>2.27</v>
      </c>
      <c r="M795" s="157"/>
    </row>
    <row r="796" spans="9:13">
      <c r="I796" s="348">
        <v>2023</v>
      </c>
      <c r="J796" s="350" t="s">
        <v>348</v>
      </c>
      <c r="K796" s="157" t="s">
        <v>244</v>
      </c>
      <c r="L796" s="217">
        <v>2.2799999999999998</v>
      </c>
      <c r="M796" s="157"/>
    </row>
    <row r="797" spans="9:13">
      <c r="I797" s="348">
        <v>2024</v>
      </c>
      <c r="J797" s="350" t="s">
        <v>348</v>
      </c>
      <c r="K797" s="157" t="s">
        <v>244</v>
      </c>
      <c r="L797" s="217">
        <v>2.29</v>
      </c>
      <c r="M797" s="157"/>
    </row>
    <row r="798" spans="9:13">
      <c r="I798" s="348">
        <v>2025</v>
      </c>
      <c r="J798" s="350" t="s">
        <v>348</v>
      </c>
      <c r="K798" s="157" t="s">
        <v>244</v>
      </c>
      <c r="L798" s="217">
        <v>2.2999999999999998</v>
      </c>
      <c r="M798" s="157"/>
    </row>
    <row r="799" spans="9:13">
      <c r="I799" s="348">
        <v>2026</v>
      </c>
      <c r="J799" s="350" t="s">
        <v>348</v>
      </c>
      <c r="K799" s="157" t="s">
        <v>244</v>
      </c>
      <c r="L799" s="217">
        <v>2.31</v>
      </c>
      <c r="M799" s="157"/>
    </row>
    <row r="800" spans="9:13">
      <c r="I800" s="348">
        <v>2020</v>
      </c>
      <c r="J800" s="350" t="s">
        <v>349</v>
      </c>
      <c r="K800" s="157" t="s">
        <v>244</v>
      </c>
      <c r="L800" s="217">
        <v>2.3199999999999998</v>
      </c>
      <c r="M800" s="157"/>
    </row>
    <row r="801" spans="9:13">
      <c r="I801" s="348">
        <v>2021</v>
      </c>
      <c r="J801" s="350" t="s">
        <v>349</v>
      </c>
      <c r="K801" s="157" t="s">
        <v>244</v>
      </c>
      <c r="L801" s="217">
        <v>2.33</v>
      </c>
      <c r="M801" s="157"/>
    </row>
    <row r="802" spans="9:13">
      <c r="I802" s="348">
        <v>2022</v>
      </c>
      <c r="J802" s="350" t="s">
        <v>349</v>
      </c>
      <c r="K802" s="157" t="s">
        <v>244</v>
      </c>
      <c r="L802" s="217">
        <v>2.34</v>
      </c>
      <c r="M802" s="157"/>
    </row>
    <row r="803" spans="9:13">
      <c r="I803" s="348">
        <v>2023</v>
      </c>
      <c r="J803" s="350" t="s">
        <v>349</v>
      </c>
      <c r="K803" s="157" t="s">
        <v>244</v>
      </c>
      <c r="L803" s="217">
        <v>2.3500000000000099</v>
      </c>
      <c r="M803" s="157"/>
    </row>
    <row r="804" spans="9:13">
      <c r="I804" s="348">
        <v>2024</v>
      </c>
      <c r="J804" s="350" t="s">
        <v>349</v>
      </c>
      <c r="K804" s="157" t="s">
        <v>244</v>
      </c>
      <c r="L804" s="217">
        <v>2.3600000000000101</v>
      </c>
      <c r="M804" s="157"/>
    </row>
    <row r="805" spans="9:13">
      <c r="I805" s="348">
        <v>2025</v>
      </c>
      <c r="J805" s="350" t="s">
        <v>349</v>
      </c>
      <c r="K805" s="157" t="s">
        <v>244</v>
      </c>
      <c r="L805" s="217">
        <v>2.3700000000000099</v>
      </c>
      <c r="M805" s="157"/>
    </row>
    <row r="806" spans="9:13">
      <c r="I806" s="352">
        <v>2026</v>
      </c>
      <c r="J806" s="353" t="s">
        <v>349</v>
      </c>
      <c r="K806" s="211" t="s">
        <v>244</v>
      </c>
      <c r="L806" s="218">
        <v>2.3800000000000101</v>
      </c>
      <c r="M806" s="157"/>
    </row>
    <row r="807" spans="9:13">
      <c r="I807" s="157"/>
      <c r="J807" s="157"/>
      <c r="K807" s="157"/>
      <c r="L807" s="157"/>
    </row>
    <row r="809" spans="9:13">
      <c r="L809" s="157"/>
    </row>
    <row r="810" spans="9:13" ht="17">
      <c r="I810" s="396" t="s">
        <v>335</v>
      </c>
      <c r="J810" s="397" t="s">
        <v>340</v>
      </c>
      <c r="K810" s="274" t="s">
        <v>242</v>
      </c>
      <c r="L810" s="412" t="s">
        <v>434</v>
      </c>
    </row>
    <row r="811" spans="9:13">
      <c r="I811" s="348">
        <v>2020</v>
      </c>
      <c r="J811" s="350" t="s">
        <v>348</v>
      </c>
      <c r="K811" s="157" t="s">
        <v>243</v>
      </c>
      <c r="L811" s="235">
        <v>59</v>
      </c>
      <c r="M811" s="157"/>
    </row>
    <row r="812" spans="9:13">
      <c r="I812" s="348">
        <v>2021</v>
      </c>
      <c r="J812" s="350" t="s">
        <v>348</v>
      </c>
      <c r="K812" s="157" t="s">
        <v>243</v>
      </c>
      <c r="L812" s="217">
        <v>60</v>
      </c>
      <c r="M812" s="157"/>
    </row>
    <row r="813" spans="9:13">
      <c r="I813" s="348">
        <v>2022</v>
      </c>
      <c r="J813" s="350" t="s">
        <v>348</v>
      </c>
      <c r="K813" s="157" t="s">
        <v>243</v>
      </c>
      <c r="L813" s="217">
        <v>70</v>
      </c>
      <c r="M813" s="157"/>
    </row>
    <row r="814" spans="9:13">
      <c r="I814" s="348">
        <v>2023</v>
      </c>
      <c r="J814" s="350" t="s">
        <v>348</v>
      </c>
      <c r="K814" s="157" t="s">
        <v>243</v>
      </c>
      <c r="L814" s="217">
        <v>75</v>
      </c>
      <c r="M814" s="157"/>
    </row>
    <row r="815" spans="9:13">
      <c r="I815" s="348">
        <v>2024</v>
      </c>
      <c r="J815" s="350" t="s">
        <v>348</v>
      </c>
      <c r="K815" s="157" t="s">
        <v>243</v>
      </c>
      <c r="L815" s="217">
        <v>80</v>
      </c>
      <c r="M815" s="157"/>
    </row>
    <row r="816" spans="9:13">
      <c r="I816" s="348">
        <v>2025</v>
      </c>
      <c r="J816" s="350" t="s">
        <v>348</v>
      </c>
      <c r="K816" s="157" t="s">
        <v>243</v>
      </c>
      <c r="L816" s="217">
        <v>85</v>
      </c>
      <c r="M816" s="157"/>
    </row>
    <row r="817" spans="9:13">
      <c r="I817" s="348">
        <v>2026</v>
      </c>
      <c r="J817" s="350" t="s">
        <v>348</v>
      </c>
      <c r="K817" s="157" t="s">
        <v>243</v>
      </c>
      <c r="L817" s="217">
        <v>90</v>
      </c>
      <c r="M817" s="157"/>
    </row>
    <row r="818" spans="9:13">
      <c r="I818" s="348">
        <v>2020</v>
      </c>
      <c r="J818" s="350" t="s">
        <v>349</v>
      </c>
      <c r="K818" s="157" t="s">
        <v>243</v>
      </c>
      <c r="L818" s="217">
        <v>96</v>
      </c>
      <c r="M818" s="157"/>
    </row>
    <row r="819" spans="9:13">
      <c r="I819" s="348">
        <v>2021</v>
      </c>
      <c r="J819" s="350" t="s">
        <v>349</v>
      </c>
      <c r="K819" s="157" t="s">
        <v>243</v>
      </c>
      <c r="L819" s="217">
        <v>101.46428571428601</v>
      </c>
      <c r="M819" s="157"/>
    </row>
    <row r="820" spans="9:13">
      <c r="I820" s="348">
        <v>2022</v>
      </c>
      <c r="J820" s="350" t="s">
        <v>349</v>
      </c>
      <c r="K820" s="157" t="s">
        <v>243</v>
      </c>
      <c r="L820" s="217">
        <v>106.928571428571</v>
      </c>
      <c r="M820" s="157"/>
    </row>
    <row r="821" spans="9:13">
      <c r="I821" s="348">
        <v>2023</v>
      </c>
      <c r="J821" s="350" t="s">
        <v>349</v>
      </c>
      <c r="K821" s="157" t="s">
        <v>243</v>
      </c>
      <c r="L821" s="217">
        <v>112.392857142857</v>
      </c>
      <c r="M821" s="157"/>
    </row>
    <row r="822" spans="9:13">
      <c r="I822" s="348">
        <v>2024</v>
      </c>
      <c r="J822" s="350" t="s">
        <v>349</v>
      </c>
      <c r="K822" s="157" t="s">
        <v>243</v>
      </c>
      <c r="L822" s="217">
        <v>117.857142857143</v>
      </c>
      <c r="M822" s="157"/>
    </row>
    <row r="823" spans="9:13">
      <c r="I823" s="348">
        <v>2025</v>
      </c>
      <c r="J823" s="350" t="s">
        <v>349</v>
      </c>
      <c r="K823" s="157" t="s">
        <v>243</v>
      </c>
      <c r="L823" s="217">
        <v>123.321428571429</v>
      </c>
      <c r="M823" s="157"/>
    </row>
    <row r="824" spans="9:13">
      <c r="I824" s="348">
        <v>2026</v>
      </c>
      <c r="J824" s="350" t="s">
        <v>349</v>
      </c>
      <c r="K824" s="157" t="s">
        <v>243</v>
      </c>
      <c r="L824" s="217">
        <v>128.78571428571399</v>
      </c>
      <c r="M824" s="157"/>
    </row>
    <row r="825" spans="9:13">
      <c r="I825" s="348">
        <v>2020</v>
      </c>
      <c r="J825" s="350" t="s">
        <v>348</v>
      </c>
      <c r="K825" s="157" t="s">
        <v>244</v>
      </c>
      <c r="L825" s="217">
        <v>134.25</v>
      </c>
      <c r="M825" s="157"/>
    </row>
    <row r="826" spans="9:13">
      <c r="I826" s="348">
        <v>2021</v>
      </c>
      <c r="J826" s="350" t="s">
        <v>348</v>
      </c>
      <c r="K826" s="157" t="s">
        <v>244</v>
      </c>
      <c r="L826" s="217">
        <v>139.71428571428601</v>
      </c>
      <c r="M826" s="157"/>
    </row>
    <row r="827" spans="9:13">
      <c r="I827" s="348">
        <v>2022</v>
      </c>
      <c r="J827" s="350" t="s">
        <v>348</v>
      </c>
      <c r="K827" s="157" t="s">
        <v>244</v>
      </c>
      <c r="L827" s="217">
        <v>145.17857142857099</v>
      </c>
      <c r="M827" s="157"/>
    </row>
    <row r="828" spans="9:13">
      <c r="I828" s="348">
        <v>2023</v>
      </c>
      <c r="J828" s="350" t="s">
        <v>348</v>
      </c>
      <c r="K828" s="157" t="s">
        <v>244</v>
      </c>
      <c r="L828" s="217">
        <v>150.642857142857</v>
      </c>
      <c r="M828" s="157"/>
    </row>
    <row r="829" spans="9:13">
      <c r="I829" s="348">
        <v>2024</v>
      </c>
      <c r="J829" s="350" t="s">
        <v>348</v>
      </c>
      <c r="K829" s="157" t="s">
        <v>244</v>
      </c>
      <c r="L829" s="217">
        <v>156.107142857143</v>
      </c>
      <c r="M829" s="157"/>
    </row>
    <row r="830" spans="9:13">
      <c r="I830" s="348">
        <v>2025</v>
      </c>
      <c r="J830" s="350" t="s">
        <v>348</v>
      </c>
      <c r="K830" s="157" t="s">
        <v>244</v>
      </c>
      <c r="L830" s="217">
        <v>161.57142857142901</v>
      </c>
      <c r="M830" s="157"/>
    </row>
    <row r="831" spans="9:13">
      <c r="I831" s="348">
        <v>2026</v>
      </c>
      <c r="J831" s="350" t="s">
        <v>348</v>
      </c>
      <c r="K831" s="157" t="s">
        <v>244</v>
      </c>
      <c r="L831" s="217">
        <v>167.03571428571399</v>
      </c>
      <c r="M831" s="157"/>
    </row>
    <row r="832" spans="9:13">
      <c r="I832" s="348">
        <v>2020</v>
      </c>
      <c r="J832" s="350" t="s">
        <v>349</v>
      </c>
      <c r="K832" s="157" t="s">
        <v>244</v>
      </c>
      <c r="L832" s="217">
        <v>75</v>
      </c>
      <c r="M832" s="157"/>
    </row>
    <row r="833" spans="9:13">
      <c r="I833" s="348">
        <v>2021</v>
      </c>
      <c r="J833" s="350" t="s">
        <v>349</v>
      </c>
      <c r="K833" s="157" t="s">
        <v>244</v>
      </c>
      <c r="L833" s="217">
        <v>80</v>
      </c>
      <c r="M833" s="157"/>
    </row>
    <row r="834" spans="9:13">
      <c r="I834" s="348">
        <v>2022</v>
      </c>
      <c r="J834" s="350" t="s">
        <v>349</v>
      </c>
      <c r="K834" s="157" t="s">
        <v>244</v>
      </c>
      <c r="L834" s="217">
        <v>85</v>
      </c>
      <c r="M834" s="157"/>
    </row>
    <row r="835" spans="9:13">
      <c r="I835" s="348">
        <v>2023</v>
      </c>
      <c r="J835" s="350" t="s">
        <v>349</v>
      </c>
      <c r="K835" s="157" t="s">
        <v>244</v>
      </c>
      <c r="L835" s="217">
        <v>90</v>
      </c>
      <c r="M835" s="157"/>
    </row>
    <row r="836" spans="9:13">
      <c r="I836" s="348">
        <v>2024</v>
      </c>
      <c r="J836" s="350" t="s">
        <v>349</v>
      </c>
      <c r="K836" s="157" t="s">
        <v>244</v>
      </c>
      <c r="L836" s="217">
        <v>96</v>
      </c>
      <c r="M836" s="157"/>
    </row>
    <row r="837" spans="9:13">
      <c r="I837" s="348">
        <v>2025</v>
      </c>
      <c r="J837" s="350" t="s">
        <v>349</v>
      </c>
      <c r="K837" s="157" t="s">
        <v>244</v>
      </c>
      <c r="L837" s="217">
        <v>101.46428571428601</v>
      </c>
      <c r="M837" s="157"/>
    </row>
    <row r="838" spans="9:13">
      <c r="I838" s="352">
        <v>2026</v>
      </c>
      <c r="J838" s="353" t="s">
        <v>349</v>
      </c>
      <c r="K838" s="211" t="s">
        <v>244</v>
      </c>
      <c r="L838" s="218">
        <v>106.928571428571</v>
      </c>
      <c r="M838" s="157"/>
    </row>
    <row r="839" spans="9:13">
      <c r="L839" s="157"/>
    </row>
    <row r="843" spans="9:13" ht="17">
      <c r="I843" s="396" t="s">
        <v>335</v>
      </c>
      <c r="J843" s="397" t="s">
        <v>340</v>
      </c>
      <c r="K843" s="274" t="s">
        <v>242</v>
      </c>
      <c r="L843" s="412" t="s">
        <v>435</v>
      </c>
    </row>
    <row r="844" spans="9:13">
      <c r="I844" s="348">
        <v>2020</v>
      </c>
      <c r="J844" s="370" t="s">
        <v>348</v>
      </c>
      <c r="K844" s="157" t="s">
        <v>243</v>
      </c>
      <c r="L844" s="235">
        <v>0.11</v>
      </c>
      <c r="M844" s="157"/>
    </row>
    <row r="845" spans="9:13">
      <c r="I845" s="348">
        <v>2021</v>
      </c>
      <c r="J845" s="370" t="s">
        <v>348</v>
      </c>
      <c r="K845" s="157" t="s">
        <v>243</v>
      </c>
      <c r="L845" s="217">
        <v>0.12</v>
      </c>
      <c r="M845" s="157"/>
    </row>
    <row r="846" spans="9:13">
      <c r="I846" s="348">
        <v>2022</v>
      </c>
      <c r="J846" s="370" t="s">
        <v>348</v>
      </c>
      <c r="K846" s="157" t="s">
        <v>243</v>
      </c>
      <c r="L846" s="217">
        <v>0.13</v>
      </c>
      <c r="M846" s="157"/>
    </row>
    <row r="847" spans="9:13">
      <c r="I847" s="348">
        <v>2023</v>
      </c>
      <c r="J847" s="370" t="s">
        <v>348</v>
      </c>
      <c r="K847" s="157" t="s">
        <v>243</v>
      </c>
      <c r="L847" s="217">
        <v>0.14000000000000001</v>
      </c>
      <c r="M847" s="157"/>
    </row>
    <row r="848" spans="9:13">
      <c r="I848" s="348">
        <v>2024</v>
      </c>
      <c r="J848" s="370" t="s">
        <v>348</v>
      </c>
      <c r="K848" s="157" t="s">
        <v>243</v>
      </c>
      <c r="L848" s="217">
        <v>0.15</v>
      </c>
      <c r="M848" s="157"/>
    </row>
    <row r="849" spans="9:13">
      <c r="I849" s="348">
        <v>2025</v>
      </c>
      <c r="J849" s="370" t="s">
        <v>348</v>
      </c>
      <c r="K849" s="157" t="s">
        <v>243</v>
      </c>
      <c r="L849" s="217">
        <v>0.12</v>
      </c>
      <c r="M849" s="157"/>
    </row>
    <row r="850" spans="9:13">
      <c r="I850" s="348">
        <v>2026</v>
      </c>
      <c r="J850" s="370" t="s">
        <v>348</v>
      </c>
      <c r="K850" s="157" t="s">
        <v>243</v>
      </c>
      <c r="L850" s="217">
        <v>0.13</v>
      </c>
      <c r="M850" s="157"/>
    </row>
    <row r="851" spans="9:13">
      <c r="I851" s="348">
        <v>2020</v>
      </c>
      <c r="J851" s="370" t="s">
        <v>349</v>
      </c>
      <c r="K851" s="157" t="s">
        <v>243</v>
      </c>
      <c r="L851" s="217">
        <v>0</v>
      </c>
      <c r="M851" s="157"/>
    </row>
    <row r="852" spans="9:13">
      <c r="I852" s="348">
        <v>2021</v>
      </c>
      <c r="J852" s="370" t="s">
        <v>349</v>
      </c>
      <c r="K852" s="157" t="s">
        <v>243</v>
      </c>
      <c r="L852" s="217">
        <v>0.11</v>
      </c>
      <c r="M852" s="157"/>
    </row>
    <row r="853" spans="9:13">
      <c r="I853" s="348">
        <v>2022</v>
      </c>
      <c r="J853" s="370" t="s">
        <v>349</v>
      </c>
      <c r="K853" s="157" t="s">
        <v>243</v>
      </c>
      <c r="L853" s="217">
        <v>8.0555555555555602E-2</v>
      </c>
      <c r="M853" s="157"/>
    </row>
    <row r="854" spans="9:13">
      <c r="I854" s="348">
        <v>2023</v>
      </c>
      <c r="J854" s="370" t="s">
        <v>349</v>
      </c>
      <c r="K854" s="157" t="s">
        <v>243</v>
      </c>
      <c r="L854" s="217">
        <v>7.42222222222223E-2</v>
      </c>
      <c r="M854" s="157"/>
    </row>
    <row r="855" spans="9:13">
      <c r="I855" s="348">
        <v>2024</v>
      </c>
      <c r="J855" s="370" t="s">
        <v>349</v>
      </c>
      <c r="K855" s="157" t="s">
        <v>243</v>
      </c>
      <c r="L855" s="217">
        <v>6.7888888888888901E-2</v>
      </c>
      <c r="M855" s="157"/>
    </row>
    <row r="856" spans="9:13">
      <c r="I856" s="348">
        <v>2025</v>
      </c>
      <c r="J856" s="370" t="s">
        <v>349</v>
      </c>
      <c r="K856" s="157" t="s">
        <v>243</v>
      </c>
      <c r="L856" s="217">
        <v>6.1555555555555599E-2</v>
      </c>
      <c r="M856" s="157"/>
    </row>
    <row r="857" spans="9:13">
      <c r="I857" s="348">
        <v>2026</v>
      </c>
      <c r="J857" s="370" t="s">
        <v>349</v>
      </c>
      <c r="K857" s="157" t="s">
        <v>243</v>
      </c>
      <c r="L857" s="217">
        <v>5.5222222222222297E-2</v>
      </c>
      <c r="M857" s="157"/>
    </row>
    <row r="858" spans="9:13">
      <c r="I858" s="348">
        <v>2020</v>
      </c>
      <c r="J858" s="370" t="s">
        <v>348</v>
      </c>
      <c r="K858" s="157" t="s">
        <v>244</v>
      </c>
      <c r="L858" s="217">
        <v>0.12</v>
      </c>
      <c r="M858" s="157"/>
    </row>
    <row r="859" spans="9:13">
      <c r="I859" s="348">
        <v>2021</v>
      </c>
      <c r="J859" s="370" t="s">
        <v>348</v>
      </c>
      <c r="K859" s="157" t="s">
        <v>244</v>
      </c>
      <c r="L859" s="217">
        <v>0.13</v>
      </c>
      <c r="M859" s="157"/>
    </row>
    <row r="860" spans="9:13">
      <c r="I860" s="348">
        <v>2022</v>
      </c>
      <c r="J860" s="370" t="s">
        <v>348</v>
      </c>
      <c r="K860" s="157" t="s">
        <v>244</v>
      </c>
      <c r="L860" s="217">
        <v>0</v>
      </c>
      <c r="M860" s="157"/>
    </row>
    <row r="861" spans="9:13">
      <c r="I861" s="348">
        <v>2023</v>
      </c>
      <c r="J861" s="370" t="s">
        <v>348</v>
      </c>
      <c r="K861" s="157" t="s">
        <v>244</v>
      </c>
      <c r="L861" s="217">
        <v>0.11</v>
      </c>
      <c r="M861" s="157"/>
    </row>
    <row r="862" spans="9:13">
      <c r="I862" s="348">
        <v>2024</v>
      </c>
      <c r="J862" s="370" t="s">
        <v>348</v>
      </c>
      <c r="K862" s="157" t="s">
        <v>244</v>
      </c>
      <c r="L862" s="217">
        <v>8.0555555555555602E-2</v>
      </c>
      <c r="M862" s="157"/>
    </row>
    <row r="863" spans="9:13">
      <c r="I863" s="348">
        <v>2025</v>
      </c>
      <c r="J863" s="370" t="s">
        <v>348</v>
      </c>
      <c r="K863" s="157" t="s">
        <v>244</v>
      </c>
      <c r="L863" s="217">
        <v>7.42222222222223E-2</v>
      </c>
      <c r="M863" s="157"/>
    </row>
    <row r="864" spans="9:13">
      <c r="I864" s="348">
        <v>2026</v>
      </c>
      <c r="J864" s="370" t="s">
        <v>348</v>
      </c>
      <c r="K864" s="157" t="s">
        <v>244</v>
      </c>
      <c r="L864" s="217">
        <v>0.12</v>
      </c>
      <c r="M864" s="157"/>
    </row>
    <row r="865" spans="9:13">
      <c r="I865" s="348">
        <v>2020</v>
      </c>
      <c r="J865" s="370" t="s">
        <v>349</v>
      </c>
      <c r="K865" s="157" t="s">
        <v>244</v>
      </c>
      <c r="L865" s="217">
        <v>0.13</v>
      </c>
      <c r="M865" s="157"/>
    </row>
    <row r="866" spans="9:13">
      <c r="I866" s="348">
        <v>2021</v>
      </c>
      <c r="J866" s="370" t="s">
        <v>349</v>
      </c>
      <c r="K866" s="157" t="s">
        <v>244</v>
      </c>
      <c r="L866" s="217">
        <v>0</v>
      </c>
      <c r="M866" s="157"/>
    </row>
    <row r="867" spans="9:13">
      <c r="I867" s="348">
        <v>2022</v>
      </c>
      <c r="J867" s="370" t="s">
        <v>349</v>
      </c>
      <c r="K867" s="157" t="s">
        <v>244</v>
      </c>
      <c r="L867" s="217">
        <v>0.11</v>
      </c>
      <c r="M867" s="157"/>
    </row>
    <row r="868" spans="9:13">
      <c r="I868" s="348">
        <v>2023</v>
      </c>
      <c r="J868" s="370" t="s">
        <v>349</v>
      </c>
      <c r="K868" s="157" t="s">
        <v>244</v>
      </c>
      <c r="L868" s="217">
        <v>8.0555555555555602E-2</v>
      </c>
      <c r="M868" s="157"/>
    </row>
    <row r="869" spans="9:13">
      <c r="I869" s="348">
        <v>2024</v>
      </c>
      <c r="J869" s="370" t="s">
        <v>349</v>
      </c>
      <c r="K869" s="157" t="s">
        <v>244</v>
      </c>
      <c r="L869" s="217">
        <v>7.42222222222223E-2</v>
      </c>
      <c r="M869" s="157"/>
    </row>
    <row r="870" spans="9:13">
      <c r="I870" s="348">
        <v>2025</v>
      </c>
      <c r="J870" s="370" t="s">
        <v>349</v>
      </c>
      <c r="K870" s="157" t="s">
        <v>244</v>
      </c>
      <c r="L870" s="217">
        <v>8.0555555555555602E-2</v>
      </c>
      <c r="M870" s="157"/>
    </row>
    <row r="871" spans="9:13">
      <c r="I871" s="352">
        <v>2026</v>
      </c>
      <c r="J871" s="353" t="s">
        <v>349</v>
      </c>
      <c r="K871" s="211" t="s">
        <v>244</v>
      </c>
      <c r="L871" s="218">
        <v>7.42222222222223E-2</v>
      </c>
      <c r="M871" s="157"/>
    </row>
    <row r="872" spans="9:13">
      <c r="L872" s="157"/>
    </row>
    <row r="873" spans="9:13">
      <c r="L873" s="157"/>
    </row>
    <row r="874" spans="9:13">
      <c r="L874" s="157"/>
    </row>
    <row r="878" spans="9:13" s="258" customFormat="1">
      <c r="I878" s="258" t="s">
        <v>436</v>
      </c>
    </row>
    <row r="881" spans="8:13">
      <c r="I881" s="157"/>
      <c r="J881" s="157"/>
      <c r="K881" s="157"/>
      <c r="L881" s="157"/>
    </row>
    <row r="882" spans="8:13" ht="17">
      <c r="H882" s="157"/>
      <c r="I882" s="212" t="s">
        <v>335</v>
      </c>
      <c r="J882" s="422" t="s">
        <v>364</v>
      </c>
      <c r="K882" s="274" t="s">
        <v>242</v>
      </c>
      <c r="L882" s="473" t="s">
        <v>437</v>
      </c>
      <c r="M882" s="157"/>
    </row>
    <row r="883" spans="8:13">
      <c r="I883" s="207">
        <v>2020</v>
      </c>
      <c r="J883" s="147" t="s">
        <v>369</v>
      </c>
      <c r="K883" s="157" t="s">
        <v>243</v>
      </c>
      <c r="L883" s="235">
        <v>0.50190000000000001</v>
      </c>
      <c r="M883" s="157"/>
    </row>
    <row r="884" spans="8:13">
      <c r="I884" s="207">
        <v>2021</v>
      </c>
      <c r="J884" s="147" t="s">
        <v>369</v>
      </c>
      <c r="K884" s="157" t="s">
        <v>243</v>
      </c>
      <c r="L884" s="217">
        <v>0.502</v>
      </c>
      <c r="M884" s="157"/>
    </row>
    <row r="885" spans="8:13">
      <c r="I885" s="207">
        <v>2022</v>
      </c>
      <c r="J885" s="147" t="s">
        <v>369</v>
      </c>
      <c r="K885" s="157" t="s">
        <v>243</v>
      </c>
      <c r="L885" s="217">
        <v>0.50209999999999999</v>
      </c>
      <c r="M885" s="157"/>
    </row>
    <row r="886" spans="8:13">
      <c r="I886" s="207">
        <v>2023</v>
      </c>
      <c r="J886" s="147" t="s">
        <v>369</v>
      </c>
      <c r="K886" s="157" t="s">
        <v>243</v>
      </c>
      <c r="L886" s="217">
        <v>0.50219999999999998</v>
      </c>
      <c r="M886" s="157"/>
    </row>
    <row r="887" spans="8:13">
      <c r="I887" s="207">
        <v>2024</v>
      </c>
      <c r="J887" s="147" t="s">
        <v>369</v>
      </c>
      <c r="K887" s="157" t="s">
        <v>243</v>
      </c>
      <c r="L887" s="217">
        <v>0.50229999999999997</v>
      </c>
      <c r="M887" s="157"/>
    </row>
    <row r="888" spans="8:13">
      <c r="I888" s="207">
        <v>2025</v>
      </c>
      <c r="J888" s="147" t="s">
        <v>369</v>
      </c>
      <c r="K888" s="157" t="s">
        <v>243</v>
      </c>
      <c r="L888" s="217">
        <v>0.50239999999999996</v>
      </c>
      <c r="M888" s="157"/>
    </row>
    <row r="889" spans="8:13">
      <c r="I889" s="207">
        <v>2026</v>
      </c>
      <c r="J889" s="147" t="s">
        <v>369</v>
      </c>
      <c r="K889" s="157" t="s">
        <v>243</v>
      </c>
      <c r="L889" s="217">
        <v>0.50249999999999995</v>
      </c>
      <c r="M889" s="157"/>
    </row>
    <row r="890" spans="8:13">
      <c r="I890" s="207">
        <v>2020</v>
      </c>
      <c r="J890" s="147" t="s">
        <v>369</v>
      </c>
      <c r="K890" s="157" t="s">
        <v>244</v>
      </c>
      <c r="L890" s="217">
        <v>0.50190000000000001</v>
      </c>
      <c r="M890" s="157"/>
    </row>
    <row r="891" spans="8:13">
      <c r="I891" s="207">
        <v>2021</v>
      </c>
      <c r="J891" s="147" t="s">
        <v>369</v>
      </c>
      <c r="K891" s="157" t="s">
        <v>244</v>
      </c>
      <c r="L891" s="217">
        <v>0.502</v>
      </c>
      <c r="M891" s="157"/>
    </row>
    <row r="892" spans="8:13">
      <c r="I892" s="207">
        <v>2022</v>
      </c>
      <c r="J892" s="147" t="s">
        <v>369</v>
      </c>
      <c r="K892" s="157" t="s">
        <v>244</v>
      </c>
      <c r="L892" s="217">
        <v>0.50209999999999999</v>
      </c>
      <c r="M892" s="157"/>
    </row>
    <row r="893" spans="8:13">
      <c r="I893" s="207">
        <v>2023</v>
      </c>
      <c r="J893" s="147" t="s">
        <v>369</v>
      </c>
      <c r="K893" s="157" t="s">
        <v>244</v>
      </c>
      <c r="L893" s="217">
        <v>0.50219999999999998</v>
      </c>
      <c r="M893" s="157"/>
    </row>
    <row r="894" spans="8:13">
      <c r="I894" s="207">
        <v>2024</v>
      </c>
      <c r="J894" s="147" t="s">
        <v>369</v>
      </c>
      <c r="K894" s="157" t="s">
        <v>244</v>
      </c>
      <c r="L894" s="217">
        <v>0.50229999999999997</v>
      </c>
      <c r="M894" s="157"/>
    </row>
    <row r="895" spans="8:13">
      <c r="I895" s="207">
        <v>2025</v>
      </c>
      <c r="J895" s="147" t="s">
        <v>369</v>
      </c>
      <c r="K895" s="157" t="s">
        <v>244</v>
      </c>
      <c r="L895" s="217">
        <v>0.50239999999999996</v>
      </c>
      <c r="M895" s="157"/>
    </row>
    <row r="896" spans="8:13">
      <c r="I896" s="207">
        <v>2026</v>
      </c>
      <c r="J896" s="147" t="s">
        <v>369</v>
      </c>
      <c r="K896" s="157" t="s">
        <v>244</v>
      </c>
      <c r="L896" s="217">
        <v>0.50249999999999995</v>
      </c>
      <c r="M896" s="157"/>
    </row>
    <row r="897" spans="9:13">
      <c r="I897" s="207">
        <v>2020</v>
      </c>
      <c r="J897" s="147" t="s">
        <v>370</v>
      </c>
      <c r="K897" s="157" t="s">
        <v>243</v>
      </c>
      <c r="L897" s="217">
        <v>0.41</v>
      </c>
      <c r="M897" s="157"/>
    </row>
    <row r="898" spans="9:13">
      <c r="I898" s="207">
        <v>2021</v>
      </c>
      <c r="J898" s="147" t="s">
        <v>370</v>
      </c>
      <c r="K898" s="157" t="s">
        <v>243</v>
      </c>
      <c r="L898" s="217">
        <v>0.41099999999999998</v>
      </c>
      <c r="M898" s="157"/>
    </row>
    <row r="899" spans="9:13">
      <c r="I899" s="207">
        <v>2022</v>
      </c>
      <c r="J899" s="147" t="s">
        <v>370</v>
      </c>
      <c r="K899" s="157" t="s">
        <v>243</v>
      </c>
      <c r="L899" s="217">
        <v>0.41199999999999998</v>
      </c>
      <c r="M899" s="157"/>
    </row>
    <row r="900" spans="9:13">
      <c r="I900" s="207">
        <v>2023</v>
      </c>
      <c r="J900" s="147" t="s">
        <v>370</v>
      </c>
      <c r="K900" s="157" t="s">
        <v>243</v>
      </c>
      <c r="L900" s="217">
        <v>0.41299999999999998</v>
      </c>
      <c r="M900" s="157"/>
    </row>
    <row r="901" spans="9:13">
      <c r="I901" s="207">
        <v>2024</v>
      </c>
      <c r="J901" s="147" t="s">
        <v>370</v>
      </c>
      <c r="K901" s="157" t="s">
        <v>243</v>
      </c>
      <c r="L901" s="217">
        <v>0.41399999999999998</v>
      </c>
      <c r="M901" s="157"/>
    </row>
    <row r="902" spans="9:13">
      <c r="I902" s="207">
        <v>2025</v>
      </c>
      <c r="J902" s="147" t="s">
        <v>370</v>
      </c>
      <c r="K902" s="157" t="s">
        <v>243</v>
      </c>
      <c r="L902" s="217">
        <v>0.41499999999999998</v>
      </c>
      <c r="M902" s="157"/>
    </row>
    <row r="903" spans="9:13">
      <c r="I903" s="207">
        <v>2026</v>
      </c>
      <c r="J903" s="147" t="s">
        <v>370</v>
      </c>
      <c r="K903" s="157" t="s">
        <v>243</v>
      </c>
      <c r="L903" s="217">
        <v>0.41599999999999998</v>
      </c>
      <c r="M903" s="157"/>
    </row>
    <row r="904" spans="9:13">
      <c r="I904" s="207">
        <v>2020</v>
      </c>
      <c r="J904" s="147" t="s">
        <v>370</v>
      </c>
      <c r="K904" s="157" t="s">
        <v>244</v>
      </c>
      <c r="L904" s="217">
        <v>0.41699999999999998</v>
      </c>
      <c r="M904" s="157"/>
    </row>
    <row r="905" spans="9:13">
      <c r="I905" s="207">
        <v>2021</v>
      </c>
      <c r="J905" s="147" t="s">
        <v>370</v>
      </c>
      <c r="K905" s="157" t="s">
        <v>244</v>
      </c>
      <c r="L905" s="217">
        <v>0.41799999999999998</v>
      </c>
      <c r="M905" s="157"/>
    </row>
    <row r="906" spans="9:13">
      <c r="I906" s="207">
        <v>2022</v>
      </c>
      <c r="J906" s="147" t="s">
        <v>370</v>
      </c>
      <c r="K906" s="157" t="s">
        <v>244</v>
      </c>
      <c r="L906" s="217">
        <v>0.41899999999999998</v>
      </c>
      <c r="M906" s="157"/>
    </row>
    <row r="907" spans="9:13">
      <c r="I907" s="207">
        <v>2023</v>
      </c>
      <c r="J907" s="147" t="s">
        <v>370</v>
      </c>
      <c r="K907" s="157" t="s">
        <v>244</v>
      </c>
      <c r="L907" s="217">
        <v>0.42</v>
      </c>
      <c r="M907" s="157"/>
    </row>
    <row r="908" spans="9:13">
      <c r="I908" s="207">
        <v>2024</v>
      </c>
      <c r="J908" s="147" t="s">
        <v>370</v>
      </c>
      <c r="K908" s="157" t="s">
        <v>244</v>
      </c>
      <c r="L908" s="217">
        <v>0.42099999999999999</v>
      </c>
      <c r="M908" s="157"/>
    </row>
    <row r="909" spans="9:13">
      <c r="I909" s="207">
        <v>2025</v>
      </c>
      <c r="J909" s="147" t="s">
        <v>370</v>
      </c>
      <c r="K909" s="157" t="s">
        <v>244</v>
      </c>
      <c r="L909" s="217">
        <v>0.42199999999999999</v>
      </c>
      <c r="M909" s="157"/>
    </row>
    <row r="910" spans="9:13">
      <c r="I910" s="208">
        <v>2026</v>
      </c>
      <c r="J910" s="211" t="s">
        <v>370</v>
      </c>
      <c r="K910" s="211" t="s">
        <v>244</v>
      </c>
      <c r="L910" s="218">
        <v>0.42299999999999999</v>
      </c>
      <c r="M910" s="157"/>
    </row>
    <row r="911" spans="9:13">
      <c r="L911" s="157"/>
    </row>
    <row r="913" spans="9:13">
      <c r="L913" s="157"/>
    </row>
    <row r="914" spans="9:13" ht="18">
      <c r="I914" s="212" t="s">
        <v>335</v>
      </c>
      <c r="J914" s="422" t="s">
        <v>364</v>
      </c>
      <c r="K914" s="274" t="s">
        <v>242</v>
      </c>
      <c r="L914" s="456" t="s">
        <v>438</v>
      </c>
      <c r="M914" s="157"/>
    </row>
    <row r="915" spans="9:13">
      <c r="I915" s="207">
        <v>2020</v>
      </c>
      <c r="J915" s="157" t="s">
        <v>369</v>
      </c>
      <c r="K915" s="157" t="s">
        <v>243</v>
      </c>
      <c r="L915" s="424">
        <v>5</v>
      </c>
      <c r="M915" s="157"/>
    </row>
    <row r="916" spans="9:13">
      <c r="I916" s="207">
        <v>2021</v>
      </c>
      <c r="J916" s="147" t="s">
        <v>369</v>
      </c>
      <c r="K916" s="157" t="s">
        <v>243</v>
      </c>
      <c r="L916" s="424">
        <v>4</v>
      </c>
      <c r="M916" s="157"/>
    </row>
    <row r="917" spans="9:13">
      <c r="I917" s="207">
        <v>2022</v>
      </c>
      <c r="J917" s="147" t="s">
        <v>369</v>
      </c>
      <c r="K917" s="157" t="s">
        <v>243</v>
      </c>
      <c r="L917" s="424">
        <v>1</v>
      </c>
      <c r="M917" s="157"/>
    </row>
    <row r="918" spans="9:13">
      <c r="I918" s="207">
        <v>2023</v>
      </c>
      <c r="J918" s="147" t="s">
        <v>369</v>
      </c>
      <c r="K918" s="157" t="s">
        <v>243</v>
      </c>
      <c r="L918" s="424">
        <v>2</v>
      </c>
      <c r="M918" s="157"/>
    </row>
    <row r="919" spans="9:13">
      <c r="I919" s="207">
        <v>2024</v>
      </c>
      <c r="J919" s="147" t="s">
        <v>369</v>
      </c>
      <c r="K919" s="157" t="s">
        <v>243</v>
      </c>
      <c r="L919" s="424">
        <v>5</v>
      </c>
      <c r="M919" s="157"/>
    </row>
    <row r="920" spans="9:13">
      <c r="I920" s="207">
        <v>2025</v>
      </c>
      <c r="J920" s="147" t="s">
        <v>369</v>
      </c>
      <c r="K920" s="157" t="s">
        <v>243</v>
      </c>
      <c r="L920" s="424">
        <v>4</v>
      </c>
      <c r="M920" s="157"/>
    </row>
    <row r="921" spans="9:13">
      <c r="I921" s="207">
        <v>2026</v>
      </c>
      <c r="J921" s="147" t="s">
        <v>369</v>
      </c>
      <c r="K921" s="157" t="s">
        <v>243</v>
      </c>
      <c r="L921" s="424">
        <v>7</v>
      </c>
      <c r="M921" s="157"/>
    </row>
    <row r="922" spans="9:13">
      <c r="I922" s="207">
        <v>2020</v>
      </c>
      <c r="J922" s="147" t="s">
        <v>369</v>
      </c>
      <c r="K922" s="157" t="s">
        <v>244</v>
      </c>
      <c r="L922" s="424">
        <v>8</v>
      </c>
      <c r="M922" s="157"/>
    </row>
    <row r="923" spans="9:13">
      <c r="I923" s="207">
        <v>2021</v>
      </c>
      <c r="J923" s="147" t="s">
        <v>369</v>
      </c>
      <c r="K923" s="157" t="s">
        <v>244</v>
      </c>
      <c r="L923" s="424">
        <v>5</v>
      </c>
      <c r="M923" s="157"/>
    </row>
    <row r="924" spans="9:13">
      <c r="I924" s="207">
        <v>2022</v>
      </c>
      <c r="J924" s="147" t="s">
        <v>369</v>
      </c>
      <c r="K924" s="157" t="s">
        <v>244</v>
      </c>
      <c r="L924" s="424">
        <v>4</v>
      </c>
      <c r="M924" s="157"/>
    </row>
    <row r="925" spans="9:13">
      <c r="I925" s="207">
        <v>2023</v>
      </c>
      <c r="J925" s="147" t="s">
        <v>369</v>
      </c>
      <c r="K925" s="157" t="s">
        <v>244</v>
      </c>
      <c r="L925" s="424">
        <v>5</v>
      </c>
      <c r="M925" s="157"/>
    </row>
    <row r="926" spans="9:13">
      <c r="I926" s="207">
        <v>2024</v>
      </c>
      <c r="J926" s="147" t="s">
        <v>369</v>
      </c>
      <c r="K926" s="157" t="s">
        <v>244</v>
      </c>
      <c r="L926" s="424">
        <v>4</v>
      </c>
      <c r="M926" s="157"/>
    </row>
    <row r="927" spans="9:13">
      <c r="I927" s="207">
        <v>2025</v>
      </c>
      <c r="J927" s="147" t="s">
        <v>369</v>
      </c>
      <c r="K927" s="157" t="s">
        <v>244</v>
      </c>
      <c r="L927" s="424">
        <v>5</v>
      </c>
      <c r="M927" s="157"/>
    </row>
    <row r="928" spans="9:13">
      <c r="I928" s="207">
        <v>2026</v>
      </c>
      <c r="J928" s="147" t="s">
        <v>369</v>
      </c>
      <c r="K928" s="157" t="s">
        <v>244</v>
      </c>
      <c r="L928" s="424">
        <v>6</v>
      </c>
      <c r="M928" s="157"/>
    </row>
    <row r="929" spans="9:13">
      <c r="I929" s="207">
        <v>2020</v>
      </c>
      <c r="J929" s="147" t="s">
        <v>370</v>
      </c>
      <c r="K929" s="157" t="s">
        <v>243</v>
      </c>
      <c r="L929" s="424">
        <v>5</v>
      </c>
      <c r="M929" s="157"/>
    </row>
    <row r="930" spans="9:13">
      <c r="I930" s="207">
        <v>2021</v>
      </c>
      <c r="J930" s="147" t="s">
        <v>370</v>
      </c>
      <c r="K930" s="157" t="s">
        <v>243</v>
      </c>
      <c r="L930" s="424">
        <v>4</v>
      </c>
      <c r="M930" s="157"/>
    </row>
    <row r="931" spans="9:13">
      <c r="I931" s="207">
        <v>2022</v>
      </c>
      <c r="J931" s="147" t="s">
        <v>370</v>
      </c>
      <c r="K931" s="157" t="s">
        <v>243</v>
      </c>
      <c r="L931" s="424">
        <v>5</v>
      </c>
      <c r="M931" s="157"/>
    </row>
    <row r="932" spans="9:13">
      <c r="I932" s="207">
        <v>2023</v>
      </c>
      <c r="J932" s="147" t="s">
        <v>370</v>
      </c>
      <c r="K932" s="157" t="s">
        <v>243</v>
      </c>
      <c r="L932" s="424">
        <v>8</v>
      </c>
      <c r="M932" s="157"/>
    </row>
    <row r="933" spans="9:13">
      <c r="I933" s="207">
        <v>2024</v>
      </c>
      <c r="J933" s="147" t="s">
        <v>370</v>
      </c>
      <c r="K933" s="157" t="s">
        <v>243</v>
      </c>
      <c r="L933" s="424">
        <v>4</v>
      </c>
      <c r="M933" s="157"/>
    </row>
    <row r="934" spans="9:13">
      <c r="I934" s="207">
        <v>2025</v>
      </c>
      <c r="J934" s="147" t="s">
        <v>370</v>
      </c>
      <c r="K934" s="157" t="s">
        <v>243</v>
      </c>
      <c r="L934" s="424">
        <v>5</v>
      </c>
      <c r="M934" s="157"/>
    </row>
    <row r="935" spans="9:13">
      <c r="I935" s="207">
        <v>2026</v>
      </c>
      <c r="J935" s="147" t="s">
        <v>370</v>
      </c>
      <c r="K935" s="157" t="s">
        <v>243</v>
      </c>
      <c r="L935" s="424">
        <v>4</v>
      </c>
      <c r="M935" s="157"/>
    </row>
    <row r="936" spans="9:13">
      <c r="I936" s="207">
        <v>2020</v>
      </c>
      <c r="J936" s="147" t="s">
        <v>370</v>
      </c>
      <c r="K936" s="157" t="s">
        <v>244</v>
      </c>
      <c r="L936" s="424">
        <v>5</v>
      </c>
      <c r="M936" s="157"/>
    </row>
    <row r="937" spans="9:13">
      <c r="I937" s="207">
        <v>2021</v>
      </c>
      <c r="J937" s="147" t="s">
        <v>370</v>
      </c>
      <c r="K937" s="157" t="s">
        <v>244</v>
      </c>
      <c r="L937" s="424">
        <v>4</v>
      </c>
      <c r="M937" s="157"/>
    </row>
    <row r="938" spans="9:13">
      <c r="I938" s="207">
        <v>2022</v>
      </c>
      <c r="J938" s="147" t="s">
        <v>370</v>
      </c>
      <c r="K938" s="157" t="s">
        <v>244</v>
      </c>
      <c r="L938" s="424">
        <v>9</v>
      </c>
      <c r="M938" s="157"/>
    </row>
    <row r="939" spans="9:13">
      <c r="I939" s="207">
        <v>2023</v>
      </c>
      <c r="J939" s="147" t="s">
        <v>370</v>
      </c>
      <c r="K939" s="157" t="s">
        <v>244</v>
      </c>
      <c r="L939" s="424">
        <v>8</v>
      </c>
      <c r="M939" s="157"/>
    </row>
    <row r="940" spans="9:13">
      <c r="I940" s="207">
        <v>2024</v>
      </c>
      <c r="J940" s="147" t="s">
        <v>370</v>
      </c>
      <c r="K940" s="157" t="s">
        <v>244</v>
      </c>
      <c r="L940" s="424">
        <v>7</v>
      </c>
      <c r="M940" s="157"/>
    </row>
    <row r="941" spans="9:13">
      <c r="I941" s="207">
        <v>2025</v>
      </c>
      <c r="J941" s="147" t="s">
        <v>370</v>
      </c>
      <c r="K941" s="157" t="s">
        <v>244</v>
      </c>
      <c r="L941" s="424">
        <v>5</v>
      </c>
      <c r="M941" s="157"/>
    </row>
    <row r="942" spans="9:13">
      <c r="I942" s="208">
        <v>2026</v>
      </c>
      <c r="J942" s="211" t="s">
        <v>370</v>
      </c>
      <c r="K942" s="211" t="s">
        <v>244</v>
      </c>
      <c r="L942" s="425">
        <v>5</v>
      </c>
      <c r="M942" s="157"/>
    </row>
    <row r="943" spans="9:13">
      <c r="L943" s="157"/>
    </row>
    <row r="947" spans="8:11" s="258" customFormat="1">
      <c r="I947" s="258" t="s">
        <v>439</v>
      </c>
    </row>
    <row r="950" spans="8:11">
      <c r="I950" s="157"/>
      <c r="J950" s="157"/>
    </row>
    <row r="951" spans="8:11" ht="34">
      <c r="H951" s="157"/>
      <c r="I951" s="434" t="s">
        <v>364</v>
      </c>
      <c r="J951" s="474" t="s">
        <v>440</v>
      </c>
      <c r="K951" s="157"/>
    </row>
    <row r="952" spans="8:11">
      <c r="H952" s="157"/>
      <c r="I952" s="435" t="s">
        <v>369</v>
      </c>
      <c r="J952" s="235">
        <v>8.4000000000000003E-4</v>
      </c>
      <c r="K952" s="157"/>
    </row>
    <row r="953" spans="8:11">
      <c r="H953" s="157"/>
      <c r="I953" s="436" t="s">
        <v>370</v>
      </c>
      <c r="J953" s="218">
        <v>7.5000000000000002E-4</v>
      </c>
      <c r="K953" s="157"/>
    </row>
    <row r="954" spans="8:11">
      <c r="I954" s="157"/>
      <c r="J954" s="157"/>
    </row>
    <row r="958" spans="8:11" s="258" customFormat="1">
      <c r="I958" s="258" t="s">
        <v>441</v>
      </c>
    </row>
    <row r="961" spans="8:13">
      <c r="I961" s="157"/>
      <c r="J961" s="157"/>
      <c r="L961" s="157"/>
    </row>
    <row r="962" spans="8:13" ht="17">
      <c r="H962" s="157"/>
      <c r="I962" s="212" t="s">
        <v>335</v>
      </c>
      <c r="J962" s="455" t="s">
        <v>364</v>
      </c>
      <c r="K962" s="274" t="s">
        <v>242</v>
      </c>
      <c r="L962" s="471" t="s">
        <v>442</v>
      </c>
      <c r="M962" s="157"/>
    </row>
    <row r="963" spans="8:13">
      <c r="H963" s="157"/>
      <c r="I963" s="207">
        <v>2020</v>
      </c>
      <c r="J963" s="147" t="s">
        <v>369</v>
      </c>
      <c r="K963" s="157" t="s">
        <v>243</v>
      </c>
      <c r="L963" s="217">
        <v>43.3</v>
      </c>
      <c r="M963" s="157"/>
    </row>
    <row r="964" spans="8:13">
      <c r="H964" s="157"/>
      <c r="I964" s="207">
        <v>2021</v>
      </c>
      <c r="J964" s="147" t="s">
        <v>369</v>
      </c>
      <c r="K964" s="157" t="s">
        <v>243</v>
      </c>
      <c r="L964" s="217">
        <v>43.31</v>
      </c>
      <c r="M964" s="157"/>
    </row>
    <row r="965" spans="8:13">
      <c r="H965" s="157"/>
      <c r="I965" s="207">
        <v>2022</v>
      </c>
      <c r="J965" s="147" t="s">
        <v>369</v>
      </c>
      <c r="K965" s="157" t="s">
        <v>243</v>
      </c>
      <c r="L965" s="217">
        <v>43.29</v>
      </c>
      <c r="M965" s="157"/>
    </row>
    <row r="966" spans="8:13">
      <c r="H966" s="157"/>
      <c r="I966" s="207">
        <v>2023</v>
      </c>
      <c r="J966" s="147" t="s">
        <v>369</v>
      </c>
      <c r="K966" s="157" t="s">
        <v>243</v>
      </c>
      <c r="L966" s="217">
        <v>43.29</v>
      </c>
      <c r="M966" s="157"/>
    </row>
    <row r="967" spans="8:13">
      <c r="H967" s="157"/>
      <c r="I967" s="207">
        <v>2024</v>
      </c>
      <c r="J967" s="147" t="s">
        <v>369</v>
      </c>
      <c r="K967" s="157" t="s">
        <v>243</v>
      </c>
      <c r="L967" s="217">
        <v>43.284999999999997</v>
      </c>
      <c r="M967" s="157"/>
    </row>
    <row r="968" spans="8:13">
      <c r="H968" s="157"/>
      <c r="I968" s="207">
        <v>2025</v>
      </c>
      <c r="J968" s="147" t="s">
        <v>369</v>
      </c>
      <c r="K968" s="157" t="s">
        <v>243</v>
      </c>
      <c r="L968" s="217">
        <v>43.28</v>
      </c>
      <c r="M968" s="157"/>
    </row>
    <row r="969" spans="8:13">
      <c r="H969" s="157"/>
      <c r="I969" s="207">
        <v>2026</v>
      </c>
      <c r="J969" s="147" t="s">
        <v>369</v>
      </c>
      <c r="K969" s="157" t="s">
        <v>243</v>
      </c>
      <c r="L969" s="217">
        <v>43.274999999999999</v>
      </c>
      <c r="M969" s="157"/>
    </row>
    <row r="970" spans="8:13">
      <c r="H970" s="157"/>
      <c r="I970" s="207">
        <v>2020</v>
      </c>
      <c r="J970" s="147" t="s">
        <v>369</v>
      </c>
      <c r="K970" s="157" t="s">
        <v>244</v>
      </c>
      <c r="L970" s="217">
        <v>44.8</v>
      </c>
      <c r="M970" s="157"/>
    </row>
    <row r="971" spans="8:13">
      <c r="H971" s="157"/>
      <c r="I971" s="207">
        <v>2021</v>
      </c>
      <c r="J971" s="147" t="s">
        <v>369</v>
      </c>
      <c r="K971" s="157" t="s">
        <v>244</v>
      </c>
      <c r="L971" s="217">
        <v>44.81</v>
      </c>
      <c r="M971" s="157"/>
    </row>
    <row r="972" spans="8:13">
      <c r="H972" s="157"/>
      <c r="I972" s="207">
        <v>2022</v>
      </c>
      <c r="J972" s="147" t="s">
        <v>369</v>
      </c>
      <c r="K972" s="157" t="s">
        <v>244</v>
      </c>
      <c r="L972" s="217">
        <v>44.79</v>
      </c>
      <c r="M972" s="157"/>
    </row>
    <row r="973" spans="8:13">
      <c r="H973" s="157"/>
      <c r="I973" s="207">
        <v>2023</v>
      </c>
      <c r="J973" s="147" t="s">
        <v>369</v>
      </c>
      <c r="K973" s="157" t="s">
        <v>244</v>
      </c>
      <c r="L973" s="217">
        <v>44.78</v>
      </c>
      <c r="M973" s="157"/>
    </row>
    <row r="974" spans="8:13">
      <c r="H974" s="157"/>
      <c r="I974" s="207">
        <v>2024</v>
      </c>
      <c r="J974" s="147" t="s">
        <v>369</v>
      </c>
      <c r="K974" s="157" t="s">
        <v>244</v>
      </c>
      <c r="L974" s="217">
        <v>44.82</v>
      </c>
      <c r="M974" s="157"/>
    </row>
    <row r="975" spans="8:13">
      <c r="H975" s="157"/>
      <c r="I975" s="207">
        <v>2025</v>
      </c>
      <c r="J975" s="147" t="s">
        <v>369</v>
      </c>
      <c r="K975" s="157" t="s">
        <v>244</v>
      </c>
      <c r="L975" s="217">
        <v>44.802999999999997</v>
      </c>
      <c r="M975" s="157"/>
    </row>
    <row r="976" spans="8:13">
      <c r="H976" s="157"/>
      <c r="I976" s="207">
        <v>2026</v>
      </c>
      <c r="J976" s="147" t="s">
        <v>369</v>
      </c>
      <c r="K976" s="157" t="s">
        <v>244</v>
      </c>
      <c r="L976" s="217">
        <v>44.804000000000002</v>
      </c>
      <c r="M976" s="157"/>
    </row>
    <row r="977" spans="9:13">
      <c r="I977" s="207">
        <v>2020</v>
      </c>
      <c r="J977" s="147" t="s">
        <v>370</v>
      </c>
      <c r="K977" s="157" t="s">
        <v>243</v>
      </c>
      <c r="L977" s="217">
        <v>43.29</v>
      </c>
      <c r="M977" s="157"/>
    </row>
    <row r="978" spans="9:13">
      <c r="I978" s="207">
        <v>2021</v>
      </c>
      <c r="J978" s="147" t="s">
        <v>370</v>
      </c>
      <c r="K978" s="157" t="s">
        <v>243</v>
      </c>
      <c r="L978" s="217">
        <v>43.29</v>
      </c>
      <c r="M978" s="157"/>
    </row>
    <row r="979" spans="9:13">
      <c r="I979" s="207">
        <v>2022</v>
      </c>
      <c r="J979" s="147" t="s">
        <v>370</v>
      </c>
      <c r="K979" s="157" t="s">
        <v>243</v>
      </c>
      <c r="L979" s="217">
        <v>43.284999999999997</v>
      </c>
      <c r="M979" s="157"/>
    </row>
    <row r="980" spans="9:13">
      <c r="I980" s="207">
        <v>2023</v>
      </c>
      <c r="J980" s="147" t="s">
        <v>370</v>
      </c>
      <c r="K980" s="157" t="s">
        <v>243</v>
      </c>
      <c r="L980" s="217">
        <v>43.31</v>
      </c>
      <c r="M980" s="157"/>
    </row>
    <row r="981" spans="9:13">
      <c r="I981" s="207">
        <v>2024</v>
      </c>
      <c r="J981" s="147" t="s">
        <v>370</v>
      </c>
      <c r="K981" s="157" t="s">
        <v>243</v>
      </c>
      <c r="L981" s="217">
        <v>43.29</v>
      </c>
      <c r="M981" s="157"/>
    </row>
    <row r="982" spans="9:13">
      <c r="I982" s="207">
        <v>2025</v>
      </c>
      <c r="J982" s="147" t="s">
        <v>370</v>
      </c>
      <c r="K982" s="157" t="s">
        <v>243</v>
      </c>
      <c r="L982" s="217">
        <v>43.29</v>
      </c>
      <c r="M982" s="157"/>
    </row>
    <row r="983" spans="9:13">
      <c r="I983" s="207">
        <v>2026</v>
      </c>
      <c r="J983" s="147" t="s">
        <v>370</v>
      </c>
      <c r="K983" s="157" t="s">
        <v>243</v>
      </c>
      <c r="L983" s="217">
        <v>43.284999999999997</v>
      </c>
      <c r="M983" s="157"/>
    </row>
    <row r="984" spans="9:13">
      <c r="I984" s="207">
        <v>2020</v>
      </c>
      <c r="J984" s="147" t="s">
        <v>370</v>
      </c>
      <c r="K984" s="157" t="s">
        <v>244</v>
      </c>
      <c r="L984" s="217">
        <v>43.28</v>
      </c>
      <c r="M984" s="157"/>
    </row>
    <row r="985" spans="9:13">
      <c r="I985" s="207">
        <v>2021</v>
      </c>
      <c r="J985" s="147" t="s">
        <v>370</v>
      </c>
      <c r="K985" s="157" t="s">
        <v>244</v>
      </c>
      <c r="L985" s="217">
        <v>43.274999999999999</v>
      </c>
      <c r="M985" s="157"/>
    </row>
    <row r="986" spans="9:13">
      <c r="I986" s="207">
        <v>2022</v>
      </c>
      <c r="J986" s="147" t="s">
        <v>370</v>
      </c>
      <c r="K986" s="157" t="s">
        <v>244</v>
      </c>
      <c r="L986" s="217">
        <v>44.8</v>
      </c>
      <c r="M986" s="157"/>
    </row>
    <row r="987" spans="9:13">
      <c r="I987" s="207">
        <v>2023</v>
      </c>
      <c r="J987" s="147" t="s">
        <v>370</v>
      </c>
      <c r="K987" s="157" t="s">
        <v>244</v>
      </c>
      <c r="L987" s="217">
        <v>44.81</v>
      </c>
      <c r="M987" s="157"/>
    </row>
    <row r="988" spans="9:13">
      <c r="I988" s="207">
        <v>2024</v>
      </c>
      <c r="J988" s="147" t="s">
        <v>370</v>
      </c>
      <c r="K988" s="157" t="s">
        <v>244</v>
      </c>
      <c r="L988" s="217">
        <v>44.79</v>
      </c>
      <c r="M988" s="157"/>
    </row>
    <row r="989" spans="9:13">
      <c r="I989" s="207">
        <v>2025</v>
      </c>
      <c r="J989" s="147" t="s">
        <v>370</v>
      </c>
      <c r="K989" s="157" t="s">
        <v>244</v>
      </c>
      <c r="L989" s="217">
        <v>44.78</v>
      </c>
      <c r="M989" s="157"/>
    </row>
    <row r="990" spans="9:13">
      <c r="I990" s="208">
        <v>2026</v>
      </c>
      <c r="J990" s="211" t="s">
        <v>370</v>
      </c>
      <c r="K990" s="211" t="s">
        <v>244</v>
      </c>
      <c r="L990" s="218">
        <v>44.82</v>
      </c>
      <c r="M990" s="157"/>
    </row>
    <row r="991" spans="9:13">
      <c r="I991" s="157"/>
      <c r="J991" s="157"/>
      <c r="K991" s="157"/>
      <c r="L991" s="157"/>
    </row>
    <row r="992" spans="9:13">
      <c r="I992" s="157"/>
      <c r="J992" s="157"/>
      <c r="K992" s="157"/>
    </row>
    <row r="993" spans="9:13">
      <c r="I993" s="157"/>
      <c r="J993" s="157"/>
      <c r="K993" s="157"/>
    </row>
    <row r="994" spans="9:13">
      <c r="L994" s="157"/>
    </row>
    <row r="995" spans="9:13" ht="17">
      <c r="I995" s="212" t="s">
        <v>335</v>
      </c>
      <c r="J995" s="455" t="s">
        <v>364</v>
      </c>
      <c r="K995" s="274" t="s">
        <v>242</v>
      </c>
      <c r="L995" s="471" t="s">
        <v>443</v>
      </c>
      <c r="M995" s="157"/>
    </row>
    <row r="996" spans="9:13">
      <c r="I996" s="207">
        <v>2020</v>
      </c>
      <c r="J996" s="147" t="s">
        <v>369</v>
      </c>
      <c r="K996" s="157" t="s">
        <v>243</v>
      </c>
      <c r="L996" s="217">
        <v>2.6</v>
      </c>
      <c r="M996" s="157"/>
    </row>
    <row r="997" spans="9:13">
      <c r="I997" s="207">
        <v>2021</v>
      </c>
      <c r="J997" s="147" t="s">
        <v>369</v>
      </c>
      <c r="K997" s="157" t="s">
        <v>243</v>
      </c>
      <c r="L997" s="217">
        <v>2.61</v>
      </c>
      <c r="M997" s="157"/>
    </row>
    <row r="998" spans="9:13">
      <c r="I998" s="207">
        <v>2022</v>
      </c>
      <c r="J998" s="147" t="s">
        <v>369</v>
      </c>
      <c r="K998" s="157" t="s">
        <v>243</v>
      </c>
      <c r="L998" s="217">
        <v>2.62</v>
      </c>
      <c r="M998" s="157"/>
    </row>
    <row r="999" spans="9:13">
      <c r="I999" s="207">
        <v>2023</v>
      </c>
      <c r="J999" s="147" t="s">
        <v>369</v>
      </c>
      <c r="K999" s="157" t="s">
        <v>243</v>
      </c>
      <c r="L999" s="217">
        <v>2.63</v>
      </c>
      <c r="M999" s="157"/>
    </row>
    <row r="1000" spans="9:13">
      <c r="I1000" s="207">
        <v>2024</v>
      </c>
      <c r="J1000" s="147" t="s">
        <v>369</v>
      </c>
      <c r="K1000" s="157" t="s">
        <v>243</v>
      </c>
      <c r="L1000" s="217">
        <v>2.63</v>
      </c>
      <c r="M1000" s="157"/>
    </row>
    <row r="1001" spans="9:13">
      <c r="I1001" s="207">
        <v>2025</v>
      </c>
      <c r="J1001" s="147" t="s">
        <v>369</v>
      </c>
      <c r="K1001" s="157" t="s">
        <v>243</v>
      </c>
      <c r="L1001" s="217">
        <v>2.65</v>
      </c>
      <c r="M1001" s="157"/>
    </row>
    <row r="1002" spans="9:13">
      <c r="I1002" s="207">
        <v>2026</v>
      </c>
      <c r="J1002" s="147" t="s">
        <v>369</v>
      </c>
      <c r="K1002" s="157" t="s">
        <v>243</v>
      </c>
      <c r="L1002" s="217">
        <v>2.67</v>
      </c>
      <c r="M1002" s="157"/>
    </row>
    <row r="1003" spans="9:13">
      <c r="I1003" s="207">
        <v>2020</v>
      </c>
      <c r="J1003" s="147" t="s">
        <v>369</v>
      </c>
      <c r="K1003" s="157" t="s">
        <v>244</v>
      </c>
      <c r="L1003" s="217">
        <v>2.7</v>
      </c>
      <c r="M1003" s="157"/>
    </row>
    <row r="1004" spans="9:13">
      <c r="I1004" s="207">
        <v>2021</v>
      </c>
      <c r="J1004" s="147" t="s">
        <v>369</v>
      </c>
      <c r="K1004" s="157" t="s">
        <v>244</v>
      </c>
      <c r="L1004" s="217">
        <v>3.2</v>
      </c>
      <c r="M1004" s="157"/>
    </row>
    <row r="1005" spans="9:13">
      <c r="I1005" s="207">
        <v>2022</v>
      </c>
      <c r="J1005" s="147" t="s">
        <v>369</v>
      </c>
      <c r="K1005" s="157" t="s">
        <v>244</v>
      </c>
      <c r="L1005" s="217">
        <v>3.3</v>
      </c>
      <c r="M1005" s="157"/>
    </row>
    <row r="1006" spans="9:13">
      <c r="I1006" s="207">
        <v>2023</v>
      </c>
      <c r="J1006" s="147" t="s">
        <v>369</v>
      </c>
      <c r="K1006" s="157" t="s">
        <v>244</v>
      </c>
      <c r="L1006" s="217">
        <v>2.61</v>
      </c>
      <c r="M1006" s="157"/>
    </row>
    <row r="1007" spans="9:13">
      <c r="I1007" s="207">
        <v>2024</v>
      </c>
      <c r="J1007" s="147" t="s">
        <v>369</v>
      </c>
      <c r="K1007" s="157" t="s">
        <v>244</v>
      </c>
      <c r="L1007" s="217">
        <v>2.62</v>
      </c>
      <c r="M1007" s="157"/>
    </row>
    <row r="1008" spans="9:13">
      <c r="I1008" s="207">
        <v>2025</v>
      </c>
      <c r="J1008" s="147" t="s">
        <v>369</v>
      </c>
      <c r="K1008" s="157" t="s">
        <v>244</v>
      </c>
      <c r="L1008" s="217">
        <v>2.63</v>
      </c>
      <c r="M1008" s="157"/>
    </row>
    <row r="1009" spans="9:13">
      <c r="I1009" s="207">
        <v>2026</v>
      </c>
      <c r="J1009" s="147" t="s">
        <v>369</v>
      </c>
      <c r="K1009" s="157" t="s">
        <v>244</v>
      </c>
      <c r="L1009" s="217">
        <v>2.63</v>
      </c>
      <c r="M1009" s="157"/>
    </row>
    <row r="1010" spans="9:13">
      <c r="I1010" s="207">
        <v>2020</v>
      </c>
      <c r="J1010" s="147" t="s">
        <v>370</v>
      </c>
      <c r="K1010" s="157" t="s">
        <v>243</v>
      </c>
      <c r="L1010" s="217">
        <v>2.65</v>
      </c>
      <c r="M1010" s="157"/>
    </row>
    <row r="1011" spans="9:13">
      <c r="I1011" s="207">
        <v>2021</v>
      </c>
      <c r="J1011" s="147" t="s">
        <v>370</v>
      </c>
      <c r="K1011" s="157" t="s">
        <v>243</v>
      </c>
      <c r="L1011" s="217">
        <v>2.61</v>
      </c>
      <c r="M1011" s="157"/>
    </row>
    <row r="1012" spans="9:13">
      <c r="I1012" s="207">
        <v>2022</v>
      </c>
      <c r="J1012" s="147" t="s">
        <v>370</v>
      </c>
      <c r="K1012" s="157" t="s">
        <v>243</v>
      </c>
      <c r="L1012" s="217">
        <v>2.62</v>
      </c>
      <c r="M1012" s="157"/>
    </row>
    <row r="1013" spans="9:13">
      <c r="I1013" s="207">
        <v>2023</v>
      </c>
      <c r="J1013" s="147" t="s">
        <v>370</v>
      </c>
      <c r="K1013" s="157" t="s">
        <v>243</v>
      </c>
      <c r="L1013" s="217">
        <v>2.63</v>
      </c>
      <c r="M1013" s="157"/>
    </row>
    <row r="1014" spans="9:13">
      <c r="I1014" s="207">
        <v>2024</v>
      </c>
      <c r="J1014" s="147" t="s">
        <v>370</v>
      </c>
      <c r="K1014" s="157" t="s">
        <v>243</v>
      </c>
      <c r="L1014" s="217">
        <v>2.63</v>
      </c>
      <c r="M1014" s="157"/>
    </row>
    <row r="1015" spans="9:13">
      <c r="I1015" s="207">
        <v>2025</v>
      </c>
      <c r="J1015" s="147" t="s">
        <v>370</v>
      </c>
      <c r="K1015" s="157" t="s">
        <v>243</v>
      </c>
      <c r="L1015" s="217">
        <v>2.65</v>
      </c>
      <c r="M1015" s="157"/>
    </row>
    <row r="1016" spans="9:13">
      <c r="I1016" s="207">
        <v>2026</v>
      </c>
      <c r="J1016" s="147" t="s">
        <v>370</v>
      </c>
      <c r="K1016" s="157" t="s">
        <v>243</v>
      </c>
      <c r="L1016" s="217">
        <v>2.67</v>
      </c>
      <c r="M1016" s="157"/>
    </row>
    <row r="1017" spans="9:13">
      <c r="I1017" s="207">
        <v>2020</v>
      </c>
      <c r="J1017" s="147" t="s">
        <v>370</v>
      </c>
      <c r="K1017" s="157" t="s">
        <v>244</v>
      </c>
      <c r="L1017" s="217">
        <v>2.7</v>
      </c>
      <c r="M1017" s="157"/>
    </row>
    <row r="1018" spans="9:13">
      <c r="I1018" s="207">
        <v>2021</v>
      </c>
      <c r="J1018" s="147" t="s">
        <v>370</v>
      </c>
      <c r="K1018" s="157" t="s">
        <v>244</v>
      </c>
      <c r="L1018" s="217">
        <v>3.2</v>
      </c>
      <c r="M1018" s="157"/>
    </row>
    <row r="1019" spans="9:13">
      <c r="I1019" s="207">
        <v>2022</v>
      </c>
      <c r="J1019" s="147" t="s">
        <v>370</v>
      </c>
      <c r="K1019" s="157" t="s">
        <v>244</v>
      </c>
      <c r="L1019" s="217">
        <v>3.3</v>
      </c>
      <c r="M1019" s="157"/>
    </row>
    <row r="1020" spans="9:13">
      <c r="I1020" s="207">
        <v>2023</v>
      </c>
      <c r="J1020" s="147" t="s">
        <v>370</v>
      </c>
      <c r="K1020" s="157" t="s">
        <v>244</v>
      </c>
      <c r="L1020" s="217">
        <v>2.61</v>
      </c>
      <c r="M1020" s="157"/>
    </row>
    <row r="1021" spans="9:13">
      <c r="I1021" s="207">
        <v>2024</v>
      </c>
      <c r="J1021" s="147" t="s">
        <v>370</v>
      </c>
      <c r="K1021" s="157" t="s">
        <v>244</v>
      </c>
      <c r="L1021" s="217">
        <v>2.62</v>
      </c>
      <c r="M1021" s="157"/>
    </row>
    <row r="1022" spans="9:13">
      <c r="I1022" s="207">
        <v>2025</v>
      </c>
      <c r="J1022" s="147" t="s">
        <v>370</v>
      </c>
      <c r="K1022" s="157" t="s">
        <v>244</v>
      </c>
      <c r="L1022" s="217">
        <v>2.63</v>
      </c>
      <c r="M1022" s="157"/>
    </row>
    <row r="1023" spans="9:13">
      <c r="I1023" s="208">
        <v>2026</v>
      </c>
      <c r="J1023" s="211" t="s">
        <v>370</v>
      </c>
      <c r="K1023" s="211" t="s">
        <v>244</v>
      </c>
      <c r="L1023" s="218">
        <v>2.63</v>
      </c>
      <c r="M1023" s="157"/>
    </row>
    <row r="1024" spans="9:13">
      <c r="L1024" s="157"/>
    </row>
    <row r="1029" spans="8:13" s="258" customFormat="1">
      <c r="I1029" s="258" t="s">
        <v>444</v>
      </c>
    </row>
    <row r="1033" spans="8:13" ht="16" thickBot="1">
      <c r="L1033" s="157"/>
    </row>
    <row r="1034" spans="8:13" ht="18" thickBot="1">
      <c r="I1034" s="205" t="s">
        <v>335</v>
      </c>
      <c r="J1034" s="475" t="s">
        <v>364</v>
      </c>
      <c r="K1034" s="206" t="s">
        <v>242</v>
      </c>
      <c r="L1034" s="471" t="s">
        <v>445</v>
      </c>
      <c r="M1034" s="157"/>
    </row>
    <row r="1035" spans="8:13">
      <c r="H1035" s="157"/>
      <c r="I1035" s="205">
        <v>2020</v>
      </c>
      <c r="J1035" s="226" t="s">
        <v>385</v>
      </c>
      <c r="K1035" s="225" t="s">
        <v>243</v>
      </c>
      <c r="L1035" s="214">
        <v>0.50219999999999998</v>
      </c>
      <c r="M1035" s="157"/>
    </row>
    <row r="1036" spans="8:13">
      <c r="H1036" s="157"/>
      <c r="I1036" s="207">
        <v>2021</v>
      </c>
      <c r="J1036" s="157" t="s">
        <v>385</v>
      </c>
      <c r="K1036" s="214" t="s">
        <v>243</v>
      </c>
      <c r="L1036" s="214">
        <v>0.50229999999999997</v>
      </c>
      <c r="M1036" s="157"/>
    </row>
    <row r="1037" spans="8:13">
      <c r="H1037" s="157"/>
      <c r="I1037" s="207">
        <v>2022</v>
      </c>
      <c r="J1037" s="157" t="s">
        <v>385</v>
      </c>
      <c r="K1037" s="214" t="s">
        <v>243</v>
      </c>
      <c r="L1037" s="214">
        <v>0.50239999999999996</v>
      </c>
      <c r="M1037" s="157"/>
    </row>
    <row r="1038" spans="8:13">
      <c r="H1038" s="157"/>
      <c r="I1038" s="207">
        <v>2023</v>
      </c>
      <c r="J1038" s="157" t="s">
        <v>385</v>
      </c>
      <c r="K1038" s="214" t="s">
        <v>243</v>
      </c>
      <c r="L1038" s="214">
        <v>0.50249999999999995</v>
      </c>
      <c r="M1038" s="157"/>
    </row>
    <row r="1039" spans="8:13">
      <c r="H1039" s="157"/>
      <c r="I1039" s="207">
        <v>2024</v>
      </c>
      <c r="J1039" s="157" t="s">
        <v>385</v>
      </c>
      <c r="K1039" s="214" t="s">
        <v>243</v>
      </c>
      <c r="L1039" s="214">
        <v>0.41</v>
      </c>
      <c r="M1039" s="157"/>
    </row>
    <row r="1040" spans="8:13">
      <c r="H1040" s="157"/>
      <c r="I1040" s="207">
        <v>2025</v>
      </c>
      <c r="J1040" s="157" t="s">
        <v>385</v>
      </c>
      <c r="K1040" s="214" t="s">
        <v>243</v>
      </c>
      <c r="L1040" s="214">
        <v>0.41099999999999998</v>
      </c>
      <c r="M1040" s="157"/>
    </row>
    <row r="1041" spans="8:13">
      <c r="H1041" s="157"/>
      <c r="I1041" s="207">
        <v>2026</v>
      </c>
      <c r="J1041" s="157" t="s">
        <v>385</v>
      </c>
      <c r="K1041" s="214" t="s">
        <v>243</v>
      </c>
      <c r="L1041" s="214">
        <v>0.41199999999999998</v>
      </c>
      <c r="M1041" s="157"/>
    </row>
    <row r="1042" spans="8:13">
      <c r="H1042" s="157"/>
      <c r="I1042" s="207">
        <v>2020</v>
      </c>
      <c r="J1042" s="157" t="s">
        <v>385</v>
      </c>
      <c r="K1042" s="214" t="s">
        <v>244</v>
      </c>
      <c r="L1042" s="214">
        <v>0.41299999999999998</v>
      </c>
      <c r="M1042" s="157"/>
    </row>
    <row r="1043" spans="8:13">
      <c r="H1043" s="157"/>
      <c r="I1043" s="207">
        <v>2021</v>
      </c>
      <c r="J1043" s="157" t="s">
        <v>385</v>
      </c>
      <c r="K1043" s="214" t="s">
        <v>244</v>
      </c>
      <c r="L1043" s="214">
        <v>0.502</v>
      </c>
      <c r="M1043" s="157"/>
    </row>
    <row r="1044" spans="8:13">
      <c r="H1044" s="157"/>
      <c r="I1044" s="207">
        <v>2022</v>
      </c>
      <c r="J1044" s="157" t="s">
        <v>385</v>
      </c>
      <c r="K1044" s="214" t="s">
        <v>244</v>
      </c>
      <c r="L1044" s="214">
        <v>0.50209999999999999</v>
      </c>
      <c r="M1044" s="157"/>
    </row>
    <row r="1045" spans="8:13">
      <c r="H1045" s="157"/>
      <c r="I1045" s="207">
        <v>2023</v>
      </c>
      <c r="J1045" s="157" t="s">
        <v>385</v>
      </c>
      <c r="K1045" s="214" t="s">
        <v>244</v>
      </c>
      <c r="L1045" s="214">
        <v>0.50219999999999998</v>
      </c>
      <c r="M1045" s="157"/>
    </row>
    <row r="1046" spans="8:13">
      <c r="H1046" s="157"/>
      <c r="I1046" s="207">
        <v>2024</v>
      </c>
      <c r="J1046" s="157" t="s">
        <v>385</v>
      </c>
      <c r="K1046" s="214" t="s">
        <v>244</v>
      </c>
      <c r="L1046" s="214">
        <v>0.50229999999999997</v>
      </c>
      <c r="M1046" s="157"/>
    </row>
    <row r="1047" spans="8:13">
      <c r="H1047" s="157"/>
      <c r="I1047" s="207">
        <v>2025</v>
      </c>
      <c r="J1047" s="157" t="s">
        <v>385</v>
      </c>
      <c r="K1047" s="214" t="s">
        <v>244</v>
      </c>
      <c r="L1047" s="214">
        <v>0.50239999999999996</v>
      </c>
      <c r="M1047" s="157"/>
    </row>
    <row r="1048" spans="8:13">
      <c r="H1048" s="157"/>
      <c r="I1048" s="207">
        <v>2026</v>
      </c>
      <c r="J1048" s="157" t="s">
        <v>385</v>
      </c>
      <c r="K1048" s="214" t="s">
        <v>244</v>
      </c>
      <c r="L1048" s="214">
        <v>0.50249999999999995</v>
      </c>
      <c r="M1048" s="157"/>
    </row>
    <row r="1049" spans="8:13">
      <c r="H1049" s="157"/>
      <c r="I1049" s="207">
        <v>2020</v>
      </c>
      <c r="J1049" s="157" t="s">
        <v>386</v>
      </c>
      <c r="K1049" s="214" t="s">
        <v>243</v>
      </c>
      <c r="L1049" s="214">
        <v>0.41</v>
      </c>
      <c r="M1049" s="157"/>
    </row>
    <row r="1050" spans="8:13">
      <c r="H1050" s="157"/>
      <c r="I1050" s="207">
        <v>2021</v>
      </c>
      <c r="J1050" s="157" t="s">
        <v>386</v>
      </c>
      <c r="K1050" s="214" t="s">
        <v>243</v>
      </c>
      <c r="L1050" s="214">
        <v>0.41099999999999998</v>
      </c>
      <c r="M1050" s="157"/>
    </row>
    <row r="1051" spans="8:13">
      <c r="H1051" s="157"/>
      <c r="I1051" s="207">
        <v>2022</v>
      </c>
      <c r="J1051" s="157" t="s">
        <v>386</v>
      </c>
      <c r="K1051" s="214" t="s">
        <v>243</v>
      </c>
      <c r="L1051" s="214">
        <v>0.41199999999999998</v>
      </c>
      <c r="M1051" s="157"/>
    </row>
    <row r="1052" spans="8:13">
      <c r="H1052" s="157"/>
      <c r="I1052" s="207">
        <v>2023</v>
      </c>
      <c r="J1052" s="157" t="s">
        <v>386</v>
      </c>
      <c r="K1052" s="214" t="s">
        <v>243</v>
      </c>
      <c r="L1052" s="214">
        <v>0.41299999999999998</v>
      </c>
      <c r="M1052" s="157"/>
    </row>
    <row r="1053" spans="8:13">
      <c r="H1053" s="157"/>
      <c r="I1053" s="207">
        <v>2024</v>
      </c>
      <c r="J1053" s="157" t="s">
        <v>386</v>
      </c>
      <c r="K1053" s="214" t="s">
        <v>243</v>
      </c>
      <c r="L1053" s="214">
        <v>0.50219999999999998</v>
      </c>
      <c r="M1053" s="157"/>
    </row>
    <row r="1054" spans="8:13">
      <c r="H1054" s="157"/>
      <c r="I1054" s="207">
        <v>2025</v>
      </c>
      <c r="J1054" s="157" t="s">
        <v>386</v>
      </c>
      <c r="K1054" s="214" t="s">
        <v>243</v>
      </c>
      <c r="L1054" s="214">
        <v>0.50229999999999997</v>
      </c>
      <c r="M1054" s="157"/>
    </row>
    <row r="1055" spans="8:13">
      <c r="H1055" s="157"/>
      <c r="I1055" s="207">
        <v>2026</v>
      </c>
      <c r="J1055" s="157" t="s">
        <v>386</v>
      </c>
      <c r="K1055" s="214" t="s">
        <v>243</v>
      </c>
      <c r="L1055" s="214">
        <v>0.50239999999999996</v>
      </c>
      <c r="M1055" s="157"/>
    </row>
    <row r="1056" spans="8:13">
      <c r="H1056" s="157"/>
      <c r="I1056" s="207">
        <v>2020</v>
      </c>
      <c r="J1056" s="157" t="s">
        <v>386</v>
      </c>
      <c r="K1056" s="214" t="s">
        <v>244</v>
      </c>
      <c r="L1056" s="214">
        <v>0.50249999999999995</v>
      </c>
      <c r="M1056" s="157"/>
    </row>
    <row r="1057" spans="8:13">
      <c r="H1057" s="157"/>
      <c r="I1057" s="207">
        <v>2021</v>
      </c>
      <c r="J1057" s="157" t="s">
        <v>386</v>
      </c>
      <c r="K1057" s="214" t="s">
        <v>244</v>
      </c>
      <c r="L1057" s="214">
        <v>0.41</v>
      </c>
      <c r="M1057" s="157"/>
    </row>
    <row r="1058" spans="8:13">
      <c r="H1058" s="157"/>
      <c r="I1058" s="207">
        <v>2022</v>
      </c>
      <c r="J1058" s="157" t="s">
        <v>386</v>
      </c>
      <c r="K1058" s="214" t="s">
        <v>244</v>
      </c>
      <c r="L1058" s="214">
        <v>0.41099999999999998</v>
      </c>
      <c r="M1058" s="157"/>
    </row>
    <row r="1059" spans="8:13">
      <c r="H1059" s="157"/>
      <c r="I1059" s="207">
        <v>2023</v>
      </c>
      <c r="J1059" s="157" t="s">
        <v>386</v>
      </c>
      <c r="K1059" s="214" t="s">
        <v>244</v>
      </c>
      <c r="L1059" s="214">
        <v>0.41199999999999998</v>
      </c>
      <c r="M1059" s="157"/>
    </row>
    <row r="1060" spans="8:13">
      <c r="H1060" s="157"/>
      <c r="I1060" s="207">
        <v>2024</v>
      </c>
      <c r="J1060" s="157" t="s">
        <v>386</v>
      </c>
      <c r="K1060" s="214" t="s">
        <v>244</v>
      </c>
      <c r="L1060" s="214">
        <v>0.41299999999999998</v>
      </c>
      <c r="M1060" s="157"/>
    </row>
    <row r="1061" spans="8:13">
      <c r="H1061" s="157"/>
      <c r="I1061" s="207">
        <v>2025</v>
      </c>
      <c r="J1061" s="157" t="s">
        <v>386</v>
      </c>
      <c r="K1061" s="214" t="s">
        <v>244</v>
      </c>
      <c r="L1061" s="214">
        <v>0.42199999999999999</v>
      </c>
      <c r="M1061" s="157"/>
    </row>
    <row r="1062" spans="8:13" ht="16" thickBot="1">
      <c r="H1062" s="157"/>
      <c r="I1062" s="208">
        <v>2026</v>
      </c>
      <c r="J1062" s="211" t="s">
        <v>386</v>
      </c>
      <c r="K1062" s="215" t="s">
        <v>244</v>
      </c>
      <c r="L1062" s="215">
        <v>0.42299999999999999</v>
      </c>
      <c r="M1062" s="157"/>
    </row>
    <row r="1063" spans="8:13">
      <c r="I1063" s="157"/>
      <c r="J1063" s="157"/>
      <c r="K1063" s="157"/>
      <c r="L1063" s="157"/>
    </row>
    <row r="1065" spans="8:13">
      <c r="L1065" s="157"/>
    </row>
    <row r="1066" spans="8:13" ht="19" thickBot="1">
      <c r="I1066" s="212" t="s">
        <v>335</v>
      </c>
      <c r="J1066" s="422" t="s">
        <v>364</v>
      </c>
      <c r="K1066" s="274" t="s">
        <v>242</v>
      </c>
      <c r="L1066" s="457" t="s">
        <v>446</v>
      </c>
      <c r="M1066" s="157"/>
    </row>
    <row r="1067" spans="8:13">
      <c r="I1067" s="205">
        <v>2020</v>
      </c>
      <c r="J1067" s="226" t="s">
        <v>385</v>
      </c>
      <c r="K1067" s="225" t="s">
        <v>243</v>
      </c>
      <c r="L1067" s="423">
        <v>3</v>
      </c>
      <c r="M1067" s="157"/>
    </row>
    <row r="1068" spans="8:13">
      <c r="I1068" s="207">
        <v>2021</v>
      </c>
      <c r="J1068" s="147" t="s">
        <v>385</v>
      </c>
      <c r="K1068" s="214" t="s">
        <v>243</v>
      </c>
      <c r="L1068" s="424">
        <v>1.1000000000000001</v>
      </c>
      <c r="M1068" s="157"/>
    </row>
    <row r="1069" spans="8:13">
      <c r="I1069" s="207">
        <v>2022</v>
      </c>
      <c r="J1069" s="147" t="s">
        <v>385</v>
      </c>
      <c r="K1069" s="214" t="s">
        <v>243</v>
      </c>
      <c r="L1069" s="424">
        <v>1.2</v>
      </c>
      <c r="M1069" s="157"/>
    </row>
    <row r="1070" spans="8:13">
      <c r="I1070" s="207">
        <v>2023</v>
      </c>
      <c r="J1070" s="147" t="s">
        <v>385</v>
      </c>
      <c r="K1070" s="214" t="s">
        <v>243</v>
      </c>
      <c r="L1070" s="424">
        <v>1.3</v>
      </c>
      <c r="M1070" s="157"/>
    </row>
    <row r="1071" spans="8:13">
      <c r="I1071" s="207">
        <v>2024</v>
      </c>
      <c r="J1071" s="147" t="s">
        <v>385</v>
      </c>
      <c r="K1071" s="214" t="s">
        <v>243</v>
      </c>
      <c r="L1071" s="424">
        <v>1.4</v>
      </c>
      <c r="M1071" s="157"/>
    </row>
    <row r="1072" spans="8:13">
      <c r="I1072" s="207">
        <v>2025</v>
      </c>
      <c r="J1072" s="147" t="s">
        <v>385</v>
      </c>
      <c r="K1072" s="214" t="s">
        <v>243</v>
      </c>
      <c r="L1072" s="424">
        <v>1.5</v>
      </c>
      <c r="M1072" s="157"/>
    </row>
    <row r="1073" spans="9:13">
      <c r="I1073" s="207">
        <v>2026</v>
      </c>
      <c r="J1073" s="147" t="s">
        <v>385</v>
      </c>
      <c r="K1073" s="214" t="s">
        <v>243</v>
      </c>
      <c r="L1073" s="424">
        <v>1.6</v>
      </c>
      <c r="M1073" s="157"/>
    </row>
    <row r="1074" spans="9:13">
      <c r="I1074" s="207">
        <v>2020</v>
      </c>
      <c r="J1074" s="147" t="s">
        <v>385</v>
      </c>
      <c r="K1074" s="214" t="s">
        <v>244</v>
      </c>
      <c r="L1074" s="424">
        <v>1.7</v>
      </c>
      <c r="M1074" s="157"/>
    </row>
    <row r="1075" spans="9:13">
      <c r="I1075" s="207">
        <v>2021</v>
      </c>
      <c r="J1075" s="147" t="s">
        <v>385</v>
      </c>
      <c r="K1075" s="214" t="s">
        <v>244</v>
      </c>
      <c r="L1075" s="424">
        <v>1.8</v>
      </c>
      <c r="M1075" s="157"/>
    </row>
    <row r="1076" spans="9:13">
      <c r="I1076" s="207">
        <v>2022</v>
      </c>
      <c r="J1076" s="147" t="s">
        <v>385</v>
      </c>
      <c r="K1076" s="214" t="s">
        <v>244</v>
      </c>
      <c r="L1076" s="424">
        <v>1.9</v>
      </c>
      <c r="M1076" s="157"/>
    </row>
    <row r="1077" spans="9:13">
      <c r="I1077" s="207">
        <v>2023</v>
      </c>
      <c r="J1077" s="147" t="s">
        <v>385</v>
      </c>
      <c r="K1077" s="214" t="s">
        <v>244</v>
      </c>
      <c r="L1077" s="424">
        <v>2</v>
      </c>
      <c r="M1077" s="157"/>
    </row>
    <row r="1078" spans="9:13">
      <c r="I1078" s="207">
        <v>2024</v>
      </c>
      <c r="J1078" s="147" t="s">
        <v>385</v>
      </c>
      <c r="K1078" s="214" t="s">
        <v>244</v>
      </c>
      <c r="L1078" s="424">
        <v>2.1</v>
      </c>
      <c r="M1078" s="157"/>
    </row>
    <row r="1079" spans="9:13">
      <c r="I1079" s="207">
        <v>2025</v>
      </c>
      <c r="J1079" s="147" t="s">
        <v>385</v>
      </c>
      <c r="K1079" s="214" t="s">
        <v>244</v>
      </c>
      <c r="L1079" s="424">
        <v>2.2000000000000002</v>
      </c>
      <c r="M1079" s="157"/>
    </row>
    <row r="1080" spans="9:13">
      <c r="I1080" s="207">
        <v>2026</v>
      </c>
      <c r="J1080" s="147" t="s">
        <v>385</v>
      </c>
      <c r="K1080" s="214" t="s">
        <v>244</v>
      </c>
      <c r="L1080" s="424">
        <v>2.2999999999999998</v>
      </c>
      <c r="M1080" s="157"/>
    </row>
    <row r="1081" spans="9:13">
      <c r="I1081" s="207">
        <v>2020</v>
      </c>
      <c r="J1081" s="147" t="s">
        <v>386</v>
      </c>
      <c r="K1081" s="214" t="s">
        <v>243</v>
      </c>
      <c r="L1081" s="424">
        <v>2.4</v>
      </c>
      <c r="M1081" s="157"/>
    </row>
    <row r="1082" spans="9:13">
      <c r="I1082" s="207">
        <v>2021</v>
      </c>
      <c r="J1082" s="147" t="s">
        <v>386</v>
      </c>
      <c r="K1082" s="214" t="s">
        <v>243</v>
      </c>
      <c r="L1082" s="424">
        <v>2.5</v>
      </c>
      <c r="M1082" s="157"/>
    </row>
    <row r="1083" spans="9:13">
      <c r="I1083" s="207">
        <v>2022</v>
      </c>
      <c r="J1083" s="147" t="s">
        <v>386</v>
      </c>
      <c r="K1083" s="214" t="s">
        <v>243</v>
      </c>
      <c r="L1083" s="424">
        <v>2.6</v>
      </c>
      <c r="M1083" s="157"/>
    </row>
    <row r="1084" spans="9:13">
      <c r="I1084" s="207">
        <v>2023</v>
      </c>
      <c r="J1084" s="147" t="s">
        <v>386</v>
      </c>
      <c r="K1084" s="214" t="s">
        <v>243</v>
      </c>
      <c r="L1084" s="424">
        <v>2.7</v>
      </c>
      <c r="M1084" s="157"/>
    </row>
    <row r="1085" spans="9:13">
      <c r="I1085" s="207">
        <v>2024</v>
      </c>
      <c r="J1085" s="147" t="s">
        <v>386</v>
      </c>
      <c r="K1085" s="214" t="s">
        <v>243</v>
      </c>
      <c r="L1085" s="424">
        <v>2.8</v>
      </c>
      <c r="M1085" s="157"/>
    </row>
    <row r="1086" spans="9:13">
      <c r="I1086" s="207">
        <v>2025</v>
      </c>
      <c r="J1086" s="147" t="s">
        <v>386</v>
      </c>
      <c r="K1086" s="214" t="s">
        <v>243</v>
      </c>
      <c r="L1086" s="424">
        <v>2.9</v>
      </c>
      <c r="M1086" s="157"/>
    </row>
    <row r="1087" spans="9:13">
      <c r="I1087" s="207">
        <v>2026</v>
      </c>
      <c r="J1087" s="147" t="s">
        <v>386</v>
      </c>
      <c r="K1087" s="214" t="s">
        <v>243</v>
      </c>
      <c r="L1087" s="424">
        <v>3</v>
      </c>
      <c r="M1087" s="157"/>
    </row>
    <row r="1088" spans="9:13">
      <c r="I1088" s="207">
        <v>2020</v>
      </c>
      <c r="J1088" s="147" t="s">
        <v>386</v>
      </c>
      <c r="K1088" s="214" t="s">
        <v>244</v>
      </c>
      <c r="L1088" s="424">
        <v>3.1</v>
      </c>
      <c r="M1088" s="157"/>
    </row>
    <row r="1089" spans="9:13">
      <c r="I1089" s="207">
        <v>2021</v>
      </c>
      <c r="J1089" s="147" t="s">
        <v>386</v>
      </c>
      <c r="K1089" s="214" t="s">
        <v>244</v>
      </c>
      <c r="L1089" s="424">
        <v>3.2</v>
      </c>
      <c r="M1089" s="157"/>
    </row>
    <row r="1090" spans="9:13">
      <c r="I1090" s="207">
        <v>2022</v>
      </c>
      <c r="J1090" s="147" t="s">
        <v>386</v>
      </c>
      <c r="K1090" s="214" t="s">
        <v>244</v>
      </c>
      <c r="L1090" s="424">
        <v>3.3</v>
      </c>
      <c r="M1090" s="157"/>
    </row>
    <row r="1091" spans="9:13">
      <c r="I1091" s="207">
        <v>2023</v>
      </c>
      <c r="J1091" s="147" t="s">
        <v>386</v>
      </c>
      <c r="K1091" s="214" t="s">
        <v>244</v>
      </c>
      <c r="L1091" s="424">
        <v>3.4</v>
      </c>
      <c r="M1091" s="157"/>
    </row>
    <row r="1092" spans="9:13">
      <c r="I1092" s="207">
        <v>2024</v>
      </c>
      <c r="J1092" s="147" t="s">
        <v>386</v>
      </c>
      <c r="K1092" s="214" t="s">
        <v>244</v>
      </c>
      <c r="L1092" s="424">
        <v>3.5</v>
      </c>
      <c r="M1092" s="157"/>
    </row>
    <row r="1093" spans="9:13">
      <c r="I1093" s="207">
        <v>2025</v>
      </c>
      <c r="J1093" s="147" t="s">
        <v>386</v>
      </c>
      <c r="K1093" s="214" t="s">
        <v>244</v>
      </c>
      <c r="L1093" s="424">
        <v>3.6</v>
      </c>
      <c r="M1093" s="157"/>
    </row>
    <row r="1094" spans="9:13">
      <c r="I1094" s="208">
        <v>2026</v>
      </c>
      <c r="J1094" s="211" t="s">
        <v>386</v>
      </c>
      <c r="K1094" s="215" t="s">
        <v>244</v>
      </c>
      <c r="L1094" s="425">
        <v>3.7</v>
      </c>
      <c r="M1094" s="157"/>
    </row>
    <row r="1095" spans="9:13">
      <c r="L1095" s="157"/>
    </row>
    <row r="1099" spans="9:13" s="258" customFormat="1">
      <c r="I1099" s="258" t="s">
        <v>447</v>
      </c>
    </row>
    <row r="1102" spans="9:13">
      <c r="I1102" s="157"/>
      <c r="J1102" s="157"/>
    </row>
    <row r="1103" spans="9:13" ht="19" thickBot="1">
      <c r="I1103" s="434" t="s">
        <v>364</v>
      </c>
      <c r="J1103" s="451" t="s">
        <v>448</v>
      </c>
      <c r="K1103" s="157"/>
    </row>
    <row r="1104" spans="9:13">
      <c r="I1104" s="235" t="s">
        <v>385</v>
      </c>
      <c r="J1104" s="235">
        <v>8.4000000000000003E-4</v>
      </c>
      <c r="K1104" s="157"/>
    </row>
    <row r="1105" spans="8:13" ht="16" thickBot="1">
      <c r="I1105" s="218" t="s">
        <v>386</v>
      </c>
      <c r="J1105" s="218">
        <v>7.5000000000000002E-4</v>
      </c>
      <c r="K1105" s="157"/>
    </row>
    <row r="1106" spans="8:13">
      <c r="I1106" s="157"/>
      <c r="J1106" s="157"/>
    </row>
    <row r="1110" spans="8:13" s="258" customFormat="1">
      <c r="I1110" s="258" t="s">
        <v>449</v>
      </c>
    </row>
    <row r="1113" spans="8:13">
      <c r="I1113" s="157"/>
      <c r="J1113" s="157"/>
      <c r="L1113" s="157"/>
    </row>
    <row r="1114" spans="8:13" ht="18" thickBot="1">
      <c r="I1114" s="212" t="s">
        <v>335</v>
      </c>
      <c r="J1114" s="455" t="s">
        <v>364</v>
      </c>
      <c r="K1114" s="274" t="s">
        <v>242</v>
      </c>
      <c r="L1114" s="471" t="s">
        <v>450</v>
      </c>
      <c r="M1114" s="157"/>
    </row>
    <row r="1115" spans="8:13">
      <c r="H1115" s="157"/>
      <c r="I1115" s="205">
        <v>2020</v>
      </c>
      <c r="J1115" s="226" t="s">
        <v>385</v>
      </c>
      <c r="K1115" s="225" t="s">
        <v>243</v>
      </c>
      <c r="L1115" s="217">
        <v>43.3</v>
      </c>
      <c r="M1115" s="157"/>
    </row>
    <row r="1116" spans="8:13">
      <c r="H1116" s="157"/>
      <c r="I1116" s="207">
        <v>2021</v>
      </c>
      <c r="J1116" s="147" t="s">
        <v>385</v>
      </c>
      <c r="K1116" s="214" t="s">
        <v>243</v>
      </c>
      <c r="L1116" s="217">
        <v>43.31</v>
      </c>
      <c r="M1116" s="157"/>
    </row>
    <row r="1117" spans="8:13">
      <c r="H1117" s="157"/>
      <c r="I1117" s="207">
        <v>2022</v>
      </c>
      <c r="J1117" s="147" t="s">
        <v>385</v>
      </c>
      <c r="K1117" s="214" t="s">
        <v>243</v>
      </c>
      <c r="L1117" s="217">
        <v>43.29</v>
      </c>
      <c r="M1117" s="157"/>
    </row>
    <row r="1118" spans="8:13">
      <c r="H1118" s="157"/>
      <c r="I1118" s="207">
        <v>2023</v>
      </c>
      <c r="J1118" s="147" t="s">
        <v>385</v>
      </c>
      <c r="K1118" s="214" t="s">
        <v>243</v>
      </c>
      <c r="L1118" s="217">
        <v>43.29</v>
      </c>
      <c r="M1118" s="157"/>
    </row>
    <row r="1119" spans="8:13">
      <c r="H1119" s="157"/>
      <c r="I1119" s="207">
        <v>2024</v>
      </c>
      <c r="J1119" s="147" t="s">
        <v>385</v>
      </c>
      <c r="K1119" s="214" t="s">
        <v>243</v>
      </c>
      <c r="L1119" s="217">
        <v>43.284999999999997</v>
      </c>
      <c r="M1119" s="157"/>
    </row>
    <row r="1120" spans="8:13">
      <c r="H1120" s="157"/>
      <c r="I1120" s="207">
        <v>2025</v>
      </c>
      <c r="J1120" s="147" t="s">
        <v>385</v>
      </c>
      <c r="K1120" s="214" t="s">
        <v>243</v>
      </c>
      <c r="L1120" s="217">
        <v>43.28</v>
      </c>
      <c r="M1120" s="157"/>
    </row>
    <row r="1121" spans="8:13">
      <c r="H1121" s="157"/>
      <c r="I1121" s="207">
        <v>2026</v>
      </c>
      <c r="J1121" s="147" t="s">
        <v>385</v>
      </c>
      <c r="K1121" s="214" t="s">
        <v>243</v>
      </c>
      <c r="L1121" s="217">
        <v>43.274999999999999</v>
      </c>
      <c r="M1121" s="157"/>
    </row>
    <row r="1122" spans="8:13">
      <c r="H1122" s="157"/>
      <c r="I1122" s="207">
        <v>2020</v>
      </c>
      <c r="J1122" s="147" t="s">
        <v>385</v>
      </c>
      <c r="K1122" s="214" t="s">
        <v>244</v>
      </c>
      <c r="L1122" s="217">
        <v>44.8</v>
      </c>
      <c r="M1122" s="157"/>
    </row>
    <row r="1123" spans="8:13">
      <c r="H1123" s="157"/>
      <c r="I1123" s="207">
        <v>2021</v>
      </c>
      <c r="J1123" s="147" t="s">
        <v>385</v>
      </c>
      <c r="K1123" s="214" t="s">
        <v>244</v>
      </c>
      <c r="L1123" s="217">
        <v>44.81</v>
      </c>
      <c r="M1123" s="157"/>
    </row>
    <row r="1124" spans="8:13">
      <c r="H1124" s="157"/>
      <c r="I1124" s="207">
        <v>2022</v>
      </c>
      <c r="J1124" s="147" t="s">
        <v>385</v>
      </c>
      <c r="K1124" s="214" t="s">
        <v>244</v>
      </c>
      <c r="L1124" s="217">
        <v>44.79</v>
      </c>
      <c r="M1124" s="157"/>
    </row>
    <row r="1125" spans="8:13">
      <c r="H1125" s="157"/>
      <c r="I1125" s="207">
        <v>2023</v>
      </c>
      <c r="J1125" s="147" t="s">
        <v>385</v>
      </c>
      <c r="K1125" s="214" t="s">
        <v>244</v>
      </c>
      <c r="L1125" s="217">
        <v>44.78</v>
      </c>
      <c r="M1125" s="157"/>
    </row>
    <row r="1126" spans="8:13">
      <c r="H1126" s="157"/>
      <c r="I1126" s="207">
        <v>2024</v>
      </c>
      <c r="J1126" s="147" t="s">
        <v>385</v>
      </c>
      <c r="K1126" s="214" t="s">
        <v>244</v>
      </c>
      <c r="L1126" s="217">
        <v>43.3</v>
      </c>
      <c r="M1126" s="157"/>
    </row>
    <row r="1127" spans="8:13">
      <c r="H1127" s="157"/>
      <c r="I1127" s="207">
        <v>2025</v>
      </c>
      <c r="J1127" s="147" t="s">
        <v>385</v>
      </c>
      <c r="K1127" s="214" t="s">
        <v>244</v>
      </c>
      <c r="L1127" s="217">
        <v>43.31</v>
      </c>
      <c r="M1127" s="157"/>
    </row>
    <row r="1128" spans="8:13">
      <c r="H1128" s="157"/>
      <c r="I1128" s="207">
        <v>2026</v>
      </c>
      <c r="J1128" s="147" t="s">
        <v>385</v>
      </c>
      <c r="K1128" s="214" t="s">
        <v>244</v>
      </c>
      <c r="L1128" s="217">
        <v>43.29</v>
      </c>
      <c r="M1128" s="157"/>
    </row>
    <row r="1129" spans="8:13">
      <c r="H1129" s="157"/>
      <c r="I1129" s="207">
        <v>2020</v>
      </c>
      <c r="J1129" s="147" t="s">
        <v>386</v>
      </c>
      <c r="K1129" s="214" t="s">
        <v>243</v>
      </c>
      <c r="L1129" s="217">
        <v>43.29</v>
      </c>
      <c r="M1129" s="157"/>
    </row>
    <row r="1130" spans="8:13">
      <c r="H1130" s="157"/>
      <c r="I1130" s="207">
        <v>2021</v>
      </c>
      <c r="J1130" s="147" t="s">
        <v>386</v>
      </c>
      <c r="K1130" s="214" t="s">
        <v>243</v>
      </c>
      <c r="L1130" s="217">
        <v>43.284999999999997</v>
      </c>
      <c r="M1130" s="157"/>
    </row>
    <row r="1131" spans="8:13">
      <c r="H1131" s="157"/>
      <c r="I1131" s="207">
        <v>2022</v>
      </c>
      <c r="J1131" s="147" t="s">
        <v>386</v>
      </c>
      <c r="K1131" s="214" t="s">
        <v>243</v>
      </c>
      <c r="L1131" s="217">
        <v>43.28</v>
      </c>
      <c r="M1131" s="157"/>
    </row>
    <row r="1132" spans="8:13">
      <c r="H1132" s="157"/>
      <c r="I1132" s="207">
        <v>2023</v>
      </c>
      <c r="J1132" s="147" t="s">
        <v>386</v>
      </c>
      <c r="K1132" s="214" t="s">
        <v>243</v>
      </c>
      <c r="L1132" s="217">
        <v>43.274999999999999</v>
      </c>
      <c r="M1132" s="157"/>
    </row>
    <row r="1133" spans="8:13">
      <c r="H1133" s="157"/>
      <c r="I1133" s="207">
        <v>2024</v>
      </c>
      <c r="J1133" s="147" t="s">
        <v>386</v>
      </c>
      <c r="K1133" s="214" t="s">
        <v>243</v>
      </c>
      <c r="L1133" s="217">
        <v>44.8</v>
      </c>
      <c r="M1133" s="157"/>
    </row>
    <row r="1134" spans="8:13">
      <c r="H1134" s="157"/>
      <c r="I1134" s="207">
        <v>2025</v>
      </c>
      <c r="J1134" s="147" t="s">
        <v>386</v>
      </c>
      <c r="K1134" s="214" t="s">
        <v>243</v>
      </c>
      <c r="L1134" s="217">
        <v>43.3</v>
      </c>
      <c r="M1134" s="157"/>
    </row>
    <row r="1135" spans="8:13">
      <c r="H1135" s="157"/>
      <c r="I1135" s="207">
        <v>2026</v>
      </c>
      <c r="J1135" s="147" t="s">
        <v>386</v>
      </c>
      <c r="K1135" s="214" t="s">
        <v>243</v>
      </c>
      <c r="L1135" s="217">
        <v>43.31</v>
      </c>
      <c r="M1135" s="157"/>
    </row>
    <row r="1136" spans="8:13">
      <c r="H1136" s="157"/>
      <c r="I1136" s="207">
        <v>2020</v>
      </c>
      <c r="J1136" s="147" t="s">
        <v>386</v>
      </c>
      <c r="K1136" s="214" t="s">
        <v>244</v>
      </c>
      <c r="L1136" s="217">
        <v>43.29</v>
      </c>
      <c r="M1136" s="157"/>
    </row>
    <row r="1137" spans="8:13">
      <c r="H1137" s="157"/>
      <c r="I1137" s="207">
        <v>2021</v>
      </c>
      <c r="J1137" s="147" t="s">
        <v>386</v>
      </c>
      <c r="K1137" s="214" t="s">
        <v>244</v>
      </c>
      <c r="L1137" s="217">
        <v>43.29</v>
      </c>
      <c r="M1137" s="157"/>
    </row>
    <row r="1138" spans="8:13">
      <c r="H1138" s="157"/>
      <c r="I1138" s="207">
        <v>2022</v>
      </c>
      <c r="J1138" s="147" t="s">
        <v>386</v>
      </c>
      <c r="K1138" s="214" t="s">
        <v>244</v>
      </c>
      <c r="L1138" s="217">
        <v>43.284999999999997</v>
      </c>
      <c r="M1138" s="157"/>
    </row>
    <row r="1139" spans="8:13">
      <c r="H1139" s="157"/>
      <c r="I1139" s="207">
        <v>2023</v>
      </c>
      <c r="J1139" s="147" t="s">
        <v>386</v>
      </c>
      <c r="K1139" s="214" t="s">
        <v>244</v>
      </c>
      <c r="L1139" s="217">
        <v>43.28</v>
      </c>
      <c r="M1139" s="157"/>
    </row>
    <row r="1140" spans="8:13">
      <c r="H1140" s="157"/>
      <c r="I1140" s="207">
        <v>2024</v>
      </c>
      <c r="J1140" s="147" t="s">
        <v>386</v>
      </c>
      <c r="K1140" s="214" t="s">
        <v>244</v>
      </c>
      <c r="L1140" s="217">
        <v>43.274999999999999</v>
      </c>
      <c r="M1140" s="157"/>
    </row>
    <row r="1141" spans="8:13">
      <c r="H1141" s="157"/>
      <c r="I1141" s="207">
        <v>2025</v>
      </c>
      <c r="J1141" s="147" t="s">
        <v>386</v>
      </c>
      <c r="K1141" s="214" t="s">
        <v>244</v>
      </c>
      <c r="L1141" s="217">
        <v>44.8</v>
      </c>
      <c r="M1141" s="157"/>
    </row>
    <row r="1142" spans="8:13">
      <c r="H1142" s="157"/>
      <c r="I1142" s="208">
        <v>2026</v>
      </c>
      <c r="J1142" s="211" t="s">
        <v>386</v>
      </c>
      <c r="K1142" s="215" t="s">
        <v>244</v>
      </c>
      <c r="L1142" s="218">
        <v>44.81</v>
      </c>
      <c r="M1142" s="157"/>
    </row>
    <row r="1143" spans="8:13">
      <c r="I1143" s="157"/>
      <c r="J1143" s="157"/>
      <c r="K1143" s="157"/>
      <c r="L1143" s="157"/>
    </row>
    <row r="1144" spans="8:13">
      <c r="I1144" s="157"/>
      <c r="J1144" s="157"/>
    </row>
    <row r="1145" spans="8:13">
      <c r="I1145" s="157"/>
      <c r="J1145" s="157"/>
    </row>
    <row r="1146" spans="8:13">
      <c r="L1146" s="157"/>
    </row>
    <row r="1147" spans="8:13" ht="18" thickBot="1">
      <c r="I1147" s="212" t="s">
        <v>335</v>
      </c>
      <c r="J1147" s="455" t="s">
        <v>364</v>
      </c>
      <c r="K1147" s="274" t="s">
        <v>242</v>
      </c>
      <c r="L1147" s="471" t="s">
        <v>451</v>
      </c>
      <c r="M1147" s="157"/>
    </row>
    <row r="1148" spans="8:13">
      <c r="I1148" s="205">
        <v>2020</v>
      </c>
      <c r="J1148" s="226" t="s">
        <v>385</v>
      </c>
      <c r="K1148" s="225" t="s">
        <v>243</v>
      </c>
      <c r="L1148" s="217">
        <v>2.6</v>
      </c>
      <c r="M1148" s="157"/>
    </row>
    <row r="1149" spans="8:13">
      <c r="I1149" s="207">
        <v>2021</v>
      </c>
      <c r="J1149" s="147" t="s">
        <v>385</v>
      </c>
      <c r="K1149" s="214" t="s">
        <v>243</v>
      </c>
      <c r="L1149" s="217">
        <v>2.61</v>
      </c>
      <c r="M1149" s="157"/>
    </row>
    <row r="1150" spans="8:13">
      <c r="I1150" s="207">
        <v>2022</v>
      </c>
      <c r="J1150" s="147" t="s">
        <v>385</v>
      </c>
      <c r="K1150" s="214" t="s">
        <v>243</v>
      </c>
      <c r="L1150" s="217">
        <v>2.62</v>
      </c>
      <c r="M1150" s="157"/>
    </row>
    <row r="1151" spans="8:13">
      <c r="I1151" s="207">
        <v>2023</v>
      </c>
      <c r="J1151" s="147" t="s">
        <v>385</v>
      </c>
      <c r="K1151" s="214" t="s">
        <v>243</v>
      </c>
      <c r="L1151" s="217">
        <v>2.63</v>
      </c>
      <c r="M1151" s="157"/>
    </row>
    <row r="1152" spans="8:13">
      <c r="I1152" s="207">
        <v>2024</v>
      </c>
      <c r="J1152" s="147" t="s">
        <v>385</v>
      </c>
      <c r="K1152" s="214" t="s">
        <v>243</v>
      </c>
      <c r="L1152" s="217">
        <v>2.63</v>
      </c>
      <c r="M1152" s="157"/>
    </row>
    <row r="1153" spans="9:13">
      <c r="I1153" s="207">
        <v>2025</v>
      </c>
      <c r="J1153" s="147" t="s">
        <v>385</v>
      </c>
      <c r="K1153" s="214" t="s">
        <v>243</v>
      </c>
      <c r="L1153" s="217">
        <v>2.65</v>
      </c>
      <c r="M1153" s="157"/>
    </row>
    <row r="1154" spans="9:13">
      <c r="I1154" s="207">
        <v>2026</v>
      </c>
      <c r="J1154" s="147" t="s">
        <v>385</v>
      </c>
      <c r="K1154" s="214" t="s">
        <v>243</v>
      </c>
      <c r="L1154" s="217">
        <v>2.67</v>
      </c>
      <c r="M1154" s="157"/>
    </row>
    <row r="1155" spans="9:13">
      <c r="I1155" s="207">
        <v>2020</v>
      </c>
      <c r="J1155" s="147" t="s">
        <v>385</v>
      </c>
      <c r="K1155" s="214" t="s">
        <v>244</v>
      </c>
      <c r="L1155" s="217">
        <v>2.7</v>
      </c>
      <c r="M1155" s="157"/>
    </row>
    <row r="1156" spans="9:13">
      <c r="I1156" s="207">
        <v>2021</v>
      </c>
      <c r="J1156" s="147" t="s">
        <v>385</v>
      </c>
      <c r="K1156" s="214" t="s">
        <v>244</v>
      </c>
      <c r="L1156" s="217">
        <v>3.2</v>
      </c>
      <c r="M1156" s="157"/>
    </row>
    <row r="1157" spans="9:13">
      <c r="I1157" s="207">
        <v>2022</v>
      </c>
      <c r="J1157" s="147" t="s">
        <v>385</v>
      </c>
      <c r="K1157" s="214" t="s">
        <v>244</v>
      </c>
      <c r="L1157" s="217">
        <v>3.3</v>
      </c>
      <c r="M1157" s="157"/>
    </row>
    <row r="1158" spans="9:13">
      <c r="I1158" s="207">
        <v>2023</v>
      </c>
      <c r="J1158" s="147" t="s">
        <v>385</v>
      </c>
      <c r="K1158" s="214" t="s">
        <v>244</v>
      </c>
      <c r="L1158" s="217">
        <v>3.4</v>
      </c>
      <c r="M1158" s="157"/>
    </row>
    <row r="1159" spans="9:13">
      <c r="I1159" s="207">
        <v>2024</v>
      </c>
      <c r="J1159" s="147" t="s">
        <v>385</v>
      </c>
      <c r="K1159" s="214" t="s">
        <v>244</v>
      </c>
      <c r="L1159" s="217">
        <v>3.5</v>
      </c>
      <c r="M1159" s="157"/>
    </row>
    <row r="1160" spans="9:13">
      <c r="I1160" s="207">
        <v>2025</v>
      </c>
      <c r="J1160" s="147" t="s">
        <v>385</v>
      </c>
      <c r="K1160" s="214" t="s">
        <v>244</v>
      </c>
      <c r="L1160" s="217">
        <v>3.1</v>
      </c>
      <c r="M1160" s="157"/>
    </row>
    <row r="1161" spans="9:13">
      <c r="I1161" s="207">
        <v>2026</v>
      </c>
      <c r="J1161" s="147" t="s">
        <v>385</v>
      </c>
      <c r="K1161" s="214" t="s">
        <v>244</v>
      </c>
      <c r="L1161" s="217">
        <v>3.2</v>
      </c>
      <c r="M1161" s="157"/>
    </row>
    <row r="1162" spans="9:13">
      <c r="I1162" s="207">
        <v>2020</v>
      </c>
      <c r="J1162" s="147" t="s">
        <v>386</v>
      </c>
      <c r="K1162" s="214" t="s">
        <v>243</v>
      </c>
      <c r="L1162" s="217">
        <v>3.4347252747252699</v>
      </c>
      <c r="M1162" s="157"/>
    </row>
    <row r="1163" spans="9:13">
      <c r="I1163" s="207">
        <v>2021</v>
      </c>
      <c r="J1163" s="147" t="s">
        <v>386</v>
      </c>
      <c r="K1163" s="214" t="s">
        <v>243</v>
      </c>
      <c r="L1163" s="217">
        <v>3.5040219780219801</v>
      </c>
      <c r="M1163" s="157"/>
    </row>
    <row r="1164" spans="9:13">
      <c r="I1164" s="207">
        <v>2022</v>
      </c>
      <c r="J1164" s="147" t="s">
        <v>386</v>
      </c>
      <c r="K1164" s="214" t="s">
        <v>243</v>
      </c>
      <c r="L1164" s="217">
        <v>3.5733186813186801</v>
      </c>
      <c r="M1164" s="157"/>
    </row>
    <row r="1165" spans="9:13">
      <c r="I1165" s="207">
        <v>2023</v>
      </c>
      <c r="J1165" s="147" t="s">
        <v>386</v>
      </c>
      <c r="K1165" s="214" t="s">
        <v>243</v>
      </c>
      <c r="L1165" s="217">
        <v>3.6426153846153899</v>
      </c>
      <c r="M1165" s="157"/>
    </row>
    <row r="1166" spans="9:13">
      <c r="I1166" s="207">
        <v>2024</v>
      </c>
      <c r="J1166" s="147" t="s">
        <v>386</v>
      </c>
      <c r="K1166" s="214" t="s">
        <v>243</v>
      </c>
      <c r="L1166" s="217">
        <v>3.7119120879120899</v>
      </c>
      <c r="M1166" s="157"/>
    </row>
    <row r="1167" spans="9:13">
      <c r="I1167" s="207">
        <v>2025</v>
      </c>
      <c r="J1167" s="147" t="s">
        <v>386</v>
      </c>
      <c r="K1167" s="214" t="s">
        <v>243</v>
      </c>
      <c r="L1167" s="217">
        <v>3.7812087912087899</v>
      </c>
      <c r="M1167" s="157"/>
    </row>
    <row r="1168" spans="9:13">
      <c r="I1168" s="207">
        <v>2026</v>
      </c>
      <c r="J1168" s="147" t="s">
        <v>386</v>
      </c>
      <c r="K1168" s="214" t="s">
        <v>243</v>
      </c>
      <c r="L1168" s="217">
        <v>3.8505054945055002</v>
      </c>
      <c r="M1168" s="157"/>
    </row>
    <row r="1169" spans="9:13">
      <c r="I1169" s="207">
        <v>2020</v>
      </c>
      <c r="J1169" s="147" t="s">
        <v>386</v>
      </c>
      <c r="K1169" s="214" t="s">
        <v>244</v>
      </c>
      <c r="L1169" s="217">
        <v>3.9198021978022002</v>
      </c>
      <c r="M1169" s="157"/>
    </row>
    <row r="1170" spans="9:13">
      <c r="I1170" s="207">
        <v>2021</v>
      </c>
      <c r="J1170" s="147" t="s">
        <v>386</v>
      </c>
      <c r="K1170" s="214" t="s">
        <v>244</v>
      </c>
      <c r="L1170" s="217">
        <v>3.9890989010989002</v>
      </c>
      <c r="M1170" s="157"/>
    </row>
    <row r="1171" spans="9:13">
      <c r="I1171" s="207">
        <v>2022</v>
      </c>
      <c r="J1171" s="147" t="s">
        <v>386</v>
      </c>
      <c r="K1171" s="214" t="s">
        <v>244</v>
      </c>
      <c r="L1171" s="217">
        <v>4.05839560439561</v>
      </c>
      <c r="M1171" s="157"/>
    </row>
    <row r="1172" spans="9:13">
      <c r="I1172" s="207">
        <v>2023</v>
      </c>
      <c r="J1172" s="147" t="s">
        <v>386</v>
      </c>
      <c r="K1172" s="214" t="s">
        <v>244</v>
      </c>
      <c r="L1172" s="217">
        <v>4.1276923076923104</v>
      </c>
      <c r="M1172" s="157"/>
    </row>
    <row r="1173" spans="9:13">
      <c r="I1173" s="207">
        <v>2024</v>
      </c>
      <c r="J1173" s="147" t="s">
        <v>386</v>
      </c>
      <c r="K1173" s="214" t="s">
        <v>244</v>
      </c>
      <c r="L1173" s="217">
        <v>4.19698901098901</v>
      </c>
      <c r="M1173" s="157"/>
    </row>
    <row r="1174" spans="9:13">
      <c r="I1174" s="207">
        <v>2025</v>
      </c>
      <c r="J1174" s="147" t="s">
        <v>386</v>
      </c>
      <c r="K1174" s="214" t="s">
        <v>244</v>
      </c>
      <c r="L1174" s="217">
        <v>4.2662857142857202</v>
      </c>
      <c r="M1174" s="157"/>
    </row>
    <row r="1175" spans="9:13">
      <c r="I1175" s="208">
        <v>2026</v>
      </c>
      <c r="J1175" s="211" t="s">
        <v>386</v>
      </c>
      <c r="K1175" s="215" t="s">
        <v>244</v>
      </c>
      <c r="L1175" s="218">
        <v>4.3355824175824198</v>
      </c>
      <c r="M1175" s="157"/>
    </row>
    <row r="1176" spans="9:13">
      <c r="L1176" s="157"/>
    </row>
    <row r="1181" spans="9:13" s="258" customFormat="1">
      <c r="I1181" s="258" t="s">
        <v>452</v>
      </c>
    </row>
    <row r="1186" spans="8:13" ht="16" thickBot="1"/>
    <row r="1187" spans="8:13" ht="18" thickBot="1">
      <c r="I1187" s="205" t="s">
        <v>335</v>
      </c>
      <c r="J1187" s="226" t="s">
        <v>364</v>
      </c>
      <c r="K1187" s="206" t="s">
        <v>241</v>
      </c>
      <c r="L1187" s="473" t="s">
        <v>453</v>
      </c>
    </row>
    <row r="1188" spans="8:13">
      <c r="H1188" s="157"/>
      <c r="I1188" s="205">
        <v>2020</v>
      </c>
      <c r="J1188" s="226" t="s">
        <v>395</v>
      </c>
      <c r="K1188" s="225" t="s">
        <v>173</v>
      </c>
      <c r="L1188" s="225">
        <v>0.41199999999999998</v>
      </c>
      <c r="M1188" s="157"/>
    </row>
    <row r="1189" spans="8:13">
      <c r="H1189" s="157"/>
      <c r="I1189" s="207">
        <v>2021</v>
      </c>
      <c r="J1189" s="157" t="s">
        <v>395</v>
      </c>
      <c r="K1189" s="214" t="s">
        <v>173</v>
      </c>
      <c r="L1189" s="214">
        <v>0.41299999999999998</v>
      </c>
      <c r="M1189" s="157"/>
    </row>
    <row r="1190" spans="8:13">
      <c r="H1190" s="157"/>
      <c r="I1190" s="207">
        <v>2022</v>
      </c>
      <c r="J1190" s="157" t="s">
        <v>395</v>
      </c>
      <c r="K1190" s="214" t="s">
        <v>173</v>
      </c>
      <c r="L1190" s="214">
        <v>0.502</v>
      </c>
      <c r="M1190" s="157"/>
    </row>
    <row r="1191" spans="8:13">
      <c r="H1191" s="157"/>
      <c r="I1191" s="207">
        <v>2023</v>
      </c>
      <c r="J1191" s="157" t="s">
        <v>395</v>
      </c>
      <c r="K1191" s="214" t="s">
        <v>173</v>
      </c>
      <c r="L1191" s="214">
        <v>0.50209999999999999</v>
      </c>
      <c r="M1191" s="157"/>
    </row>
    <row r="1192" spans="8:13">
      <c r="H1192" s="157"/>
      <c r="I1192" s="207">
        <v>2024</v>
      </c>
      <c r="J1192" s="157" t="s">
        <v>395</v>
      </c>
      <c r="K1192" s="214" t="s">
        <v>173</v>
      </c>
      <c r="L1192" s="214">
        <v>0.50219999999999998</v>
      </c>
      <c r="M1192" s="157"/>
    </row>
    <row r="1193" spans="8:13">
      <c r="H1193" s="157"/>
      <c r="I1193" s="207">
        <v>2025</v>
      </c>
      <c r="J1193" s="157" t="s">
        <v>395</v>
      </c>
      <c r="K1193" s="214" t="s">
        <v>173</v>
      </c>
      <c r="L1193" s="214">
        <v>0.50229999999999997</v>
      </c>
      <c r="M1193" s="157"/>
    </row>
    <row r="1194" spans="8:13">
      <c r="H1194" s="157"/>
      <c r="I1194" s="207">
        <v>2026</v>
      </c>
      <c r="J1194" s="157" t="s">
        <v>395</v>
      </c>
      <c r="K1194" s="214" t="s">
        <v>173</v>
      </c>
      <c r="L1194" s="214">
        <v>0.50239999999999996</v>
      </c>
      <c r="M1194" s="157"/>
    </row>
    <row r="1195" spans="8:13">
      <c r="H1195" s="157"/>
      <c r="I1195" s="207">
        <v>2020</v>
      </c>
      <c r="J1195" s="157" t="s">
        <v>395</v>
      </c>
      <c r="K1195" s="214" t="s">
        <v>212</v>
      </c>
      <c r="L1195" s="214">
        <v>0.50249999999999995</v>
      </c>
      <c r="M1195" s="157"/>
    </row>
    <row r="1196" spans="8:13">
      <c r="H1196" s="157"/>
      <c r="I1196" s="207">
        <v>2021</v>
      </c>
      <c r="J1196" s="157" t="s">
        <v>395</v>
      </c>
      <c r="K1196" s="214" t="s">
        <v>212</v>
      </c>
      <c r="L1196" s="214">
        <v>0.41</v>
      </c>
      <c r="M1196" s="157"/>
    </row>
    <row r="1197" spans="8:13">
      <c r="H1197" s="157"/>
      <c r="I1197" s="207">
        <v>2022</v>
      </c>
      <c r="J1197" s="157" t="s">
        <v>395</v>
      </c>
      <c r="K1197" s="214" t="s">
        <v>212</v>
      </c>
      <c r="L1197" s="214">
        <v>0.41099999999999998</v>
      </c>
      <c r="M1197" s="157"/>
    </row>
    <row r="1198" spans="8:13">
      <c r="H1198" s="157"/>
      <c r="I1198" s="207">
        <v>2023</v>
      </c>
      <c r="J1198" s="157" t="s">
        <v>395</v>
      </c>
      <c r="K1198" s="214" t="s">
        <v>212</v>
      </c>
      <c r="L1198" s="214">
        <v>0.41199999999999998</v>
      </c>
      <c r="M1198" s="157"/>
    </row>
    <row r="1199" spans="8:13">
      <c r="H1199" s="157"/>
      <c r="I1199" s="207">
        <v>2024</v>
      </c>
      <c r="J1199" s="157" t="s">
        <v>395</v>
      </c>
      <c r="K1199" s="214" t="s">
        <v>212</v>
      </c>
      <c r="L1199" s="214">
        <v>0.41299999999999998</v>
      </c>
      <c r="M1199" s="157"/>
    </row>
    <row r="1200" spans="8:13">
      <c r="H1200" s="157"/>
      <c r="I1200" s="207">
        <v>2025</v>
      </c>
      <c r="J1200" s="157" t="s">
        <v>395</v>
      </c>
      <c r="K1200" s="214" t="s">
        <v>212</v>
      </c>
      <c r="L1200" s="214">
        <v>0.50239999999999996</v>
      </c>
      <c r="M1200" s="157"/>
    </row>
    <row r="1201" spans="8:13">
      <c r="H1201" s="157"/>
      <c r="I1201" s="207">
        <v>2026</v>
      </c>
      <c r="J1201" s="157" t="s">
        <v>395</v>
      </c>
      <c r="K1201" s="214" t="s">
        <v>212</v>
      </c>
      <c r="L1201" s="214">
        <v>0.50249999999999995</v>
      </c>
      <c r="M1201" s="157"/>
    </row>
    <row r="1202" spans="8:13">
      <c r="H1202" s="157"/>
      <c r="I1202" s="207">
        <v>2020</v>
      </c>
      <c r="J1202" s="157" t="s">
        <v>396</v>
      </c>
      <c r="K1202" s="214" t="s">
        <v>173</v>
      </c>
      <c r="L1202" s="214">
        <v>0.50239999999999996</v>
      </c>
      <c r="M1202" s="157"/>
    </row>
    <row r="1203" spans="8:13">
      <c r="H1203" s="157"/>
      <c r="I1203" s="207">
        <v>2021</v>
      </c>
      <c r="J1203" s="157" t="s">
        <v>396</v>
      </c>
      <c r="K1203" s="214" t="s">
        <v>173</v>
      </c>
      <c r="L1203" s="214">
        <v>0.50249999999999995</v>
      </c>
      <c r="M1203" s="157"/>
    </row>
    <row r="1204" spans="8:13">
      <c r="H1204" s="157"/>
      <c r="I1204" s="207">
        <v>2022</v>
      </c>
      <c r="J1204" s="157" t="s">
        <v>396</v>
      </c>
      <c r="K1204" s="214" t="s">
        <v>173</v>
      </c>
      <c r="L1204" s="214">
        <v>0.41</v>
      </c>
      <c r="M1204" s="157"/>
    </row>
    <row r="1205" spans="8:13">
      <c r="H1205" s="157"/>
      <c r="I1205" s="207">
        <v>2023</v>
      </c>
      <c r="J1205" s="157" t="s">
        <v>396</v>
      </c>
      <c r="K1205" s="214" t="s">
        <v>173</v>
      </c>
      <c r="L1205" s="214">
        <v>0.41099999999999998</v>
      </c>
      <c r="M1205" s="157"/>
    </row>
    <row r="1206" spans="8:13">
      <c r="H1206" s="157"/>
      <c r="I1206" s="207">
        <v>2024</v>
      </c>
      <c r="J1206" s="157" t="s">
        <v>396</v>
      </c>
      <c r="K1206" s="214" t="s">
        <v>173</v>
      </c>
      <c r="L1206" s="214">
        <v>0.41199999999999998</v>
      </c>
      <c r="M1206" s="157"/>
    </row>
    <row r="1207" spans="8:13">
      <c r="H1207" s="157"/>
      <c r="I1207" s="207">
        <v>2025</v>
      </c>
      <c r="J1207" s="157" t="s">
        <v>396</v>
      </c>
      <c r="K1207" s="214" t="s">
        <v>173</v>
      </c>
      <c r="L1207" s="214">
        <v>0.41299999999999998</v>
      </c>
      <c r="M1207" s="157"/>
    </row>
    <row r="1208" spans="8:13">
      <c r="H1208" s="157"/>
      <c r="I1208" s="207">
        <v>2026</v>
      </c>
      <c r="J1208" s="157" t="s">
        <v>396</v>
      </c>
      <c r="K1208" s="214" t="s">
        <v>173</v>
      </c>
      <c r="L1208" s="214">
        <v>0.50239999999999996</v>
      </c>
      <c r="M1208" s="157"/>
    </row>
    <row r="1209" spans="8:13">
      <c r="H1209" s="157"/>
      <c r="I1209" s="207">
        <v>2020</v>
      </c>
      <c r="J1209" s="157" t="s">
        <v>396</v>
      </c>
      <c r="K1209" s="214" t="s">
        <v>212</v>
      </c>
      <c r="L1209" s="214">
        <v>0.50249999999999995</v>
      </c>
      <c r="M1209" s="157"/>
    </row>
    <row r="1210" spans="8:13">
      <c r="H1210" s="157"/>
      <c r="I1210" s="207">
        <v>2021</v>
      </c>
      <c r="J1210" s="157" t="s">
        <v>396</v>
      </c>
      <c r="K1210" s="214" t="s">
        <v>212</v>
      </c>
      <c r="L1210" s="214">
        <v>0.41</v>
      </c>
      <c r="M1210" s="157"/>
    </row>
    <row r="1211" spans="8:13">
      <c r="H1211" s="157"/>
      <c r="I1211" s="207">
        <v>2022</v>
      </c>
      <c r="J1211" s="157" t="s">
        <v>396</v>
      </c>
      <c r="K1211" s="214" t="s">
        <v>212</v>
      </c>
      <c r="L1211" s="214">
        <v>0.41099999999999998</v>
      </c>
      <c r="M1211" s="157"/>
    </row>
    <row r="1212" spans="8:13">
      <c r="H1212" s="157"/>
      <c r="I1212" s="207">
        <v>2023</v>
      </c>
      <c r="J1212" s="157" t="s">
        <v>396</v>
      </c>
      <c r="K1212" s="214" t="s">
        <v>212</v>
      </c>
      <c r="L1212" s="214">
        <v>0.41199999999999998</v>
      </c>
      <c r="M1212" s="157"/>
    </row>
    <row r="1213" spans="8:13">
      <c r="H1213" s="157"/>
      <c r="I1213" s="207">
        <v>2024</v>
      </c>
      <c r="J1213" s="157" t="s">
        <v>396</v>
      </c>
      <c r="K1213" s="214" t="s">
        <v>212</v>
      </c>
      <c r="L1213" s="214">
        <v>0.41299999999999998</v>
      </c>
      <c r="M1213" s="157"/>
    </row>
    <row r="1214" spans="8:13">
      <c r="H1214" s="157"/>
      <c r="I1214" s="207">
        <v>2025</v>
      </c>
      <c r="J1214" s="157" t="s">
        <v>396</v>
      </c>
      <c r="K1214" s="214" t="s">
        <v>212</v>
      </c>
      <c r="L1214" s="214">
        <v>0.42199999999999999</v>
      </c>
      <c r="M1214" s="157"/>
    </row>
    <row r="1215" spans="8:13" ht="16" thickBot="1">
      <c r="H1215" s="157"/>
      <c r="I1215" s="208">
        <v>2026</v>
      </c>
      <c r="J1215" s="211" t="s">
        <v>396</v>
      </c>
      <c r="K1215" s="215" t="s">
        <v>212</v>
      </c>
      <c r="L1215" s="215">
        <v>0.42299999999999999</v>
      </c>
      <c r="M1215" s="157"/>
    </row>
    <row r="1216" spans="8:13">
      <c r="I1216" s="157"/>
      <c r="J1216" s="157"/>
      <c r="K1216" s="157"/>
      <c r="L1216" s="157"/>
    </row>
    <row r="1218" spans="9:13">
      <c r="L1218" s="157"/>
    </row>
    <row r="1219" spans="9:13" ht="19" thickBot="1">
      <c r="I1219" s="212" t="s">
        <v>335</v>
      </c>
      <c r="J1219" s="455" t="s">
        <v>364</v>
      </c>
      <c r="K1219" s="274" t="s">
        <v>241</v>
      </c>
      <c r="L1219" s="472" t="s">
        <v>454</v>
      </c>
      <c r="M1219" s="157"/>
    </row>
    <row r="1220" spans="9:13">
      <c r="I1220" s="205">
        <v>2020</v>
      </c>
      <c r="J1220" s="226" t="s">
        <v>395</v>
      </c>
      <c r="K1220" s="225" t="s">
        <v>173</v>
      </c>
      <c r="L1220" s="424">
        <v>1.5</v>
      </c>
    </row>
    <row r="1221" spans="9:13">
      <c r="I1221" s="207">
        <v>2021</v>
      </c>
      <c r="J1221" s="147" t="s">
        <v>395</v>
      </c>
      <c r="K1221" s="214" t="s">
        <v>173</v>
      </c>
      <c r="L1221" s="424">
        <v>1.6</v>
      </c>
    </row>
    <row r="1222" spans="9:13">
      <c r="I1222" s="207">
        <v>2022</v>
      </c>
      <c r="J1222" s="147" t="s">
        <v>395</v>
      </c>
      <c r="K1222" s="214" t="s">
        <v>173</v>
      </c>
      <c r="L1222" s="424">
        <v>1.7</v>
      </c>
    </row>
    <row r="1223" spans="9:13">
      <c r="I1223" s="207">
        <v>2023</v>
      </c>
      <c r="J1223" s="147" t="s">
        <v>395</v>
      </c>
      <c r="K1223" s="214" t="s">
        <v>173</v>
      </c>
      <c r="L1223" s="424">
        <v>1.8</v>
      </c>
    </row>
    <row r="1224" spans="9:13">
      <c r="I1224" s="207">
        <v>2024</v>
      </c>
      <c r="J1224" s="147" t="s">
        <v>395</v>
      </c>
      <c r="K1224" s="214" t="s">
        <v>173</v>
      </c>
      <c r="L1224" s="424">
        <v>1.9</v>
      </c>
    </row>
    <row r="1225" spans="9:13">
      <c r="I1225" s="207">
        <v>2025</v>
      </c>
      <c r="J1225" s="147" t="s">
        <v>395</v>
      </c>
      <c r="K1225" s="214" t="s">
        <v>173</v>
      </c>
      <c r="L1225" s="424">
        <v>2</v>
      </c>
    </row>
    <row r="1226" spans="9:13">
      <c r="I1226" s="207">
        <v>2026</v>
      </c>
      <c r="J1226" s="147" t="s">
        <v>395</v>
      </c>
      <c r="K1226" s="214" t="s">
        <v>173</v>
      </c>
      <c r="L1226" s="424">
        <v>2.1</v>
      </c>
    </row>
    <row r="1227" spans="9:13">
      <c r="I1227" s="207">
        <v>2020</v>
      </c>
      <c r="J1227" s="147" t="s">
        <v>395</v>
      </c>
      <c r="K1227" s="214" t="s">
        <v>212</v>
      </c>
      <c r="L1227" s="424">
        <v>2.2000000000000002</v>
      </c>
    </row>
    <row r="1228" spans="9:13">
      <c r="I1228" s="207">
        <v>2021</v>
      </c>
      <c r="J1228" s="147" t="s">
        <v>395</v>
      </c>
      <c r="K1228" s="214" t="s">
        <v>212</v>
      </c>
      <c r="L1228" s="424">
        <v>2.2999999999999998</v>
      </c>
    </row>
    <row r="1229" spans="9:13">
      <c r="I1229" s="207">
        <v>2022</v>
      </c>
      <c r="J1229" s="147" t="s">
        <v>395</v>
      </c>
      <c r="K1229" s="214" t="s">
        <v>212</v>
      </c>
      <c r="L1229" s="424">
        <v>2.4</v>
      </c>
    </row>
    <row r="1230" spans="9:13">
      <c r="I1230" s="207">
        <v>2023</v>
      </c>
      <c r="J1230" s="147" t="s">
        <v>395</v>
      </c>
      <c r="K1230" s="214" t="s">
        <v>212</v>
      </c>
      <c r="L1230" s="424">
        <v>2</v>
      </c>
    </row>
    <row r="1231" spans="9:13">
      <c r="I1231" s="207">
        <v>2024</v>
      </c>
      <c r="J1231" s="147" t="s">
        <v>395</v>
      </c>
      <c r="K1231" s="214" t="s">
        <v>212</v>
      </c>
      <c r="L1231" s="424">
        <v>2.1</v>
      </c>
    </row>
    <row r="1232" spans="9:13">
      <c r="I1232" s="207">
        <v>2025</v>
      </c>
      <c r="J1232" s="147" t="s">
        <v>395</v>
      </c>
      <c r="K1232" s="214" t="s">
        <v>212</v>
      </c>
      <c r="L1232" s="424">
        <v>2.2000000000000002</v>
      </c>
    </row>
    <row r="1233" spans="9:12">
      <c r="I1233" s="207">
        <v>2026</v>
      </c>
      <c r="J1233" s="147" t="s">
        <v>395</v>
      </c>
      <c r="K1233" s="214" t="s">
        <v>212</v>
      </c>
      <c r="L1233" s="424">
        <v>2</v>
      </c>
    </row>
    <row r="1234" spans="9:12">
      <c r="I1234" s="207">
        <v>2020</v>
      </c>
      <c r="J1234" s="147" t="s">
        <v>396</v>
      </c>
      <c r="K1234" s="214" t="s">
        <v>173</v>
      </c>
      <c r="L1234" s="424">
        <v>2.1</v>
      </c>
    </row>
    <row r="1235" spans="9:12">
      <c r="I1235" s="207">
        <v>2021</v>
      </c>
      <c r="J1235" s="147" t="s">
        <v>396</v>
      </c>
      <c r="K1235" s="214" t="s">
        <v>173</v>
      </c>
      <c r="L1235" s="424">
        <v>2.2000000000000002</v>
      </c>
    </row>
    <row r="1236" spans="9:12">
      <c r="I1236" s="207">
        <v>2022</v>
      </c>
      <c r="J1236" s="147" t="s">
        <v>396</v>
      </c>
      <c r="K1236" s="214" t="s">
        <v>173</v>
      </c>
      <c r="L1236" s="424">
        <v>2.2999999999999998</v>
      </c>
    </row>
    <row r="1237" spans="9:12">
      <c r="I1237" s="207">
        <v>2023</v>
      </c>
      <c r="J1237" s="147" t="s">
        <v>396</v>
      </c>
      <c r="K1237" s="214" t="s">
        <v>173</v>
      </c>
      <c r="L1237" s="424">
        <v>2.4</v>
      </c>
    </row>
    <row r="1238" spans="9:12">
      <c r="I1238" s="207">
        <v>2024</v>
      </c>
      <c r="J1238" s="147" t="s">
        <v>396</v>
      </c>
      <c r="K1238" s="214" t="s">
        <v>173</v>
      </c>
      <c r="L1238" s="424">
        <v>2</v>
      </c>
    </row>
    <row r="1239" spans="9:12">
      <c r="I1239" s="207">
        <v>2025</v>
      </c>
      <c r="J1239" s="147" t="s">
        <v>396</v>
      </c>
      <c r="K1239" s="214" t="s">
        <v>173</v>
      </c>
      <c r="L1239" s="424">
        <v>2.1</v>
      </c>
    </row>
    <row r="1240" spans="9:12">
      <c r="I1240" s="207">
        <v>2026</v>
      </c>
      <c r="J1240" s="147" t="s">
        <v>396</v>
      </c>
      <c r="K1240" s="214" t="s">
        <v>173</v>
      </c>
      <c r="L1240" s="424">
        <v>2.2000000000000002</v>
      </c>
    </row>
    <row r="1241" spans="9:12">
      <c r="I1241" s="207">
        <v>2020</v>
      </c>
      <c r="J1241" s="147" t="s">
        <v>396</v>
      </c>
      <c r="K1241" s="214" t="s">
        <v>212</v>
      </c>
      <c r="L1241" s="424">
        <v>2.2999999999999998</v>
      </c>
    </row>
    <row r="1242" spans="9:12">
      <c r="I1242" s="207">
        <v>2021</v>
      </c>
      <c r="J1242" s="147" t="s">
        <v>396</v>
      </c>
      <c r="K1242" s="214" t="s">
        <v>212</v>
      </c>
      <c r="L1242" s="424">
        <v>2.4</v>
      </c>
    </row>
    <row r="1243" spans="9:12">
      <c r="I1243" s="207">
        <v>2022</v>
      </c>
      <c r="J1243" s="147" t="s">
        <v>396</v>
      </c>
      <c r="K1243" s="214" t="s">
        <v>212</v>
      </c>
      <c r="L1243" s="424">
        <v>3.3</v>
      </c>
    </row>
    <row r="1244" spans="9:12">
      <c r="I1244" s="207">
        <v>2023</v>
      </c>
      <c r="J1244" s="147" t="s">
        <v>396</v>
      </c>
      <c r="K1244" s="214" t="s">
        <v>212</v>
      </c>
      <c r="L1244" s="424">
        <v>3.4</v>
      </c>
    </row>
    <row r="1245" spans="9:12">
      <c r="I1245" s="207">
        <v>2024</v>
      </c>
      <c r="J1245" s="147" t="s">
        <v>396</v>
      </c>
      <c r="K1245" s="214" t="s">
        <v>212</v>
      </c>
      <c r="L1245" s="424">
        <v>3.5</v>
      </c>
    </row>
    <row r="1246" spans="9:12">
      <c r="I1246" s="207">
        <v>2025</v>
      </c>
      <c r="J1246" s="147" t="s">
        <v>396</v>
      </c>
      <c r="K1246" s="214" t="s">
        <v>212</v>
      </c>
      <c r="L1246" s="424">
        <v>3.6</v>
      </c>
    </row>
    <row r="1247" spans="9:12">
      <c r="I1247" s="208">
        <v>2026</v>
      </c>
      <c r="J1247" s="211" t="s">
        <v>396</v>
      </c>
      <c r="K1247" s="215" t="s">
        <v>212</v>
      </c>
      <c r="L1247" s="425">
        <v>3.7</v>
      </c>
    </row>
    <row r="1253" spans="9:12" s="258" customFormat="1">
      <c r="I1253" s="258" t="s">
        <v>455</v>
      </c>
    </row>
    <row r="1257" spans="9:12" ht="19" thickBot="1">
      <c r="I1257" s="434" t="s">
        <v>364</v>
      </c>
      <c r="J1257" s="451" t="s">
        <v>456</v>
      </c>
    </row>
    <row r="1258" spans="9:12">
      <c r="I1258" s="235" t="s">
        <v>395</v>
      </c>
      <c r="J1258" s="235">
        <v>8.4000000000000003E-4</v>
      </c>
    </row>
    <row r="1259" spans="9:12" ht="16" thickBot="1">
      <c r="I1259" s="218" t="s">
        <v>396</v>
      </c>
      <c r="J1259" s="218">
        <v>7.5000000000000002E-4</v>
      </c>
    </row>
    <row r="1264" spans="9:12" ht="18" thickBot="1">
      <c r="I1264" s="212" t="s">
        <v>335</v>
      </c>
      <c r="J1264" s="455" t="s">
        <v>364</v>
      </c>
      <c r="K1264" s="274" t="s">
        <v>241</v>
      </c>
      <c r="L1264" s="471" t="s">
        <v>457</v>
      </c>
    </row>
    <row r="1265" spans="9:12">
      <c r="I1265" s="205">
        <v>2020</v>
      </c>
      <c r="J1265" s="226" t="s">
        <v>395</v>
      </c>
      <c r="K1265" s="225" t="s">
        <v>173</v>
      </c>
      <c r="L1265" s="217">
        <v>43.3</v>
      </c>
    </row>
    <row r="1266" spans="9:12">
      <c r="I1266" s="207">
        <v>2021</v>
      </c>
      <c r="J1266" s="147" t="s">
        <v>395</v>
      </c>
      <c r="K1266" s="214" t="s">
        <v>173</v>
      </c>
      <c r="L1266" s="217">
        <v>43.31</v>
      </c>
    </row>
    <row r="1267" spans="9:12">
      <c r="I1267" s="207">
        <v>2022</v>
      </c>
      <c r="J1267" s="147" t="s">
        <v>395</v>
      </c>
      <c r="K1267" s="214" t="s">
        <v>173</v>
      </c>
      <c r="L1267" s="217">
        <v>43.29</v>
      </c>
    </row>
    <row r="1268" spans="9:12">
      <c r="I1268" s="207">
        <v>2023</v>
      </c>
      <c r="J1268" s="147" t="s">
        <v>395</v>
      </c>
      <c r="K1268" s="214" t="s">
        <v>173</v>
      </c>
      <c r="L1268" s="217">
        <v>43.29</v>
      </c>
    </row>
    <row r="1269" spans="9:12">
      <c r="I1269" s="207">
        <v>2024</v>
      </c>
      <c r="J1269" s="147" t="s">
        <v>395</v>
      </c>
      <c r="K1269" s="214" t="s">
        <v>173</v>
      </c>
      <c r="L1269" s="217">
        <v>43.284999999999997</v>
      </c>
    </row>
    <row r="1270" spans="9:12">
      <c r="I1270" s="207">
        <v>2025</v>
      </c>
      <c r="J1270" s="147" t="s">
        <v>395</v>
      </c>
      <c r="K1270" s="214" t="s">
        <v>173</v>
      </c>
      <c r="L1270" s="217">
        <v>43.28</v>
      </c>
    </row>
    <row r="1271" spans="9:12">
      <c r="I1271" s="207">
        <v>2026</v>
      </c>
      <c r="J1271" s="147" t="s">
        <v>395</v>
      </c>
      <c r="K1271" s="214" t="s">
        <v>173</v>
      </c>
      <c r="L1271" s="217">
        <v>43.274999999999999</v>
      </c>
    </row>
    <row r="1272" spans="9:12">
      <c r="I1272" s="207">
        <v>2020</v>
      </c>
      <c r="J1272" s="147" t="s">
        <v>395</v>
      </c>
      <c r="K1272" s="214" t="s">
        <v>212</v>
      </c>
      <c r="L1272" s="217">
        <v>44.8</v>
      </c>
    </row>
    <row r="1273" spans="9:12">
      <c r="I1273" s="207">
        <v>2021</v>
      </c>
      <c r="J1273" s="147" t="s">
        <v>395</v>
      </c>
      <c r="K1273" s="214" t="s">
        <v>212</v>
      </c>
      <c r="L1273" s="217">
        <v>44.81</v>
      </c>
    </row>
    <row r="1274" spans="9:12">
      <c r="I1274" s="207">
        <v>2022</v>
      </c>
      <c r="J1274" s="147" t="s">
        <v>395</v>
      </c>
      <c r="K1274" s="214" t="s">
        <v>212</v>
      </c>
      <c r="L1274" s="217">
        <v>44.79</v>
      </c>
    </row>
    <row r="1275" spans="9:12">
      <c r="I1275" s="207">
        <v>2023</v>
      </c>
      <c r="J1275" s="147" t="s">
        <v>395</v>
      </c>
      <c r="K1275" s="214" t="s">
        <v>212</v>
      </c>
      <c r="L1275" s="217">
        <v>44.78</v>
      </c>
    </row>
    <row r="1276" spans="9:12">
      <c r="I1276" s="207">
        <v>2024</v>
      </c>
      <c r="J1276" s="147" t="s">
        <v>395</v>
      </c>
      <c r="K1276" s="214" t="s">
        <v>212</v>
      </c>
      <c r="L1276" s="217">
        <v>43.3</v>
      </c>
    </row>
    <row r="1277" spans="9:12">
      <c r="I1277" s="207">
        <v>2025</v>
      </c>
      <c r="J1277" s="147" t="s">
        <v>395</v>
      </c>
      <c r="K1277" s="214" t="s">
        <v>212</v>
      </c>
      <c r="L1277" s="217">
        <v>43.31</v>
      </c>
    </row>
    <row r="1278" spans="9:12">
      <c r="I1278" s="207">
        <v>2026</v>
      </c>
      <c r="J1278" s="147" t="s">
        <v>395</v>
      </c>
      <c r="K1278" s="214" t="s">
        <v>212</v>
      </c>
      <c r="L1278" s="217">
        <v>43.29</v>
      </c>
    </row>
    <row r="1279" spans="9:12">
      <c r="I1279" s="207">
        <v>2020</v>
      </c>
      <c r="J1279" s="147" t="s">
        <v>396</v>
      </c>
      <c r="K1279" s="214" t="s">
        <v>173</v>
      </c>
      <c r="L1279" s="217">
        <v>43.29</v>
      </c>
    </row>
    <row r="1280" spans="9:12">
      <c r="I1280" s="207">
        <v>2021</v>
      </c>
      <c r="J1280" s="147" t="s">
        <v>396</v>
      </c>
      <c r="K1280" s="214" t="s">
        <v>173</v>
      </c>
      <c r="L1280" s="217">
        <v>43.284999999999997</v>
      </c>
    </row>
    <row r="1281" spans="9:12">
      <c r="I1281" s="207">
        <v>2022</v>
      </c>
      <c r="J1281" s="147" t="s">
        <v>396</v>
      </c>
      <c r="K1281" s="214" t="s">
        <v>173</v>
      </c>
      <c r="L1281" s="217">
        <v>43.28</v>
      </c>
    </row>
    <row r="1282" spans="9:12">
      <c r="I1282" s="207">
        <v>2023</v>
      </c>
      <c r="J1282" s="147" t="s">
        <v>396</v>
      </c>
      <c r="K1282" s="214" t="s">
        <v>173</v>
      </c>
      <c r="L1282" s="217">
        <v>43.274999999999999</v>
      </c>
    </row>
    <row r="1283" spans="9:12">
      <c r="I1283" s="207">
        <v>2024</v>
      </c>
      <c r="J1283" s="147" t="s">
        <v>396</v>
      </c>
      <c r="K1283" s="214" t="s">
        <v>173</v>
      </c>
      <c r="L1283" s="217">
        <v>44.8</v>
      </c>
    </row>
    <row r="1284" spans="9:12">
      <c r="I1284" s="207">
        <v>2025</v>
      </c>
      <c r="J1284" s="147" t="s">
        <v>396</v>
      </c>
      <c r="K1284" s="214" t="s">
        <v>173</v>
      </c>
      <c r="L1284" s="217">
        <v>43.3</v>
      </c>
    </row>
    <row r="1285" spans="9:12">
      <c r="I1285" s="207">
        <v>2026</v>
      </c>
      <c r="J1285" s="147" t="s">
        <v>396</v>
      </c>
      <c r="K1285" s="214" t="s">
        <v>173</v>
      </c>
      <c r="L1285" s="217">
        <v>43.31</v>
      </c>
    </row>
    <row r="1286" spans="9:12">
      <c r="I1286" s="207">
        <v>2020</v>
      </c>
      <c r="J1286" s="147" t="s">
        <v>396</v>
      </c>
      <c r="K1286" s="214" t="s">
        <v>212</v>
      </c>
      <c r="L1286" s="217">
        <v>43.29</v>
      </c>
    </row>
    <row r="1287" spans="9:12">
      <c r="I1287" s="207">
        <v>2021</v>
      </c>
      <c r="J1287" s="147" t="s">
        <v>396</v>
      </c>
      <c r="K1287" s="214" t="s">
        <v>212</v>
      </c>
      <c r="L1287" s="217">
        <v>43.29</v>
      </c>
    </row>
    <row r="1288" spans="9:12">
      <c r="I1288" s="207">
        <v>2022</v>
      </c>
      <c r="J1288" s="147" t="s">
        <v>396</v>
      </c>
      <c r="K1288" s="214" t="s">
        <v>212</v>
      </c>
      <c r="L1288" s="217">
        <v>43.284999999999997</v>
      </c>
    </row>
    <row r="1289" spans="9:12">
      <c r="I1289" s="207">
        <v>2023</v>
      </c>
      <c r="J1289" s="147" t="s">
        <v>396</v>
      </c>
      <c r="K1289" s="214" t="s">
        <v>212</v>
      </c>
      <c r="L1289" s="217">
        <v>43.28</v>
      </c>
    </row>
    <row r="1290" spans="9:12">
      <c r="I1290" s="207">
        <v>2024</v>
      </c>
      <c r="J1290" s="147" t="s">
        <v>396</v>
      </c>
      <c r="K1290" s="214" t="s">
        <v>212</v>
      </c>
      <c r="L1290" s="217">
        <v>43.274999999999999</v>
      </c>
    </row>
    <row r="1291" spans="9:12">
      <c r="I1291" s="207">
        <v>2025</v>
      </c>
      <c r="J1291" s="147" t="s">
        <v>396</v>
      </c>
      <c r="K1291" s="214" t="s">
        <v>212</v>
      </c>
      <c r="L1291" s="217">
        <v>44.8</v>
      </c>
    </row>
    <row r="1292" spans="9:12">
      <c r="I1292" s="208">
        <v>2026</v>
      </c>
      <c r="J1292" s="211" t="s">
        <v>396</v>
      </c>
      <c r="K1292" s="215" t="s">
        <v>212</v>
      </c>
      <c r="L1292" s="218">
        <v>44.81</v>
      </c>
    </row>
    <row r="1293" spans="9:12">
      <c r="I1293" s="157"/>
      <c r="J1293" s="157"/>
      <c r="K1293" s="157"/>
      <c r="L1293" s="157"/>
    </row>
    <row r="1294" spans="9:12">
      <c r="I1294" s="157"/>
      <c r="J1294" s="157"/>
    </row>
    <row r="1295" spans="9:12">
      <c r="I1295" s="157"/>
      <c r="J1295" s="157"/>
    </row>
    <row r="1296" spans="9:12">
      <c r="L1296" s="157"/>
    </row>
    <row r="1297" spans="9:12" ht="18" thickBot="1">
      <c r="I1297" s="212" t="s">
        <v>335</v>
      </c>
      <c r="J1297" s="455" t="s">
        <v>364</v>
      </c>
      <c r="K1297" s="274" t="s">
        <v>241</v>
      </c>
      <c r="L1297" s="471" t="s">
        <v>458</v>
      </c>
    </row>
    <row r="1298" spans="9:12">
      <c r="I1298" s="205">
        <v>2020</v>
      </c>
      <c r="J1298" s="226" t="s">
        <v>395</v>
      </c>
      <c r="K1298" s="225" t="s">
        <v>173</v>
      </c>
      <c r="L1298" s="217">
        <v>2.6</v>
      </c>
    </row>
    <row r="1299" spans="9:12">
      <c r="I1299" s="207">
        <v>2021</v>
      </c>
      <c r="J1299" s="147" t="s">
        <v>395</v>
      </c>
      <c r="K1299" s="214" t="s">
        <v>173</v>
      </c>
      <c r="L1299" s="217">
        <v>2.61</v>
      </c>
    </row>
    <row r="1300" spans="9:12">
      <c r="I1300" s="207">
        <v>2022</v>
      </c>
      <c r="J1300" s="147" t="s">
        <v>395</v>
      </c>
      <c r="K1300" s="214" t="s">
        <v>173</v>
      </c>
      <c r="L1300" s="217">
        <v>2.62</v>
      </c>
    </row>
    <row r="1301" spans="9:12">
      <c r="I1301" s="207">
        <v>2023</v>
      </c>
      <c r="J1301" s="147" t="s">
        <v>395</v>
      </c>
      <c r="K1301" s="214" t="s">
        <v>173</v>
      </c>
      <c r="L1301" s="217">
        <v>2.63</v>
      </c>
    </row>
    <row r="1302" spans="9:12">
      <c r="I1302" s="207">
        <v>2024</v>
      </c>
      <c r="J1302" s="147" t="s">
        <v>395</v>
      </c>
      <c r="K1302" s="214" t="s">
        <v>173</v>
      </c>
      <c r="L1302" s="217">
        <v>2.63</v>
      </c>
    </row>
    <row r="1303" spans="9:12">
      <c r="I1303" s="207">
        <v>2025</v>
      </c>
      <c r="J1303" s="147" t="s">
        <v>395</v>
      </c>
      <c r="K1303" s="214" t="s">
        <v>173</v>
      </c>
      <c r="L1303" s="217">
        <v>2.65</v>
      </c>
    </row>
    <row r="1304" spans="9:12">
      <c r="I1304" s="207">
        <v>2026</v>
      </c>
      <c r="J1304" s="147" t="s">
        <v>395</v>
      </c>
      <c r="K1304" s="214" t="s">
        <v>173</v>
      </c>
      <c r="L1304" s="217">
        <v>2.67</v>
      </c>
    </row>
    <row r="1305" spans="9:12">
      <c r="I1305" s="207">
        <v>2020</v>
      </c>
      <c r="J1305" s="147" t="s">
        <v>395</v>
      </c>
      <c r="K1305" s="214" t="s">
        <v>212</v>
      </c>
      <c r="L1305" s="217">
        <v>2.7</v>
      </c>
    </row>
    <row r="1306" spans="9:12">
      <c r="I1306" s="207">
        <v>2021</v>
      </c>
      <c r="J1306" s="147" t="s">
        <v>395</v>
      </c>
      <c r="K1306" s="214" t="s">
        <v>212</v>
      </c>
      <c r="L1306" s="217">
        <v>3.2</v>
      </c>
    </row>
    <row r="1307" spans="9:12">
      <c r="I1307" s="207">
        <v>2022</v>
      </c>
      <c r="J1307" s="147" t="s">
        <v>395</v>
      </c>
      <c r="K1307" s="214" t="s">
        <v>212</v>
      </c>
      <c r="L1307" s="217">
        <v>3.3</v>
      </c>
    </row>
    <row r="1308" spans="9:12">
      <c r="I1308" s="207">
        <v>2023</v>
      </c>
      <c r="J1308" s="147" t="s">
        <v>395</v>
      </c>
      <c r="K1308" s="214" t="s">
        <v>212</v>
      </c>
      <c r="L1308" s="217">
        <v>3.4</v>
      </c>
    </row>
    <row r="1309" spans="9:12">
      <c r="I1309" s="207">
        <v>2024</v>
      </c>
      <c r="J1309" s="147" t="s">
        <v>395</v>
      </c>
      <c r="K1309" s="214" t="s">
        <v>212</v>
      </c>
      <c r="L1309" s="217">
        <v>3.5</v>
      </c>
    </row>
    <row r="1310" spans="9:12">
      <c r="I1310" s="207">
        <v>2025</v>
      </c>
      <c r="J1310" s="147" t="s">
        <v>395</v>
      </c>
      <c r="K1310" s="214" t="s">
        <v>212</v>
      </c>
      <c r="L1310" s="217">
        <v>3.1</v>
      </c>
    </row>
    <row r="1311" spans="9:12">
      <c r="I1311" s="207">
        <v>2026</v>
      </c>
      <c r="J1311" s="147" t="s">
        <v>395</v>
      </c>
      <c r="K1311" s="214" t="s">
        <v>212</v>
      </c>
      <c r="L1311" s="217">
        <v>3.2</v>
      </c>
    </row>
    <row r="1312" spans="9:12">
      <c r="I1312" s="207">
        <v>2020</v>
      </c>
      <c r="J1312" s="147" t="s">
        <v>396</v>
      </c>
      <c r="K1312" s="214" t="s">
        <v>173</v>
      </c>
      <c r="L1312" s="217">
        <v>3.4347252747252699</v>
      </c>
    </row>
    <row r="1313" spans="9:12">
      <c r="I1313" s="207">
        <v>2021</v>
      </c>
      <c r="J1313" s="147" t="s">
        <v>396</v>
      </c>
      <c r="K1313" s="214" t="s">
        <v>173</v>
      </c>
      <c r="L1313" s="217">
        <v>3.5040219780219801</v>
      </c>
    </row>
    <row r="1314" spans="9:12">
      <c r="I1314" s="207">
        <v>2022</v>
      </c>
      <c r="J1314" s="147" t="s">
        <v>396</v>
      </c>
      <c r="K1314" s="214" t="s">
        <v>173</v>
      </c>
      <c r="L1314" s="217">
        <v>3.5733186813186801</v>
      </c>
    </row>
    <row r="1315" spans="9:12">
      <c r="I1315" s="207">
        <v>2023</v>
      </c>
      <c r="J1315" s="147" t="s">
        <v>396</v>
      </c>
      <c r="K1315" s="214" t="s">
        <v>173</v>
      </c>
      <c r="L1315" s="217">
        <v>3.6426153846153899</v>
      </c>
    </row>
    <row r="1316" spans="9:12">
      <c r="I1316" s="207">
        <v>2024</v>
      </c>
      <c r="J1316" s="147" t="s">
        <v>396</v>
      </c>
      <c r="K1316" s="214" t="s">
        <v>173</v>
      </c>
      <c r="L1316" s="217">
        <v>3.7119120879120899</v>
      </c>
    </row>
    <row r="1317" spans="9:12">
      <c r="I1317" s="207">
        <v>2025</v>
      </c>
      <c r="J1317" s="147" t="s">
        <v>396</v>
      </c>
      <c r="K1317" s="214" t="s">
        <v>173</v>
      </c>
      <c r="L1317" s="217">
        <v>3.7812087912087899</v>
      </c>
    </row>
    <row r="1318" spans="9:12">
      <c r="I1318" s="207">
        <v>2026</v>
      </c>
      <c r="J1318" s="147" t="s">
        <v>396</v>
      </c>
      <c r="K1318" s="214" t="s">
        <v>173</v>
      </c>
      <c r="L1318" s="217">
        <v>3.8505054945055002</v>
      </c>
    </row>
    <row r="1319" spans="9:12">
      <c r="I1319" s="207">
        <v>2020</v>
      </c>
      <c r="J1319" s="147" t="s">
        <v>396</v>
      </c>
      <c r="K1319" s="214" t="s">
        <v>212</v>
      </c>
      <c r="L1319" s="217">
        <v>3.9198021978022002</v>
      </c>
    </row>
    <row r="1320" spans="9:12">
      <c r="I1320" s="207">
        <v>2021</v>
      </c>
      <c r="J1320" s="147" t="s">
        <v>396</v>
      </c>
      <c r="K1320" s="214" t="s">
        <v>212</v>
      </c>
      <c r="L1320" s="217">
        <v>3.9890989010989002</v>
      </c>
    </row>
    <row r="1321" spans="9:12">
      <c r="I1321" s="207">
        <v>2022</v>
      </c>
      <c r="J1321" s="147" t="s">
        <v>396</v>
      </c>
      <c r="K1321" s="214" t="s">
        <v>212</v>
      </c>
      <c r="L1321" s="217">
        <v>4.05839560439561</v>
      </c>
    </row>
    <row r="1322" spans="9:12">
      <c r="I1322" s="207">
        <v>2023</v>
      </c>
      <c r="J1322" s="147" t="s">
        <v>396</v>
      </c>
      <c r="K1322" s="214" t="s">
        <v>212</v>
      </c>
      <c r="L1322" s="217">
        <v>4.1276923076923104</v>
      </c>
    </row>
    <row r="1323" spans="9:12">
      <c r="I1323" s="207">
        <v>2024</v>
      </c>
      <c r="J1323" s="147" t="s">
        <v>396</v>
      </c>
      <c r="K1323" s="214" t="s">
        <v>212</v>
      </c>
      <c r="L1323" s="217">
        <v>4.19698901098901</v>
      </c>
    </row>
    <row r="1324" spans="9:12">
      <c r="I1324" s="207">
        <v>2025</v>
      </c>
      <c r="J1324" s="147" t="s">
        <v>396</v>
      </c>
      <c r="K1324" s="214" t="s">
        <v>212</v>
      </c>
      <c r="L1324" s="217">
        <v>4.2662857142857202</v>
      </c>
    </row>
    <row r="1325" spans="9:12">
      <c r="I1325" s="208">
        <v>2026</v>
      </c>
      <c r="J1325" s="211" t="s">
        <v>396</v>
      </c>
      <c r="K1325" s="215" t="s">
        <v>212</v>
      </c>
      <c r="L1325" s="218">
        <v>4.3355824175824198</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6565E-7CD1-4245-A2E7-999BCE15A4DF}">
  <dimension ref="H13:N20"/>
  <sheetViews>
    <sheetView tabSelected="1" workbookViewId="0">
      <selection activeCell="G10" sqref="G10:Q23"/>
    </sheetView>
  </sheetViews>
  <sheetFormatPr baseColWidth="10" defaultColWidth="8.83203125" defaultRowHeight="15"/>
  <sheetData>
    <row r="13" spans="8:14">
      <c r="H13" s="639"/>
      <c r="I13" s="640"/>
      <c r="J13" s="641"/>
      <c r="K13" s="640"/>
      <c r="L13" s="642"/>
      <c r="N13" s="652"/>
    </row>
    <row r="14" spans="8:14">
      <c r="H14" s="643"/>
      <c r="I14" s="644"/>
      <c r="J14" s="645"/>
      <c r="K14" s="644"/>
      <c r="L14" s="646"/>
      <c r="N14" s="652"/>
    </row>
    <row r="15" spans="8:14">
      <c r="H15" s="643"/>
      <c r="I15" s="644"/>
      <c r="J15" s="645"/>
      <c r="K15" s="644"/>
      <c r="L15" s="647"/>
      <c r="N15" s="652"/>
    </row>
    <row r="16" spans="8:14">
      <c r="H16" s="643"/>
      <c r="I16" s="644"/>
      <c r="J16" s="645"/>
      <c r="K16" s="644"/>
      <c r="L16" s="646"/>
      <c r="N16" s="652"/>
    </row>
    <row r="17" spans="8:14">
      <c r="H17" s="643"/>
      <c r="I17" s="644"/>
      <c r="J17" s="645"/>
      <c r="K17" s="644"/>
      <c r="L17" s="646"/>
      <c r="N17" s="652"/>
    </row>
    <row r="18" spans="8:14">
      <c r="H18" s="643"/>
      <c r="I18" s="644"/>
      <c r="J18" s="645"/>
      <c r="K18" s="644"/>
      <c r="L18" s="646"/>
      <c r="N18" s="652"/>
    </row>
    <row r="19" spans="8:14">
      <c r="H19" s="643"/>
      <c r="I19" s="644"/>
      <c r="J19" s="645"/>
      <c r="K19" s="644"/>
      <c r="L19" s="646"/>
      <c r="N19" s="652"/>
    </row>
    <row r="20" spans="8:14">
      <c r="H20" s="648"/>
      <c r="I20" s="649"/>
      <c r="J20" s="650"/>
      <c r="K20" s="649"/>
      <c r="L20" s="65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8C11EDA5119541AA375759A6AE0032" ma:contentTypeVersion="19" ma:contentTypeDescription="Create a new document." ma:contentTypeScope="" ma:versionID="9fd8ecaacb023422ca6d3ea54a03bfe6">
  <xsd:schema xmlns:xsd="http://www.w3.org/2001/XMLSchema" xmlns:xs="http://www.w3.org/2001/XMLSchema" xmlns:p="http://schemas.microsoft.com/office/2006/metadata/properties" xmlns:ns2="d1bd567e-04f2-4ce7-95aa-4ef7d5e4a812" xmlns:ns3="536f534b-b617-4fcf-9acb-f510fedcfa21" targetNamespace="http://schemas.microsoft.com/office/2006/metadata/properties" ma:root="true" ma:fieldsID="95910604302d212257f77624e8a72ca8" ns2:_="" ns3:_="">
    <xsd:import namespace="d1bd567e-04f2-4ce7-95aa-4ef7d5e4a812"/>
    <xsd:import namespace="536f534b-b617-4fcf-9acb-f510fedcfa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SearchProperties" minOccurs="0"/>
                <xsd:element ref="ns2:MediaServiceLocation"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bd567e-04f2-4ce7-95aa-4ef7d5e4a8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97863a-9c53-4d79-aa62-b4edf9878b66"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6f534b-b617-4fcf-9acb-f510fedcfa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7ccf8b1-6866-44e8-8dae-bb2c1635ec96}" ma:internalName="TaxCatchAll" ma:showField="CatchAllData" ma:web="536f534b-b617-4fcf-9acb-f510fedcfa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1bd567e-04f2-4ce7-95aa-4ef7d5e4a812">
      <Terms xmlns="http://schemas.microsoft.com/office/infopath/2007/PartnerControls"/>
    </lcf76f155ced4ddcb4097134ff3c332f>
    <TaxCatchAll xmlns="536f534b-b617-4fcf-9acb-f510fedcfa21" xsi:nil="true"/>
  </documentManagement>
</p:properties>
</file>

<file path=customXml/itemProps1.xml><?xml version="1.0" encoding="utf-8"?>
<ds:datastoreItem xmlns:ds="http://schemas.openxmlformats.org/officeDocument/2006/customXml" ds:itemID="{5B3A9DE9-623A-4783-974B-662A451DDC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bd567e-04f2-4ce7-95aa-4ef7d5e4a812"/>
    <ds:schemaRef ds:uri="536f534b-b617-4fcf-9acb-f510fedcfa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C74123-5CDE-4BA2-8AC0-EACD340C7E2A}">
  <ds:schemaRefs>
    <ds:schemaRef ds:uri="http://schemas.microsoft.com/sharepoint/v3/contenttype/forms"/>
  </ds:schemaRefs>
</ds:datastoreItem>
</file>

<file path=customXml/itemProps3.xml><?xml version="1.0" encoding="utf-8"?>
<ds:datastoreItem xmlns:ds="http://schemas.openxmlformats.org/officeDocument/2006/customXml" ds:itemID="{F19B82FC-CB79-4B1D-B72B-E39523F209F2}">
  <ds:schemaRefs>
    <ds:schemaRef ds:uri="http://schemas.microsoft.com/office/2006/metadata/properties"/>
    <ds:schemaRef ds:uri="http://schemas.microsoft.com/office/infopath/2007/PartnerControls"/>
    <ds:schemaRef ds:uri="d1bd567e-04f2-4ce7-95aa-4ef7d5e4a812"/>
    <ds:schemaRef ds:uri="536f534b-b617-4fcf-9acb-f510fedcfa2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Parameters</vt:lpstr>
      <vt:lpstr>ER Calc (by Waqar) </vt:lpstr>
      <vt:lpstr>Extended ER Calc (by Waqar) </vt:lpstr>
      <vt:lpstr>Extended ER Calc2 (Waqar)</vt:lpstr>
      <vt:lpstr>Lists</vt:lpstr>
      <vt:lpstr>Test Data High Tech(April 2025)</vt:lpstr>
      <vt:lpstr>Test Data low Tech (April 2025)</vt:lpstr>
      <vt:lpstr>Tool 05 Calcs</vt:lpstr>
      <vt:lpstr>Tool 03 Calcs</vt:lpstr>
      <vt:lpstr>Data input</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Daniel Swid</cp:lastModifiedBy>
  <cp:revision/>
  <dcterms:created xsi:type="dcterms:W3CDTF">2024-03-13T09:43:40Z</dcterms:created>
  <dcterms:modified xsi:type="dcterms:W3CDTF">2026-07-31T19:52:04Z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0x010100348C11EDA5119541AA375759A6AE0032</vt:lpwstr>
  </property>
  <property fmtid="{D5CDD505-2E9C-101B-9397-08002B2CF9AE}" pid="3" name="MediaServiceImageTags">
    <vt:lpwstr/>
  </property>
</Properties>
</file>