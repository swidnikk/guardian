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1"/>
  <workbookPr filterPrivacy="1"/>
  <xr:revisionPtr revIDLastSave="0" documentId="13_ncr:1_{3995E0DA-E958-B140-AAF2-CEFEC407AC9B}" xr6:coauthVersionLast="47" xr6:coauthVersionMax="47" xr10:uidLastSave="{00000000-0000-0000-0000-000000000000}"/>
  <bookViews>
    <workbookView xWindow="0" yWindow="660" windowWidth="30240" windowHeight="18980" activeTab="3" xr2:uid="{B7272DD0-C00E-2B49-881A-D449616BA167}"/>
  </bookViews>
  <sheets>
    <sheet name="Enums" sheetId="584" r:id="rId1"/>
    <sheet name="VVB Account Registration" sheetId="2" r:id="rId2"/>
    <sheet name="Project Proponent" sheetId="1" r:id="rId3"/>
    <sheet name="Project Description" sheetId="6" r:id="rId4"/>
    <sheet name="Monitoring Report" sheetId="3" r:id="rId5"/>
    <sheet name="Validation Reports" sheetId="4" r:id="rId6"/>
    <sheet name="Verification Reports" sheetId="5" r:id="rId7"/>
    <sheet name="Reductions Removals" sheetId="8" r:id="rId8"/>
  </sheets>
  <definedNames>
    <definedName name="_xlnm._FilterDatabase" localSheetId="4" hidden="1">'Monitoring Report'!$B$1:$B$482</definedName>
    <definedName name="_xlnm._FilterDatabase" localSheetId="3" hidden="1">'Project Description'!$B$1:$B$850</definedName>
    <definedName name="_xlnm._FilterDatabase" localSheetId="7" hidden="1">'Reductions Removals'!$B$1:$B$165</definedName>
    <definedName name="_xlnm._FilterDatabase" localSheetId="5" hidden="1">'Validation Reports'!$B$1:$B$305</definedName>
    <definedName name="_xlnm._FilterDatabase" localSheetId="6" hidden="1">'Verification Reports'!$B$1:$B$192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5" i="6" l="1"/>
  <c r="F84" i="6"/>
  <c r="F83" i="6"/>
  <c r="F82" i="6"/>
  <c r="F570" i="6"/>
  <c r="F580" i="6"/>
  <c r="F268" i="6"/>
  <c r="F114" i="6"/>
  <c r="F113" i="6"/>
  <c r="F112" i="6"/>
  <c r="F109" i="6"/>
  <c r="F106" i="6"/>
  <c r="F102" i="6"/>
  <c r="F99" i="6"/>
  <c r="F97" i="6"/>
  <c r="F94" i="6"/>
  <c r="F71" i="6"/>
  <c r="F69" i="6"/>
  <c r="F21" i="6"/>
  <c r="F8" i="6"/>
  <c r="F559" i="6"/>
  <c r="F556" i="6"/>
  <c r="F555" i="6"/>
  <c r="F554" i="6"/>
  <c r="F540" i="6"/>
  <c r="F534" i="6"/>
  <c r="F530" i="6"/>
  <c r="F527" i="6"/>
  <c r="F526" i="6"/>
  <c r="F525" i="6"/>
  <c r="F511" i="6"/>
  <c r="F493" i="6"/>
  <c r="F492" i="6"/>
  <c r="F491" i="6"/>
  <c r="F490" i="6"/>
  <c r="F476" i="6"/>
  <c r="F470" i="6"/>
  <c r="F466" i="6"/>
  <c r="F463" i="6"/>
  <c r="F291" i="6"/>
  <c r="F290" i="6"/>
  <c r="F269" i="6"/>
  <c r="F267" i="6"/>
  <c r="F266" i="6"/>
  <c r="F265" i="6"/>
  <c r="F264" i="6"/>
  <c r="F263" i="6"/>
  <c r="F262" i="6"/>
  <c r="F257" i="6"/>
  <c r="F256" i="6"/>
  <c r="E45" i="5"/>
  <c r="E8" i="5"/>
  <c r="F8" i="4"/>
  <c r="D247" i="3"/>
  <c r="D97" i="3"/>
  <c r="D96" i="3"/>
  <c r="D92" i="3"/>
  <c r="D89" i="3"/>
  <c r="D85" i="3"/>
  <c r="D82" i="3"/>
  <c r="D70" i="3"/>
  <c r="D69" i="3"/>
  <c r="D68" i="3"/>
  <c r="D67" i="3"/>
  <c r="D8" i="3"/>
</calcChain>
</file>

<file path=xl/sharedStrings.xml><?xml version="1.0" encoding="utf-8"?>
<sst xmlns="http://schemas.openxmlformats.org/spreadsheetml/2006/main" count="16825" uniqueCount="2356">
  <si>
    <t>Project Proponent Account Registration</t>
  </si>
  <si>
    <t>Description</t>
  </si>
  <si>
    <t/>
  </si>
  <si>
    <t>Schema Type</t>
  </si>
  <si>
    <t>Verifiable Credentials</t>
  </si>
  <si>
    <t>Required Field</t>
  </si>
  <si>
    <t>Field Type</t>
  </si>
  <si>
    <t>Parameter</t>
  </si>
  <si>
    <t>Visibility</t>
  </si>
  <si>
    <t>Question</t>
  </si>
  <si>
    <t>Allow Multiple Answers</t>
  </si>
  <si>
    <t>Answer</t>
  </si>
  <si>
    <t>Default</t>
  </si>
  <si>
    <t>Suggest</t>
  </si>
  <si>
    <t>Key</t>
  </si>
  <si>
    <t>No</t>
  </si>
  <si>
    <t>String</t>
  </si>
  <si>
    <t>Hidden</t>
  </si>
  <si>
    <t>Account Type</t>
  </si>
  <si>
    <t>example</t>
  </si>
  <si>
    <t>G5</t>
  </si>
  <si>
    <t>Yes</t>
  </si>
  <si>
    <t>Enum</t>
  </si>
  <si>
    <t>Does your organization qualify as an Offset Project Operator per California regulations?</t>
  </si>
  <si>
    <t>G6</t>
  </si>
  <si>
    <t>Help Text</t>
  </si>
  <si>
    <t>Organization Information</t>
  </si>
  <si>
    <t>G7</t>
  </si>
  <si>
    <t>Organization Name</t>
  </si>
  <si>
    <t>G8</t>
  </si>
  <si>
    <t>Organization Address1</t>
  </si>
  <si>
    <t>G9</t>
  </si>
  <si>
    <t>Organization Address2</t>
  </si>
  <si>
    <t>G10</t>
  </si>
  <si>
    <t>Organization Country/Area</t>
  </si>
  <si>
    <t>G11</t>
  </si>
  <si>
    <t>Organization State/Province</t>
  </si>
  <si>
    <t>G12</t>
  </si>
  <si>
    <t>Organization Zip/Postal</t>
  </si>
  <si>
    <t>G13</t>
  </si>
  <si>
    <t>Organization Telephone</t>
  </si>
  <si>
    <t>G14</t>
  </si>
  <si>
    <t>Organization Fax</t>
  </si>
  <si>
    <t>G15</t>
  </si>
  <si>
    <t>Email</t>
  </si>
  <si>
    <t>Organization Email</t>
  </si>
  <si>
    <t>example@email.com</t>
  </si>
  <si>
    <t>G16</t>
  </si>
  <si>
    <t>URL</t>
  </si>
  <si>
    <t>Organization Website</t>
  </si>
  <si>
    <t>https://example.com</t>
  </si>
  <si>
    <t>G17</t>
  </si>
  <si>
    <t>Account Manager Information</t>
  </si>
  <si>
    <t>G18</t>
  </si>
  <si>
    <t>Account Manager Job Title</t>
  </si>
  <si>
    <t>G19</t>
  </si>
  <si>
    <t>Name</t>
  </si>
  <si>
    <t>G20</t>
  </si>
  <si>
    <t>Contact Address1</t>
  </si>
  <si>
    <t>G21</t>
  </si>
  <si>
    <t>Contact Address2</t>
  </si>
  <si>
    <t>G22</t>
  </si>
  <si>
    <t>Contact City</t>
  </si>
  <si>
    <t>G23</t>
  </si>
  <si>
    <t>Contact Country/Area</t>
  </si>
  <si>
    <t>G24</t>
  </si>
  <si>
    <t>Contact State/Province</t>
  </si>
  <si>
    <t>G25</t>
  </si>
  <si>
    <t>Contact Zip/Postal</t>
  </si>
  <si>
    <t>G26</t>
  </si>
  <si>
    <t>Contact Telephone</t>
  </si>
  <si>
    <t>G27</t>
  </si>
  <si>
    <t>Contact Email</t>
  </si>
  <si>
    <t>G28</t>
  </si>
  <si>
    <t>VVB Account Registration</t>
  </si>
  <si>
    <t>Standard Selection</t>
  </si>
  <si>
    <t>Verified Carbon Standard</t>
  </si>
  <si>
    <t>Monitoring Report</t>
  </si>
  <si>
    <t>Project Title</t>
  </si>
  <si>
    <t>projectTitle</t>
  </si>
  <si>
    <t>Project Hub Account ID</t>
  </si>
  <si>
    <t>accountId</t>
  </si>
  <si>
    <t>Project Certification Type</t>
  </si>
  <si>
    <t>VCS v4.4</t>
  </si>
  <si>
    <t>cert_type</t>
  </si>
  <si>
    <t>VCS Monitoring Report</t>
  </si>
  <si>
    <t>vcs_monitoring_report</t>
  </si>
  <si>
    <t>Monitoring Report Name</t>
  </si>
  <si>
    <t>monitoringReportName</t>
  </si>
  <si>
    <t>Project ID</t>
  </si>
  <si>
    <t>projectId</t>
  </si>
  <si>
    <t>Project website</t>
  </si>
  <si>
    <t>http://projectwebsite.com</t>
  </si>
  <si>
    <t>projectWebsite</t>
  </si>
  <si>
    <t>Monitoring period</t>
  </si>
  <si>
    <t>monitoringPeriod</t>
  </si>
  <si>
    <t>Date</t>
  </si>
  <si>
    <t>Start Date</t>
  </si>
  <si>
    <t>2000-01-01</t>
  </si>
  <si>
    <t>startDate</t>
  </si>
  <si>
    <t>End Date</t>
  </si>
  <si>
    <t>endDate</t>
  </si>
  <si>
    <t>Original date of issue</t>
  </si>
  <si>
    <t>dateOfIssue</t>
  </si>
  <si>
    <t>Most recent date of issue</t>
  </si>
  <si>
    <t>recentDateOfIssue</t>
  </si>
  <si>
    <t>Version</t>
  </si>
  <si>
    <t>General++Version+++</t>
  </si>
  <si>
    <t>version</t>
  </si>
  <si>
    <t>VCS Standard version</t>
  </si>
  <si>
    <t>VCS Standard v4.7</t>
  </si>
  <si>
    <t>standardVersion</t>
  </si>
  <si>
    <t>Prepared by</t>
  </si>
  <si>
    <t>General++Prepared by+++</t>
  </si>
  <si>
    <t>documentPreparedBy</t>
  </si>
  <si>
    <t>1 Project Details</t>
  </si>
  <si>
    <t>projectDetails</t>
  </si>
  <si>
    <t>1.1 Summary Description of the Implementation Status of the Project</t>
  </si>
  <si>
    <t>Project Details+1.1+Summary Description of the Implementation Status of the Project+++</t>
  </si>
  <si>
    <t>summaryDescription</t>
  </si>
  <si>
    <t>1.2 Audit History (VCS, 4.1)</t>
  </si>
  <si>
    <t>auditHistory</t>
  </si>
  <si>
    <t>Audit type</t>
  </si>
  <si>
    <t>Verification</t>
  </si>
  <si>
    <t>auditType</t>
  </si>
  <si>
    <t>Period From</t>
  </si>
  <si>
    <t>periodFrom</t>
  </si>
  <si>
    <t>Period To</t>
  </si>
  <si>
    <t>periodTo</t>
  </si>
  <si>
    <t>Program</t>
  </si>
  <si>
    <t>VCS</t>
  </si>
  <si>
    <t>program</t>
  </si>
  <si>
    <t>Validation/Verification Body Name</t>
  </si>
  <si>
    <t>AENOR</t>
  </si>
  <si>
    <t>vvbName</t>
  </si>
  <si>
    <t>Validation/Verification Body ID</t>
  </si>
  <si>
    <t>74edaea7-4171-f316-b292-a982238f83d2</t>
  </si>
  <si>
    <t>vvbKey</t>
  </si>
  <si>
    <t>Number</t>
  </si>
  <si>
    <t>Number of Years</t>
  </si>
  <si>
    <t>numberYears</t>
  </si>
  <si>
    <t>1.3 Sectoral Scope and Project Type (VCS, 3.2)</t>
  </si>
  <si>
    <t>sectoralScopeprojectType</t>
  </si>
  <si>
    <t xml:space="preserve">Sectoral Scope </t>
  </si>
  <si>
    <t>3</t>
  </si>
  <si>
    <t>sectoralScope</t>
  </si>
  <si>
    <t>Project Activity Type</t>
  </si>
  <si>
    <t>1.3 table Project Activity Type input</t>
  </si>
  <si>
    <t>projectType</t>
  </si>
  <si>
    <t>Project proponent(s)</t>
  </si>
  <si>
    <t>9c4918f7-8c1c-67ef-30f9-fd03c8125cab</t>
  </si>
  <si>
    <t>projectProponentId</t>
  </si>
  <si>
    <t>1.4 Project Proponent (VCS, 3.7; CCB, G1.1)</t>
  </si>
  <si>
    <t>projectProponent</t>
  </si>
  <si>
    <t>Organization name</t>
  </si>
  <si>
    <t>2011 EcoSecurities International Limited</t>
  </si>
  <si>
    <t>organizationName</t>
  </si>
  <si>
    <t>Contact person</t>
  </si>
  <si>
    <t>Daina Stankevica</t>
  </si>
  <si>
    <t>contactPerson</t>
  </si>
  <si>
    <t>Title</t>
  </si>
  <si>
    <t>Portfolio Manager</t>
  </si>
  <si>
    <t>title</t>
  </si>
  <si>
    <t>Address</t>
  </si>
  <si>
    <t>Hamilton House,28</t>
  </si>
  <si>
    <t>address</t>
  </si>
  <si>
    <t>Telephone</t>
  </si>
  <si>
    <t>35317759578</t>
  </si>
  <si>
    <t>telephone</t>
  </si>
  <si>
    <t>emt-registry-test@apx.com</t>
  </si>
  <si>
    <t>email</t>
  </si>
  <si>
    <t>Boolean</t>
  </si>
  <si>
    <t>Is primary?</t>
  </si>
  <si>
    <t>primary</t>
  </si>
  <si>
    <t xml:space="preserve">The email address domain must match that of the organization. </t>
  </si>
  <si>
    <t>1.5 Other Entities Involved in the Project</t>
  </si>
  <si>
    <t>otherEntities</t>
  </si>
  <si>
    <t>Email@email.com</t>
  </si>
  <si>
    <t>Role in the project</t>
  </si>
  <si>
    <t>role</t>
  </si>
  <si>
    <t>1.6 Project Start Date (VCS, 3.8)</t>
  </si>
  <si>
    <t>projectstartDate</t>
  </si>
  <si>
    <t xml:space="preserve">Project Start Date </t>
  </si>
  <si>
    <t>Justification</t>
  </si>
  <si>
    <t>Project Details+1.6+Project Start Date+Justification++</t>
  </si>
  <si>
    <t>1.7 Project Crediting Period (VCS, 3.9)</t>
  </si>
  <si>
    <t>projectcreditingPeriod</t>
  </si>
  <si>
    <t>Crediting period</t>
  </si>
  <si>
    <t>others</t>
  </si>
  <si>
    <t>creditingPeriod</t>
  </si>
  <si>
    <t>Project Details+1.7+Project Crediting Period+Justify how this period conforms with the VCS program requirements++</t>
  </si>
  <si>
    <t>1.8 Project Location (VCS, 3.11)</t>
  </si>
  <si>
    <t>locations</t>
  </si>
  <si>
    <t>Project Instance</t>
  </si>
  <si>
    <t>projectInstance</t>
  </si>
  <si>
    <t>Project Site Country/Area</t>
  </si>
  <si>
    <t>Andorra</t>
  </si>
  <si>
    <t>country</t>
  </si>
  <si>
    <t>Continent</t>
  </si>
  <si>
    <t>Europe</t>
  </si>
  <si>
    <t>continent</t>
  </si>
  <si>
    <t>Project Site State/Province</t>
  </si>
  <si>
    <t>Canillo</t>
  </si>
  <si>
    <t>stateProvince</t>
  </si>
  <si>
    <t>Project Site City/Region</t>
  </si>
  <si>
    <t>city</t>
  </si>
  <si>
    <t>Project Location Format</t>
  </si>
  <si>
    <t>Geodetic Point (Decimal Degrees)</t>
  </si>
  <si>
    <t>format</t>
  </si>
  <si>
    <t>Latitude (Decimal Degrees)</t>
  </si>
  <si>
    <t>latitudeDD</t>
  </si>
  <si>
    <t>Longitude (Decimal Degrees)</t>
  </si>
  <si>
    <t>longitudeDD</t>
  </si>
  <si>
    <t>Latitude (DMS)</t>
  </si>
  <si>
    <t>11°0'0</t>
  </si>
  <si>
    <t>latitudeDMS</t>
  </si>
  <si>
    <t>Longitude (DMS)</t>
  </si>
  <si>
    <t>longitudeDMS</t>
  </si>
  <si>
    <t>Acres/Hectares</t>
  </si>
  <si>
    <t>acresHectares</t>
  </si>
  <si>
    <t>hectares</t>
  </si>
  <si>
    <t>areaUnit</t>
  </si>
  <si>
    <t>Image</t>
  </si>
  <si>
    <t>KML File</t>
  </si>
  <si>
    <t>ipfs://456c3edaeab163c2aacbf4dd7bd238b1</t>
  </si>
  <si>
    <t>kml</t>
  </si>
  <si>
    <t>1.9 Title and Reference of Methodology (VCS, 3.1)</t>
  </si>
  <si>
    <t>multipleMethodologyTitle</t>
  </si>
  <si>
    <t>Type (methodology, tool or module)</t>
  </si>
  <si>
    <t>Methodology</t>
  </si>
  <si>
    <t>Reference ID (if applicable)</t>
  </si>
  <si>
    <t>VM0033</t>
  </si>
  <si>
    <t>referenceCode</t>
  </si>
  <si>
    <t>Methodology For Tidal Wetland And Seagrass Restoration</t>
  </si>
  <si>
    <t>2.1</t>
  </si>
  <si>
    <t>1.10 Double Counting and Participation under Other GHG Programs (VCS, 3.23)</t>
  </si>
  <si>
    <t>G73</t>
  </si>
  <si>
    <t>1.10.1 No Double Issuance</t>
  </si>
  <si>
    <t>G74</t>
  </si>
  <si>
    <t>Is the project receiving or seeking credit for reductions and removals from a project activity under another GHG program?</t>
  </si>
  <si>
    <t>G75</t>
  </si>
  <si>
    <t>Provide required evidence of no double issuance as outlined by the VCS Standard.</t>
  </si>
  <si>
    <t>Project Details+1.10.1+No Double Issuance+Is the project receiving or seeking credit for reductions and removals from a project activity under another GHG program?+is yes+</t>
  </si>
  <si>
    <t>doubleIssuancetextareaInputValue</t>
  </si>
  <si>
    <t>1.10.2 Registration in Other GHG Programs</t>
  </si>
  <si>
    <t>G77</t>
  </si>
  <si>
    <t>Is the project registered or seeking registration under any other GHG programs?</t>
  </si>
  <si>
    <t>G78</t>
  </si>
  <si>
    <t>If yes, provide the registration number and all relevant details, including the date of project inactivity in the other GHG program. Specify how double counting is avoided.</t>
  </si>
  <si>
    <t>Project Details+1.10.2+Registration in Other GHG Programs+Was the project registered or seeking registration under any other GHG programs?+is yes+</t>
  </si>
  <si>
    <t>projectsRegisteredtextareaInputValue</t>
  </si>
  <si>
    <t>1.11 Double Claiming, Other Forms of Credit, and Scope 3 Emissions (VCS, 3.24)</t>
  </si>
  <si>
    <t>G80</t>
  </si>
  <si>
    <t>1.11.1 No Double Claiming with Emissions Trading Programs or Binding Emission Limits</t>
  </si>
  <si>
    <t>G81</t>
  </si>
  <si>
    <t>Are project reductions and removals or project activities also included in an emissions trading program or binding emission limit?</t>
  </si>
  <si>
    <t>G82</t>
  </si>
  <si>
    <t>Provide all required evidence of no double claiming as outlined by the VCS Standard.</t>
  </si>
  <si>
    <t>Project Details+1.11.1+No Double Claiming with Emissions Trading Programs or Binding Emission Limits+Are project reductions and removals or project activities also included in an emissions trading program or binding emission limit? See the VCS Program Definitions for definitions of emissions trading program and binding emission limit.+is yes+</t>
  </si>
  <si>
    <t>noDoubleClaimingtextareaInputValue</t>
  </si>
  <si>
    <t>1.11.2 No Double Claiming with Other Forms of Environmental Credit</t>
  </si>
  <si>
    <t>G84</t>
  </si>
  <si>
    <t xml:space="preserve">Has the project activity sought, received, or is planning to receive credit from another GHG-related environmental credit system? </t>
  </si>
  <si>
    <t>G85</t>
  </si>
  <si>
    <t>Project Details+1.11.2+No Double Claiming with Other Forms of Environmental Credit+Has the project activity sought, received, or is planning to receive credit from another GHG-related environmental credit system? See the VCS Program Definitions for definition of GHG-related environmental credit system.+is yes+</t>
  </si>
  <si>
    <t>environmentalCredittextareaInputValue</t>
  </si>
  <si>
    <t>1.11.3 Supply Chain (Scope 3) Emissions</t>
  </si>
  <si>
    <t>G87</t>
  </si>
  <si>
    <t>Do the project activities affect the emissions footprint of any product(s) (goods or services) that are part of a supply chain?</t>
  </si>
  <si>
    <t>G88</t>
  </si>
  <si>
    <t xml:space="preserve">Is the project proponent(s) or authorized representative a buyer or seller of the product(s) (goods or services) that are part of a supply chain? </t>
  </si>
  <si>
    <t>G90</t>
  </si>
  <si>
    <t>Has the project proponent(s) or authorized representative posted a public statement on their website saying, “Carbon credits may be issued through Verified Carbon Standard project [project ID] for the greenhouse gas emission reductions or removals associated with [project proponent or authorized representative organization name(s)] [name of product(s) whose emissions footprint is changed by the project activities].”?</t>
  </si>
  <si>
    <t>G92</t>
  </si>
  <si>
    <t>Provide evidence of the public statement.</t>
  </si>
  <si>
    <t>Project Details+1.11.3+Supply Chain (Scope 3) Emissions+Has the project proponent(s) or authorized representative posted a public statement on their website saying, “Carbon credits may be issued through Verified Carbon Standard project [project ID] for the greenhouse gas emission reductions or removals associated with [project proponent or authorized representative organization name(s)] [name of product(s) whose emissions footprint is changed by the project activities].”++</t>
  </si>
  <si>
    <t>emissionstextareaInputValue</t>
  </si>
  <si>
    <t>1.12 Sustainable Development Contributions (VCS, 3.17)</t>
  </si>
  <si>
    <t>Project Details+1.12+Sustainable Development Contributions+++</t>
  </si>
  <si>
    <t>sustainableDevelopment</t>
  </si>
  <si>
    <t>Table 1: Sustainable Development Contributions</t>
  </si>
  <si>
    <t>sustainableDevelopmentTable</t>
  </si>
  <si>
    <t>SDG target</t>
  </si>
  <si>
    <t>1.12 SDG target input</t>
  </si>
  <si>
    <t>sdgTarget</t>
  </si>
  <si>
    <t>SDG indicator</t>
  </si>
  <si>
    <t>1.12 SDG indicator input</t>
  </si>
  <si>
    <t>sdgIndicator</t>
  </si>
  <si>
    <t>Net impact on SDG indicator</t>
  </si>
  <si>
    <t>1.12 Net impact on SDG indicator input</t>
  </si>
  <si>
    <t>sdgImpact</t>
  </si>
  <si>
    <t>Current project contributions</t>
  </si>
  <si>
    <t>1.12 Current project contributions input</t>
  </si>
  <si>
    <t>projectContribution</t>
  </si>
  <si>
    <t>Contributions over project lifetime</t>
  </si>
  <si>
    <t>1.12 Contributions over project lifetime input</t>
  </si>
  <si>
    <t>lifetimeContribution</t>
  </si>
  <si>
    <t xml:space="preserve">1.13 Commercially Sensitive Information </t>
  </si>
  <si>
    <t>Project Details+1.13+Commercially Sensitive Information+++</t>
  </si>
  <si>
    <t>commerciallysensitive</t>
  </si>
  <si>
    <t>2 Safeguards and Stakeholder Engagement</t>
  </si>
  <si>
    <t>G102</t>
  </si>
  <si>
    <t>2.1.1 Stakeholder Identification</t>
  </si>
  <si>
    <t>G103</t>
  </si>
  <si>
    <t>Stakeholder Identification</t>
  </si>
  <si>
    <t>2.1.1 input for Stakeholder Identification</t>
  </si>
  <si>
    <t>Legal or customary tenure/access rights</t>
  </si>
  <si>
    <t>2.1.1 input for Legal or customary tenure/access rights</t>
  </si>
  <si>
    <t>Stakeholder diversity and changes over time</t>
  </si>
  <si>
    <t>2.1.1 input for stakeholder diversity and changes over time</t>
  </si>
  <si>
    <t>Expected changes in well-being</t>
  </si>
  <si>
    <t>2.1.1 input for expected changes in well-being</t>
  </si>
  <si>
    <t>Location of stakeholders</t>
  </si>
  <si>
    <t>2.1.1 input for location of stakeholder</t>
  </si>
  <si>
    <t>Location of resources</t>
  </si>
  <si>
    <t>2.1.1 input for location of resources</t>
  </si>
  <si>
    <t>2.1.2 Stakeholder Consultation and Ongoing Communication</t>
  </si>
  <si>
    <t>stakeholderConsultation</t>
  </si>
  <si>
    <t>Ongoing consultation</t>
  </si>
  <si>
    <t>2.1.2 Ongoing consultation input</t>
  </si>
  <si>
    <t>consultation</t>
  </si>
  <si>
    <t>Date(s) of stakeholder consultation</t>
  </si>
  <si>
    <t>date</t>
  </si>
  <si>
    <t>Communication of monitored results</t>
  </si>
  <si>
    <t>2.1.2 Communication of monitored results input</t>
  </si>
  <si>
    <t>results</t>
  </si>
  <si>
    <t>Consultation records</t>
  </si>
  <si>
    <t>2.1.2 Consultation records input</t>
  </si>
  <si>
    <t>records</t>
  </si>
  <si>
    <t>Stakeholder input</t>
  </si>
  <si>
    <t>2.1.2 Stakeholder input input</t>
  </si>
  <si>
    <t>input</t>
  </si>
  <si>
    <t>2.1.3 Free, Prior, and Informed Consent</t>
  </si>
  <si>
    <t>freePriorConsent</t>
  </si>
  <si>
    <t>Consent</t>
  </si>
  <si>
    <t>statusConcent</t>
  </si>
  <si>
    <t xml:space="preserve">Describe how consent was obtained from those concerned, including IPs, LCs, and customary rights holders, and a transparent agreement is reached. </t>
  </si>
  <si>
    <t>2.1.3 input for consent</t>
  </si>
  <si>
    <t>outcomeConcent</t>
  </si>
  <si>
    <t>Outcome of FPIC</t>
  </si>
  <si>
    <t>statusFPIC</t>
  </si>
  <si>
    <t>Describe the outcome of the FPIC process, the transparent agreement, and the information disclosed prior to establishing a transparent agreement with those concerned, IPs, LCs, and customary rights holders. Provide assurance that the project has not encroached on land, relocated people without consent, nor forced physical or economic displacement.</t>
  </si>
  <si>
    <t>2.1.3 input for outcome of FPIC</t>
  </si>
  <si>
    <t>outcomeFPIC</t>
  </si>
  <si>
    <t>2.1.4 Grievance Redress Procedure</t>
  </si>
  <si>
    <t>feedbackGrievanceRedress</t>
  </si>
  <si>
    <t xml:space="preserve">Grievances received </t>
  </si>
  <si>
    <t>2.1.4 Grievances received input</t>
  </si>
  <si>
    <t>grievance</t>
  </si>
  <si>
    <t>Resolution and outcome</t>
  </si>
  <si>
    <t>2.1.4 Resolution and outcome input</t>
  </si>
  <si>
    <t>resolution</t>
  </si>
  <si>
    <t>2.1.5 Public Comments</t>
  </si>
  <si>
    <t>G123</t>
  </si>
  <si>
    <t>Summary of comment received</t>
  </si>
  <si>
    <t>2.1.5 input for Comments received</t>
  </si>
  <si>
    <t>Actions taken</t>
  </si>
  <si>
    <t>2.1.5 input for Actions taken</t>
  </si>
  <si>
    <t>2.2 Risks to Stakeholders and the Environment</t>
  </si>
  <si>
    <t>G126</t>
  </si>
  <si>
    <t>2.2.1 Management Experience</t>
  </si>
  <si>
    <t>Safeguards and Stakeholder Engagement+2.2.1+Management Experience+++</t>
  </si>
  <si>
    <t>G127</t>
  </si>
  <si>
    <t>2.2.2 Risk Assessment</t>
  </si>
  <si>
    <t>G128</t>
  </si>
  <si>
    <t>{"color":"#000000","size":"18px"}</t>
  </si>
  <si>
    <t>Natural and human-induced risks to stakeholders’ wellbeing</t>
  </si>
  <si>
    <t>Risks identified</t>
  </si>
  <si>
    <t>Mitigation or preventative measure(s) taken</t>
  </si>
  <si>
    <t>Risks to stakeholder participation</t>
  </si>
  <si>
    <t>Working conditions</t>
  </si>
  <si>
    <t>Safety of women and girls</t>
  </si>
  <si>
    <t>Safety of minority and marginalized groups, including children</t>
  </si>
  <si>
    <t>Pollutants (air, noise, discharges to water, generation of waste, and release of hazardous materials and chemical pesticides and fertilizers)</t>
  </si>
  <si>
    <t xml:space="preserve">Additional Risk Assessment </t>
  </si>
  <si>
    <t>2.3 Respect for Human Rights and Equity</t>
  </si>
  <si>
    <t>G150</t>
  </si>
  <si>
    <t>2.3.1 Labor and Work</t>
  </si>
  <si>
    <t>G151</t>
  </si>
  <si>
    <t>Discrimination</t>
  </si>
  <si>
    <t>Sexual harassment</t>
  </si>
  <si>
    <t>Equal pay for equal work</t>
  </si>
  <si>
    <t>Gender equity in labor and work</t>
  </si>
  <si>
    <t>Forced labor</t>
  </si>
  <si>
    <t>Child labor</t>
  </si>
  <si>
    <t>Human trafficking</t>
  </si>
  <si>
    <t>Additional Labor and Work</t>
  </si>
  <si>
    <t>2.3.2 Human Rights (VCS, 3.19)</t>
  </si>
  <si>
    <t>G176</t>
  </si>
  <si>
    <t>Risk Identified</t>
  </si>
  <si>
    <t>2.3.2 Risk Identified</t>
  </si>
  <si>
    <t>Evidence gathering activities, evidence checked, and assessment conclusion</t>
  </si>
  <si>
    <t>2.3.2 Evidence gathering activities, evidence checked, and assessment conclusion</t>
  </si>
  <si>
    <t>2.3.3 Indigenous Peoples and Cultural Heritage (VCS, 3.18, 3.19)</t>
  </si>
  <si>
    <t>G179</t>
  </si>
  <si>
    <t>2.3.3 input for Risk Identified</t>
  </si>
  <si>
    <t>2.3.3 input for mitigation(s) or preventative measure taken</t>
  </si>
  <si>
    <t>2.3.4 Property Rights</t>
  </si>
  <si>
    <t>G182</t>
  </si>
  <si>
    <t>2.3.4 input for Risks Identified</t>
  </si>
  <si>
    <t>Evidence gathering activities, evidence checked, and assessment conclusion for the risk identified.</t>
  </si>
  <si>
    <t>2.3.4 input for mitigation or preventative measure(s) taken</t>
  </si>
  <si>
    <t>2.3.5 Benefit Sharing</t>
  </si>
  <si>
    <t>G185</t>
  </si>
  <si>
    <t>Summary of the benefit sharing plan</t>
  </si>
  <si>
    <t>Safeguards and Stakeholder Engagement+2.3.5+Benefit Sharing+Summary of the benefit sharing plan++</t>
  </si>
  <si>
    <t>Benefit sharing during the monitoring period</t>
  </si>
  <si>
    <t>Safeguards and Stakeholder Engagement+2.3.5+Benefit Sharing+Benefit sharing during the monitoring period++</t>
  </si>
  <si>
    <t>2.4 Ecosystem Health</t>
  </si>
  <si>
    <t>G188</t>
  </si>
  <si>
    <t>Impacts on biodiversity and ecosystems</t>
  </si>
  <si>
    <t xml:space="preserve">	
Risks identified</t>
  </si>
  <si>
    <t>Mitigation or preventative measure(s) taken during the monitoring period</t>
  </si>
  <si>
    <t>Soil degradation and soil erosion</t>
  </si>
  <si>
    <t>Water consumption and stress</t>
  </si>
  <si>
    <t>Ecosystem Health</t>
  </si>
  <si>
    <t>Item</t>
  </si>
  <si>
    <t xml:space="preserve">
Mitigation or preventative measure(s) taken during the monitoring period</t>
  </si>
  <si>
    <t>2.4.1 Rare, Threatened, and Endangered species</t>
  </si>
  <si>
    <t>G202</t>
  </si>
  <si>
    <t>Species and Habitat</t>
  </si>
  <si>
    <t>G203</t>
  </si>
  <si>
    <t>Species and habitat</t>
  </si>
  <si>
    <t>Safeguards and Stakeholder Engagement+2.4.1+Rare, Threatened, and Endangered species+Species or habitat++</t>
  </si>
  <si>
    <t>Areas needed for habitat connectivity</t>
  </si>
  <si>
    <t>Safeguards and Stakeholder Engagement+2.4.1+Rare, Threatened, and Endangered species+Areas needed for habitat connectivity++</t>
  </si>
  <si>
    <t>Habitats and Connectivity</t>
  </si>
  <si>
    <t>G209</t>
  </si>
  <si>
    <t>Habitats for rare, threatened, and endangered species</t>
  </si>
  <si>
    <t>Areas for habitat connectivity</t>
  </si>
  <si>
    <t>Additional Habitats and Connectivity</t>
  </si>
  <si>
    <t>2.4.2 Introduction of Species</t>
  </si>
  <si>
    <t>G220</t>
  </si>
  <si>
    <t>Species introduced</t>
  </si>
  <si>
    <t>G221</t>
  </si>
  <si>
    <t>2.4.2 Species introduced input</t>
  </si>
  <si>
    <t>Classification</t>
  </si>
  <si>
    <t>2.4.2 Classification input</t>
  </si>
  <si>
    <t>Justification for use</t>
  </si>
  <si>
    <t>2.4.2 Justification for use input</t>
  </si>
  <si>
    <t>Adverse effects and mitigation</t>
  </si>
  <si>
    <t>2.4.2 Adverse effects and mitigation input</t>
  </si>
  <si>
    <t>Existing invasive species</t>
  </si>
  <si>
    <t>G226</t>
  </si>
  <si>
    <t>2.4.2 Existing invasive species input</t>
  </si>
  <si>
    <t>Mitigation measures to prevent the spread or continued existence of invasive species</t>
  </si>
  <si>
    <t>2.4.2 Mitigation measures to prevent the spread or continued existence of invasive species</t>
  </si>
  <si>
    <t>Invasive species</t>
  </si>
  <si>
    <t>G229</t>
  </si>
  <si>
    <t>2.4.3 Ecosystem conversion</t>
  </si>
  <si>
    <t>G233</t>
  </si>
  <si>
    <t>Ecosystem conversion</t>
  </si>
  <si>
    <t>3 Implementation Status</t>
  </si>
  <si>
    <t>G237</t>
  </si>
  <si>
    <t>3.1 Implementation Status of the Project Activity</t>
  </si>
  <si>
    <t>Implementation Status+3.1+Implementation Status of the Project Activity+++</t>
  </si>
  <si>
    <t>G238</t>
  </si>
  <si>
    <t>3.2 Deviations</t>
  </si>
  <si>
    <t>G239</t>
  </si>
  <si>
    <t>3.2.1 Methodology Deviations</t>
  </si>
  <si>
    <t>Implementation Status+3.2.1+Methodology Deviations+++</t>
  </si>
  <si>
    <t>G240</t>
  </si>
  <si>
    <t>3.2.2 Project Description Deviations</t>
  </si>
  <si>
    <t>Implementation Status+3.2.2+Project Description Deviations+++</t>
  </si>
  <si>
    <t>G241</t>
  </si>
  <si>
    <t>3.3 Grouped Projects</t>
  </si>
  <si>
    <t>Implementation Status+3.3+Grouped Projects+++</t>
  </si>
  <si>
    <t>G242</t>
  </si>
  <si>
    <t xml:space="preserve">3.4 Baseline Reassessment </t>
  </si>
  <si>
    <t>G243</t>
  </si>
  <si>
    <t>Did the project undergo baseline reassessment during the monitoring period?</t>
  </si>
  <si>
    <t>G244</t>
  </si>
  <si>
    <t xml:space="preserve">If yes, provide a summary of the baseline reassessment applied during the monitoring period. Include a summary on the following: 
•	Details of the use and applicability of the latest approved version of the methodology or its replacement, where relevant. 
•	Sections in the project description that have been updated to reflect changes in the new baseline. 
• Indicate whether the baseline scenario is still valid. If the previous baseline scenario is no longer valid, summarize the new baseline scenario as described in the updated project description.  
• Describe the impact of new relevant national and/or sectoral policies and circumstances on the validity of the baseline scenario, where relevant.  
• Include the percentage change between the revised baseline emissions provided in the updated project description and the previous baseline emissions. </t>
  </si>
  <si>
    <t>Implementation Status+3.4+Baseline Reassessment+If yes, provide a summary of the baseline reassessment applied during the monitoring period. Include a summary on the following:++</t>
  </si>
  <si>
    <t>G245</t>
  </si>
  <si>
    <t>4 Data and Parameters</t>
  </si>
  <si>
    <t>G574</t>
  </si>
  <si>
    <t>4.1 Data and Parameters Available at Validation</t>
  </si>
  <si>
    <t>Project location</t>
  </si>
  <si>
    <t>location</t>
  </si>
  <si>
    <t>Project instance</t>
  </si>
  <si>
    <t>instance</t>
  </si>
  <si>
    <t>Equation</t>
  </si>
  <si>
    <t>Source of data</t>
  </si>
  <si>
    <t>1</t>
  </si>
  <si>
    <t>Justification of choice of data or description of measurement methods and procedures applied</t>
  </si>
  <si>
    <t>Purpose of Data</t>
  </si>
  <si>
    <t>Comments</t>
  </si>
  <si>
    <t>G34</t>
  </si>
  <si>
    <t>G52</t>
  </si>
  <si>
    <t>G61</t>
  </si>
  <si>
    <t>G83</t>
  </si>
  <si>
    <t>G101</t>
  </si>
  <si>
    <t>G111</t>
  </si>
  <si>
    <t>G121</t>
  </si>
  <si>
    <t>4.2 Data and Parameters Monitored</t>
  </si>
  <si>
    <t>G132</t>
  </si>
  <si>
    <t>Description of measurement methods and procedures to be applied</t>
  </si>
  <si>
    <t>Frequency of monitoring/recording</t>
  </si>
  <si>
    <t>Monitoring equipment</t>
  </si>
  <si>
    <t>QA/QC procedures to be applied</t>
  </si>
  <si>
    <t>Calculation Method</t>
  </si>
  <si>
    <t>Unit: Fraction</t>
  </si>
  <si>
    <t>G37</t>
  </si>
  <si>
    <t>Unit:</t>
  </si>
  <si>
    <t>G54</t>
  </si>
  <si>
    <t>G71</t>
  </si>
  <si>
    <t>G86</t>
  </si>
  <si>
    <t>Value applied for proration</t>
  </si>
  <si>
    <t>G117</t>
  </si>
  <si>
    <t>G147</t>
  </si>
  <si>
    <t>G163</t>
  </si>
  <si>
    <t>G124</t>
  </si>
  <si>
    <t>4.3 Monitoring Plan</t>
  </si>
  <si>
    <t>G379</t>
  </si>
  <si>
    <t>baselineEmission</t>
  </si>
  <si>
    <t>Describe the procedure for quantification of baseline emissions and/or removals in accordance with the applied methodology. Include all relevant equations, and explain and justify all relevant methodological choices (e.g., with respect to selection of emission factors and default values).</t>
  </si>
  <si>
    <t>Where charcoal is used as the fuel by baseline and/or project devices, the average energy consumption (derived from the average quantity of charcoal fuel used) in the baseline and/or project scenario may be determined by using a wood to charcoal conversion factor (CF) instead of the fuel emission factor. Further information is provided in the parameter table for CF in VM0050.</t>
  </si>
  <si>
    <t>Option 1: Measurement campaign</t>
  </si>
  <si>
    <t>File Name</t>
  </si>
  <si>
    <t>File</t>
  </si>
  <si>
    <t>Upload File</t>
  </si>
  <si>
    <t>G29</t>
  </si>
  <si>
    <t>Submit all the calculation spreadsheets and supporting documentations:</t>
  </si>
  <si>
    <t>ipfs://f19f346bb8e68634c3b14e6cea5afdf2</t>
  </si>
  <si>
    <t>6 Appendix</t>
  </si>
  <si>
    <t>G806</t>
  </si>
  <si>
    <t>COMMERCIALLY SENSITIVE INFORMATION</t>
  </si>
  <si>
    <t>Section</t>
  </si>
  <si>
    <t>Information</t>
  </si>
  <si>
    <t>Other</t>
  </si>
  <si>
    <t>G31</t>
  </si>
  <si>
    <t>G32</t>
  </si>
  <si>
    <t>G33</t>
  </si>
  <si>
    <t>G38</t>
  </si>
  <si>
    <t>G41</t>
  </si>
  <si>
    <t>G50</t>
  </si>
  <si>
    <t>G60</t>
  </si>
  <si>
    <t>G76</t>
  </si>
  <si>
    <t>G79</t>
  </si>
  <si>
    <t>Additional Appendix</t>
  </si>
  <si>
    <t>REGISTRY</t>
  </si>
  <si>
    <t>G891</t>
  </si>
  <si>
    <t>Document Issue Date:</t>
  </si>
  <si>
    <t> </t>
  </si>
  <si>
    <t>issueDate</t>
  </si>
  <si>
    <t>Document Start Date:</t>
  </si>
  <si>
    <t>Document End Date:</t>
  </si>
  <si>
    <t>Document Date Of Final Issue:</t>
  </si>
  <si>
    <t>finalIssueDate</t>
  </si>
  <si>
    <t>Document Issuance Number</t>
  </si>
  <si>
    <t>issuanceNumber</t>
  </si>
  <si>
    <t>Document Language</t>
  </si>
  <si>
    <t>language</t>
  </si>
  <si>
    <t>Document Project List</t>
  </si>
  <si>
    <t>projectList</t>
  </si>
  <si>
    <t>Validation/Verification Body:</t>
  </si>
  <si>
    <t>validatorId</t>
  </si>
  <si>
    <t>Validation Reports</t>
  </si>
  <si>
    <t>Choose project certification type</t>
  </si>
  <si>
    <t>VCS Validation Report</t>
  </si>
  <si>
    <t>4233</t>
  </si>
  <si>
    <t>Report Name</t>
  </si>
  <si>
    <t>reportName</t>
  </si>
  <si>
    <t>Report ID</t>
  </si>
  <si>
    <t>reportId</t>
  </si>
  <si>
    <t>Crediting Period</t>
  </si>
  <si>
    <t>VCS Standard Version</t>
  </si>
  <si>
    <t>VCS Standard v4.0</t>
  </si>
  <si>
    <t>Client</t>
  </si>
  <si>
    <t>client</t>
  </si>
  <si>
    <t>Approved by</t>
  </si>
  <si>
    <t>approvedBy</t>
  </si>
  <si>
    <t xml:space="preserve">Work carried out by </t>
  </si>
  <si>
    <t>workCarriedOutBy</t>
  </si>
  <si>
    <t>Summary</t>
  </si>
  <si>
    <t>1 Introduction</t>
  </si>
  <si>
    <t>1.1 Objective</t>
  </si>
  <si>
    <t>objective</t>
  </si>
  <si>
    <t>1.2 Scope and Criteria</t>
  </si>
  <si>
    <t>scopeAndCriteria</t>
  </si>
  <si>
    <t>1.3 Reasonableness of Assumptions</t>
  </si>
  <si>
    <t>reasonablenessOfAssumptions</t>
  </si>
  <si>
    <t>1.4 Summary Description of the Project</t>
  </si>
  <si>
    <t>2 Validation Process</t>
  </si>
  <si>
    <t>2.1 Method and Criteria</t>
  </si>
  <si>
    <t>methodAndCriteria</t>
  </si>
  <si>
    <t>2.2 Document Review</t>
  </si>
  <si>
    <t>documentReview</t>
  </si>
  <si>
    <t>2.3 Interviews</t>
  </si>
  <si>
    <t>interviews</t>
  </si>
  <si>
    <t>2.4 Site Visits</t>
  </si>
  <si>
    <t>siteVisits</t>
  </si>
  <si>
    <t>2.5 Resolution of Findings</t>
  </si>
  <si>
    <t>resolutionOfFindings</t>
  </si>
  <si>
    <t>2.5.1 Forward Action Requests</t>
  </si>
  <si>
    <t>fowardActionRequests</t>
  </si>
  <si>
    <t>3 Validation Findings</t>
  </si>
  <si>
    <t>3.1 Project Details</t>
  </si>
  <si>
    <t>Audit history</t>
  </si>
  <si>
    <t>Sectoral scope</t>
  </si>
  <si>
    <t>AFOLU project category, if applicable</t>
  </si>
  <si>
    <t>projectCategory</t>
  </si>
  <si>
    <t>Project activity type</t>
  </si>
  <si>
    <t>activityType</t>
  </si>
  <si>
    <t xml:space="preserve">General eligibility of the project to participate in the VCS Program </t>
  </si>
  <si>
    <t>generalEligibility</t>
  </si>
  <si>
    <t xml:space="preserve">AFOLU project eligibility, if applicable </t>
  </si>
  <si>
    <t>afoluEligibility</t>
  </si>
  <si>
    <t>Transfer project eligibility, if applicable</t>
  </si>
  <si>
    <t>transferProject</t>
  </si>
  <si>
    <t>Project design</t>
  </si>
  <si>
    <t>projectDesign</t>
  </si>
  <si>
    <t xml:space="preserve">Project ownership </t>
  </si>
  <si>
    <t>projectOwnership</t>
  </si>
  <si>
    <t xml:space="preserve">Project start date  </t>
  </si>
  <si>
    <t>projectStartDate</t>
  </si>
  <si>
    <t xml:space="preserve">Project crediting period  </t>
  </si>
  <si>
    <t>projectCreditingPeriod</t>
  </si>
  <si>
    <t>Project scale</t>
  </si>
  <si>
    <t>projectScale</t>
  </si>
  <si>
    <t>Likelihood of achieving estimated GHG emission reduction or removals</t>
  </si>
  <si>
    <t>likelihood</t>
  </si>
  <si>
    <t xml:space="preserve">Technologies and measures implemented by the project activity or activities </t>
  </si>
  <si>
    <t>technologiesMeasures</t>
  </si>
  <si>
    <t>Implementation schedule of the project activity or activities</t>
  </si>
  <si>
    <t>implementationSchedule</t>
  </si>
  <si>
    <t xml:space="preserve">Project location </t>
  </si>
  <si>
    <t>projectLocation</t>
  </si>
  <si>
    <t xml:space="preserve">Conditions prior to project initiation </t>
  </si>
  <si>
    <t>conditions</t>
  </si>
  <si>
    <t>Project compliance with applicable laws, statutes and other regulatory frameworks</t>
  </si>
  <si>
    <t>compliance</t>
  </si>
  <si>
    <t>Double counting and participation under other GHG programs</t>
  </si>
  <si>
    <t>doubleCounting</t>
  </si>
  <si>
    <t xml:space="preserve">No double claiming with emissions trading programs or binding emission limits </t>
  </si>
  <si>
    <t>noDoubleCounting</t>
  </si>
  <si>
    <t>No double claiming with other forms of environmental credit</t>
  </si>
  <si>
    <t>environmentalCredits</t>
  </si>
  <si>
    <t>Supply chain (Scope 3) emissions double claiming</t>
  </si>
  <si>
    <t>supplyChain</t>
  </si>
  <si>
    <t>Sustainable development contributions</t>
  </si>
  <si>
    <t>Additional information relevant to the project</t>
  </si>
  <si>
    <t>additonalInformation</t>
  </si>
  <si>
    <t>3.2 Safeguards and Stakeholder Engagement</t>
  </si>
  <si>
    <t>3.2.1 Stakeholder Engagement and Consultation</t>
  </si>
  <si>
    <t>3.2.1.1 Stakeholder Identification</t>
  </si>
  <si>
    <t>stakeholderIdentification</t>
  </si>
  <si>
    <t>legal</t>
  </si>
  <si>
    <t>diversity</t>
  </si>
  <si>
    <t>expectedChanges</t>
  </si>
  <si>
    <t>locationStakeholders</t>
  </si>
  <si>
    <t>locationResources</t>
  </si>
  <si>
    <t>3.2.1.2 Stakeholder Consultation and Ongoing Communication</t>
  </si>
  <si>
    <t>G67</t>
  </si>
  <si>
    <t>Stakeholder engagement process</t>
  </si>
  <si>
    <t>stakeholderEngagementProcess</t>
  </si>
  <si>
    <t>Consultation outcome</t>
  </si>
  <si>
    <t>consultationOutcome</t>
  </si>
  <si>
    <t>Ongoing communication</t>
  </si>
  <si>
    <t>ongoingCommunication</t>
  </si>
  <si>
    <t>stakeholderInput</t>
  </si>
  <si>
    <t>3.2.1.3 Free, Prior, and Informed Consent</t>
  </si>
  <si>
    <t xml:space="preserve">Obtaining consent </t>
  </si>
  <si>
    <t>consent</t>
  </si>
  <si>
    <t>Outcome of FPIC discussion</t>
  </si>
  <si>
    <t>outcome</t>
  </si>
  <si>
    <t>3.2.1.4 Grievance Redress Procedure</t>
  </si>
  <si>
    <t xml:space="preserve">Development process </t>
  </si>
  <si>
    <t>developmentProcess</t>
  </si>
  <si>
    <t>Grievance redress procedure</t>
  </si>
  <si>
    <t>grievanceProcedure</t>
  </si>
  <si>
    <t xml:space="preserve">3.2.1.5 Public Comments </t>
  </si>
  <si>
    <t>Public Comments</t>
  </si>
  <si>
    <t xml:space="preserve">Public Comments </t>
  </si>
  <si>
    <t>publicComments</t>
  </si>
  <si>
    <t>Comments received</t>
  </si>
  <si>
    <t>Public Comments  Comments received</t>
  </si>
  <si>
    <t>commentsRecieved</t>
  </si>
  <si>
    <t>Actions taken by the project proponent</t>
  </si>
  <si>
    <t>Public Comments  Actions taken by the project proponent</t>
  </si>
  <si>
    <t>actions</t>
  </si>
  <si>
    <t xml:space="preserve">Evidence gathering activities, evidence checked, and assessment conclusion </t>
  </si>
  <si>
    <t xml:space="preserve">Public Comments  Evidence gathering activities, evidence checked, and assessment conclusion </t>
  </si>
  <si>
    <t>evidence</t>
  </si>
  <si>
    <t xml:space="preserve">3.2.2 Risks to Local Stakeholders and the Environment </t>
  </si>
  <si>
    <t>3.2.2.1 Management Experience</t>
  </si>
  <si>
    <t>managementExperience</t>
  </si>
  <si>
    <t>3.2.2.2 Risk Assessment</t>
  </si>
  <si>
    <t>riskAssessment</t>
  </si>
  <si>
    <t>Natural and human-induced risks to stakeholders’ wellbeing Evidence gathering activities, evidence checked, and assessment conclusion</t>
  </si>
  <si>
    <t>Risks to stakeholder participation Evidence gathering activities, evidence checked, and assessment conclusion</t>
  </si>
  <si>
    <t>Working conditions Evidence gathering activities, evidence checked, and assessment conclusion</t>
  </si>
  <si>
    <t>Safety of women and girls Evidence gathering activities, evidence checked, and assessment conclusion</t>
  </si>
  <si>
    <t>Safety of minority and marginalized groups, including children Evidence gathering activities, evidence checked, and assessment conclusion</t>
  </si>
  <si>
    <t>Pollutants (air, noise, discharges to water, generation of waste, release of hazardous materials, and chemical pesticides and fertilizers)</t>
  </si>
  <si>
    <t>Pollutants (air, noise, discharges to water, generation of waste, release of hazardous materials, and chemical pesticides and fertilizers) Evidence gathering activities, evidence checked, and assessment conclusion</t>
  </si>
  <si>
    <t>Risk Assessment</t>
  </si>
  <si>
    <t>3.2.3 Respect for Human Rights and Equity</t>
  </si>
  <si>
    <t>3.2.3.1 Labor and Work</t>
  </si>
  <si>
    <t>discrimination</t>
  </si>
  <si>
    <t>harassment</t>
  </si>
  <si>
    <t>equalPay</t>
  </si>
  <si>
    <t>genderEquity</t>
  </si>
  <si>
    <t>forcedLabor</t>
  </si>
  <si>
    <t>childLabor</t>
  </si>
  <si>
    <t>humanTrafficking</t>
  </si>
  <si>
    <t>3.2.3.2 Human Rights</t>
  </si>
  <si>
    <t>humanRights</t>
  </si>
  <si>
    <t xml:space="preserve"> Human Rights Risks identified</t>
  </si>
  <si>
    <t xml:space="preserve"> Human Rights Evidence gathering activities, evidence checked, and assessment conclusion for the risk identified.</t>
  </si>
  <si>
    <t>3.2.3.3 Indigenous Peoples and Cultural Heritage</t>
  </si>
  <si>
    <t>indigenous</t>
  </si>
  <si>
    <t>Indigenous Peoples and Cultural Heritage Risks identified</t>
  </si>
  <si>
    <t>Indigenous Peoples and Cultural Heritage Evidence gathering activities, evidence checked, and assessment conclusion for the risk identified.</t>
  </si>
  <si>
    <t>3.2.3.4 Property Rights</t>
  </si>
  <si>
    <t>propertyRights</t>
  </si>
  <si>
    <t>Property Rights Risks identified</t>
  </si>
  <si>
    <t>Property Rights Evidence gathering activities, evidence checked, and assessment conclusion for the risk identified.</t>
  </si>
  <si>
    <t>3.2.3.5 Benefit Sharing</t>
  </si>
  <si>
    <t xml:space="preserve">Process used to design the benefit sharing plan </t>
  </si>
  <si>
    <t>processBenefitSharing</t>
  </si>
  <si>
    <t>summaryBenefitSharing</t>
  </si>
  <si>
    <t>Approval and dissemination of benefit sharing plan</t>
  </si>
  <si>
    <t>dissemination</t>
  </si>
  <si>
    <t>3.2.4 Ecosystem Health</t>
  </si>
  <si>
    <t>G145</t>
  </si>
  <si>
    <t>G146</t>
  </si>
  <si>
    <t>Ecosystem Health Risks identified</t>
  </si>
  <si>
    <t>Ecosystem Health Evidence gathering activities, evidence checked, and assessment conclusion for the risk identified.</t>
  </si>
  <si>
    <t>3.2.4.1 Rare, Threatened, and Endangered species</t>
  </si>
  <si>
    <t>rareThreatened</t>
  </si>
  <si>
    <t>G152</t>
  </si>
  <si>
    <t>Rare, Threatened, and Endangered species</t>
  </si>
  <si>
    <t>Rare, Threatened, and Endangered species Risks identified</t>
  </si>
  <si>
    <t>Rare, Threatened, and Endangered species Evidence gathering activities, evidence checked, and assessment conclusion for the risk identified.</t>
  </si>
  <si>
    <t>3.2.4.2 Introduction of Species</t>
  </si>
  <si>
    <t>speciesIntroduced</t>
  </si>
  <si>
    <t>existingInvasiveSpecies</t>
  </si>
  <si>
    <t>invasiveSpecies</t>
  </si>
  <si>
    <t>3.2.4.3 Ecosystem conversion</t>
  </si>
  <si>
    <t>ecosystemConversion</t>
  </si>
  <si>
    <t>Evidence gathering activities and evidence checked</t>
  </si>
  <si>
    <t>3.3 Application of Methodology</t>
  </si>
  <si>
    <t>G149</t>
  </si>
  <si>
    <t>3.3.1 Title and Reference</t>
  </si>
  <si>
    <t>3.3.2 Applicability</t>
  </si>
  <si>
    <t>Applicability</t>
  </si>
  <si>
    <t>Methodology ID</t>
  </si>
  <si>
    <t>Applicability condition</t>
  </si>
  <si>
    <t xml:space="preserve">Assessment and conclusion </t>
  </si>
  <si>
    <t>3.3.3 Project Boundary</t>
  </si>
  <si>
    <t>G156</t>
  </si>
  <si>
    <t>Baseline</t>
  </si>
  <si>
    <t>G162</t>
  </si>
  <si>
    <t>G166</t>
  </si>
  <si>
    <t>G167</t>
  </si>
  <si>
    <t>Project</t>
  </si>
  <si>
    <t>G171</t>
  </si>
  <si>
    <t>G172</t>
  </si>
  <si>
    <t>G173</t>
  </si>
  <si>
    <t>G174</t>
  </si>
  <si>
    <t>Identify and justify the baseline scenario, in accordance with the procedure set out in the applied methodology and any relevant tools. Where the procedure in the applied methodology involves several steps, describe how each step is applied and clearly document the outcome of each step.
Explain and justify key assumptions, rationale and methodological choices. Provide all relevant references.</t>
  </si>
  <si>
    <t>3.3.5 Additionality</t>
  </si>
  <si>
    <t xml:space="preserve">Project proponents must demonstrate additionality through demonstration of regulatory surplus and either confirming that the project activity is on the positive list (activity method) or conducting an investment analysis and common practice analysis (project method). </t>
  </si>
  <si>
    <t>G201</t>
  </si>
  <si>
    <t>3.3.6 Quantification of GHG Emission Reductions and Carbon Dioxide Removals</t>
  </si>
  <si>
    <t>Identify the quantification methods that will be used for GHG emission reductions and carbon dioxide removals generated by the project during the project crediting period. Describe the steps taken to validate the quantification methods, including all data and parameters used in the equations, and any references to any other data sources used. Include in the description, information with respect to how the following has been assessed:
• Quantification of baseline emissions.
• Quantification of project emissions.
•Quantification of leakage emissions.
• Summary of GHG emission reductions or carbon dioxide removals.
• Uncertainties associated with the calculation of emissions
• Documentation used as the basis for assumptions and sources of data.
Provide an assessment of the following with respect to the project description:
• All relevant assumptions and data are listed in the project description, including their references and sources
• All data and parameter values used in the project description are considered reasonable in the context of the project and are in conformance with the VCS Program rules.
• All estimates of the baseline emissions can be replicated using the data and parameter values provided in the project description.
Provide an overall concluding statement regarding whether the methodology and any referenced tools have been applied correctly to calculate baseline emissions, project emissions, leakage and reductions and removals.</t>
  </si>
  <si>
    <t>3.3.7 Methodology Deviations</t>
  </si>
  <si>
    <t>Identify any methodology deviations applied to the project and describe the steps taken to validate each deviation. Include information with respect to how the following has been assessed:
• Whether the deviation meets with the criteria and specifications for permitted methodology deviations
• Whether the deviation negatively impacts the conservativeness of the quantification of GHG emission reductions or removals (except where they result in increased accuracy).
Provide an overall conclusion regarding whether any methodology deviations applied to the project are valid.</t>
  </si>
  <si>
    <t>G205</t>
  </si>
  <si>
    <t>3.3.8 Monitoring Plan</t>
  </si>
  <si>
    <t>Identify the parameters to be monitored and describe the steps taken to validate the suitability and eligibility of the monitoring equipment and procedures (e.g., process and schedule for obtaining, recording, compiling and analyzing the monitored data and parameters).Provide an overall conclusion regarding the adherence of the monitoring plan to the requirements of the applied methodology and any referenced tools.</t>
  </si>
  <si>
    <t>G207</t>
  </si>
  <si>
    <t>3.4 Non-Permanence Risk Analysis</t>
  </si>
  <si>
    <t>Where relevant, describe the steps taken to assess the non-permanence risk rating determined by the project proponent. For each risk factor, provide the following information:
• An assessment of all rationale, assumptions and justifications used to support the risk score.
• An assessment of the quality of documentation and data provided to support the risk score.
• A conclusion regarding the appropriateness of the risk score.
Provide a conclusion regarding the determined value of the overall risk rating.</t>
  </si>
  <si>
    <t>4 Validation Opinion</t>
  </si>
  <si>
    <t>4.1 Validation Summary</t>
  </si>
  <si>
    <t>summary</t>
  </si>
  <si>
    <t>Clearly state that the GHG statement is the responsibility of the project proponent, whether the project conforms with the validation criteria for projects set out in VCS Version 4 and include any qualifications or modifications. Adverse, disclaimed, modified or qualified opinions must include a description of the reason(s) for the opinion, placed before the validation/verification body’s conclusion.International Accreditation Forum accreditation body approved validation/verification body opinions must include a declaration that the validation and/or verification of the GHG statement was conducted in accordance with ISO 14064-3. The applicable ISO version must be included (e.g., ISO 14064-3; 2019).</t>
  </si>
  <si>
    <t>G212</t>
  </si>
  <si>
    <t>4.2 Validation Conclusion</t>
  </si>
  <si>
    <t>Describe whether the data and information supporting the GHG statement assertion were hypothetical, projected and/or historical in nature. State the reasonableness of assumptions, limitations, and methods that support a claim about the outcome of future activities, explaining that actual results may vary since the estimates are based on assumptions that are subject to change. Conclude whether the project is likely to achieve the estimated GHG emission reductions and carbon dioxide removals described below. Where the project reports removals and reductions separately, these must also be validated separately.</t>
  </si>
  <si>
    <t>G214</t>
  </si>
  <si>
    <t>creditingPeriodvalidationConclusion</t>
  </si>
  <si>
    <t>Validated estimated GHG emission reductions and carbon dioxide removals for the project crediting period:</t>
  </si>
  <si>
    <t>For projects that are not required to assess permanence risk, complete the following table:</t>
  </si>
  <si>
    <t>Estimated ERRs &amp; VCUs</t>
  </si>
  <si>
    <t>G285</t>
  </si>
  <si>
    <t>Vintage period</t>
  </si>
  <si>
    <t>Estimated baseline emissions (tCO2e):</t>
  </si>
  <si>
    <t>Estimated project emissions (tCO2e):</t>
  </si>
  <si>
    <t>Estimated leakage emissions (tCO2e):</t>
  </si>
  <si>
    <t>Estimated buffer pool allocation (tCO2e)</t>
  </si>
  <si>
    <t>Estimated reduction VCUs (tCO2e):</t>
  </si>
  <si>
    <t>Estimated removal VCUs (tCO2e):</t>
  </si>
  <si>
    <t>Estimated total VCUs (tCO2e):</t>
  </si>
  <si>
    <t>For projects required to assess permanence risk:</t>
  </si>
  <si>
    <t xml:space="preserve">i) Provide a conclusion on the following information: </t>
  </si>
  <si>
    <t>The non-permanence risk rating (%)</t>
  </si>
  <si>
    <t>G303</t>
  </si>
  <si>
    <t>If applicable, the Long-term Average (LTA), whether it has been properly updated, and if it has been reached.</t>
  </si>
  <si>
    <t>G304</t>
  </si>
  <si>
    <t>ii) Complete the fields below for the project crediting period:</t>
  </si>
  <si>
    <t>G306</t>
  </si>
  <si>
    <t>5.1 Appendix 1: COMMERCIALLY SENSITIVE INFORMATION</t>
  </si>
  <si>
    <t>G322</t>
  </si>
  <si>
    <t>Assessment method and conclusion</t>
  </si>
  <si>
    <t>G327</t>
  </si>
  <si>
    <t>Title of Appendix</t>
  </si>
  <si>
    <t>Appendix Details</t>
  </si>
  <si>
    <t>Registry</t>
  </si>
  <si>
    <t>Verification Reports</t>
  </si>
  <si>
    <t>ProjectHub Account ID</t>
  </si>
  <si>
    <t>e9dc81ba-6cd3-4d6d-9c32-8e55a2d30db7</t>
  </si>
  <si>
    <t>VCS Verification Report</t>
  </si>
  <si>
    <t>Verification Report Monitoring Reference</t>
  </si>
  <si>
    <t>Monitoring Report Id</t>
  </si>
  <si>
    <t>monitoringReportId</t>
  </si>
  <si>
    <t>Verification period</t>
  </si>
  <si>
    <t xml:space="preserve">
VCS Standard v4.0</t>
  </si>
  <si>
    <t>1.3 Level of Assurance</t>
  </si>
  <si>
    <t>2 Verification Process</t>
  </si>
  <si>
    <t>G30</t>
  </si>
  <si>
    <t>2.6 Eligibility for Validation Activities</t>
  </si>
  <si>
    <t>3.1 Methodology Deviations</t>
  </si>
  <si>
    <t>3.2 Project Description Deviations</t>
  </si>
  <si>
    <t>G35</t>
  </si>
  <si>
    <t>3.3 New Project Activity Instances in Grouped Projects</t>
  </si>
  <si>
    <t>G36</t>
  </si>
  <si>
    <t>3.4 Baseline Reassessment</t>
  </si>
  <si>
    <t>If yes, describe the steps taken to validate the baseline reassessment of the project, including (as applicable) the following:
•	The applicability of the latest, approved version of the methodology or its replacement.
• The quality and completeness of evidence, data, assumptions, and justification provided in determining whether the baseline scenario is valid or no longer valid. 
• The quality and completeness of evidence, data, assumptions, and justification provided in the updated sections of the project description (e.g., project eligibility, the baseline scenario determination, the baseline emissions quantification, data/parameters determined ex-ante). 
• The quality and completeness of documentary evidence, data and justification provided for the assessment of the impact of new relevant national and/or sectoral policies and circumstances on the validity of the baseline scenario.  
• The appropriateness of the revised estimates of relevant rates and patterns of land-use change, and baseline emissions provided in the updated project description.
• For ALM projects: The appropriateness of the updated project baseline to reflect current common practice in the project region, if applicable.
• The appropriateness of the ex-ante baseline projections for the subsequent baseline reassessment period. 
Provide an overall conclusion regarding whether the baseline reassessment and the resulting baseline scenario are accurate, realistic, and valid.</t>
  </si>
  <si>
    <t>G39</t>
  </si>
  <si>
    <t>4 Verification Findings</t>
  </si>
  <si>
    <t>G40</t>
  </si>
  <si>
    <t>4.1 Project Details</t>
  </si>
  <si>
    <t>G42</t>
  </si>
  <si>
    <t>G47</t>
  </si>
  <si>
    <t>G48</t>
  </si>
  <si>
    <t xml:space="preserve">4.2 Safeguards and Stakeholder Engagement </t>
  </si>
  <si>
    <t>G49</t>
  </si>
  <si>
    <t>4.2.1 Stakeholder Identification</t>
  </si>
  <si>
    <t>Stakeholder identification</t>
  </si>
  <si>
    <t>G51</t>
  </si>
  <si>
    <t xml:space="preserve">Stakeholder diversity and changes over time </t>
  </si>
  <si>
    <t>G53</t>
  </si>
  <si>
    <t xml:space="preserve">Expected changes in well-being </t>
  </si>
  <si>
    <t xml:space="preserve">Location of stakeholders </t>
  </si>
  <si>
    <t>G55</t>
  </si>
  <si>
    <t>G56</t>
  </si>
  <si>
    <t>4.2.2 Stakeholder Consultation and Ongoing Communication</t>
  </si>
  <si>
    <t>G57</t>
  </si>
  <si>
    <t>G58</t>
  </si>
  <si>
    <t>G59</t>
  </si>
  <si>
    <t>G62</t>
  </si>
  <si>
    <t>4.2.3 Free, Prior, and Informed Consent</t>
  </si>
  <si>
    <t>G63</t>
  </si>
  <si>
    <t xml:space="preserve">Consent </t>
  </si>
  <si>
    <t>G64</t>
  </si>
  <si>
    <t>G65</t>
  </si>
  <si>
    <t>4.2.4 Grievance Redress Procedure</t>
  </si>
  <si>
    <t>G66</t>
  </si>
  <si>
    <t>Grievance received and steps taken to resolve the grievance including the outcomes of the resolution</t>
  </si>
  <si>
    <t>G68</t>
  </si>
  <si>
    <t>4.2.5 Public Comments</t>
  </si>
  <si>
    <t>G69</t>
  </si>
  <si>
    <t xml:space="preserve">4.2.6 Risks to Local Stakeholders and the Environment </t>
  </si>
  <si>
    <t>4.2.6.1 Management Experience</t>
  </si>
  <si>
    <t>4.2.6.2 Risk Assessment</t>
  </si>
  <si>
    <t>4.2.7 Respect for Human Rights and Equity</t>
  </si>
  <si>
    <t>4.2.7.1 Labor and Work</t>
  </si>
  <si>
    <t>G89</t>
  </si>
  <si>
    <t>4.2.7.2 Human Rights</t>
  </si>
  <si>
    <t>G91</t>
  </si>
  <si>
    <t>4.2.7.2 Human Rights Risks identified</t>
  </si>
  <si>
    <t>4.2.7.2 Human Rights Evidence gathering activities, evidence checked, and assessment conclusion for the risk identified.</t>
  </si>
  <si>
    <t>4.2.7.3 Indigenous Peoples and Cultural Heritage</t>
  </si>
  <si>
    <t>G94</t>
  </si>
  <si>
    <t>4.2.7.3 Indigenous Peoples and Cultural Heritage Risks identified</t>
  </si>
  <si>
    <t>4.2.7.3 Indigenous Peoples and Cultural Heritage Evidence gathering activities, evidence checked, and assessment conclusion for the risk identified.</t>
  </si>
  <si>
    <t>4.2.7.4 Property Rights</t>
  </si>
  <si>
    <t>G97</t>
  </si>
  <si>
    <t>4.2.7.4 Property Rights Risks identified</t>
  </si>
  <si>
    <t>4.2.7.4 Property Rights Evidence gathering activities, evidence checked, and assessment conclusion for the risk identified.</t>
  </si>
  <si>
    <t>4.2.7.5 Benefit Sharing</t>
  </si>
  <si>
    <t>G100</t>
  </si>
  <si>
    <t>4.2.7.5 Benefit Sharing Summary of the benefit sharing plan</t>
  </si>
  <si>
    <t>4.2.7.5 Benefit Sharing Benefit sharing during the monitoring period</t>
  </si>
  <si>
    <t>4.2.8 Ecosystem Health</t>
  </si>
  <si>
    <t>4.2.8.1 Rare, Threatened, and Endangered species</t>
  </si>
  <si>
    <t>G110</t>
  </si>
  <si>
    <t>4.2.8.2 Introduction of Species</t>
  </si>
  <si>
    <t>G130</t>
  </si>
  <si>
    <t>4.2.8.3 Ecosystem conversion</t>
  </si>
  <si>
    <t>G133</t>
  </si>
  <si>
    <t>4.3 Accuracy of Reduction and Removal Calculations</t>
  </si>
  <si>
    <t>4.4 Quality of Evidence to Determine Reductions and Removals</t>
  </si>
  <si>
    <t>G137</t>
  </si>
  <si>
    <t>4.5 Non-Permanence Risk Analysis</t>
  </si>
  <si>
    <t>G138</t>
  </si>
  <si>
    <t>5 Verification Opinion</t>
  </si>
  <si>
    <t>G139</t>
  </si>
  <si>
    <t>5.1 Verification Summary</t>
  </si>
  <si>
    <t>G140</t>
  </si>
  <si>
    <t>5.2 Verification Conclusion</t>
  </si>
  <si>
    <t>Verified GHG emission reductions and carbon dioxide removals in the above verification period:</t>
  </si>
  <si>
    <t>For projects that are not required to assess permanence risk, use the following table:</t>
  </si>
  <si>
    <t>ERRs &amp; VCUs</t>
  </si>
  <si>
    <t>Baseline emissions (tCO2e):</t>
  </si>
  <si>
    <t>Project emissions (tCO2e):</t>
  </si>
  <si>
    <t>Leakage emissions (tCO2e):</t>
  </si>
  <si>
    <t>Reduction VCUs (tCO2e):</t>
  </si>
  <si>
    <t>Removal VCUs (tCO2e):</t>
  </si>
  <si>
    <t>Total VCUs (tCO2e):</t>
  </si>
  <si>
    <t>Whether a loss has been appropriately accounted for, in accordance with the VCS Program rules, if applicable.</t>
  </si>
  <si>
    <t>ERRs &amp; VCUs Permanence Risk</t>
  </si>
  <si>
    <t>Buffer pool allocation (tCO2e)</t>
  </si>
  <si>
    <t>5.3 Ex-ante vs Ex-post ERR Comparison</t>
  </si>
  <si>
    <t>Ex-ante vs Ex-post ERR Comparison</t>
  </si>
  <si>
    <t>Ex-ante estimated reductions/removals</t>
  </si>
  <si>
    <t>Achieved reductions/removals</t>
  </si>
  <si>
    <t>Percent difference</t>
  </si>
  <si>
    <t xml:space="preserve">Explanation for the difference </t>
  </si>
  <si>
    <t>6.1 Appendix 1: COMMERCIALLY SENSITIVE INFORMATION</t>
  </si>
  <si>
    <t>SECTION</t>
  </si>
  <si>
    <t>INFORMATION</t>
  </si>
  <si>
    <t>JUSTIFICATION</t>
  </si>
  <si>
    <t>ASSESSMENT METHOD AND CONCLUSION</t>
  </si>
  <si>
    <t>Project Description</t>
  </si>
  <si>
    <t>VCS Project Description</t>
  </si>
  <si>
    <t>General</t>
  </si>
  <si>
    <t xml:space="preserve">General  </t>
  </si>
  <si>
    <t>Project Website</t>
  </si>
  <si>
    <t>website</t>
  </si>
  <si>
    <t>Original Date of Issue</t>
  </si>
  <si>
    <t>Most Recent Date of Issue</t>
  </si>
  <si>
    <t>Project Details</t>
  </si>
  <si>
    <t>1.1 Summary Description of the Project</t>
  </si>
  <si>
    <t xml:space="preserve">1.2 Audit History </t>
  </si>
  <si>
    <t>Is this project undergoing crediting period renewal?</t>
  </si>
  <si>
    <t>Audit History</t>
  </si>
  <si>
    <t>1.3 Sectoral Scope and Project Type</t>
  </si>
  <si>
    <t>Sectoral Scope and Project Type</t>
  </si>
  <si>
    <t>1.4 Project Eligibility</t>
  </si>
  <si>
    <t>1.4.1 General eligibility</t>
  </si>
  <si>
    <t>1.5 Project Design</t>
  </si>
  <si>
    <t xml:space="preserve">Indicate if the project has been designed as: </t>
  </si>
  <si>
    <t>Single location or installation</t>
  </si>
  <si>
    <t>1.5.1 Grouped project design</t>
  </si>
  <si>
    <t>1.6 Project Proponent</t>
  </si>
  <si>
    <t>Project Proponent</t>
  </si>
  <si>
    <t>Primary?</t>
  </si>
  <si>
    <t>isPrimary</t>
  </si>
  <si>
    <t>ProjectHub Id</t>
  </si>
  <si>
    <t>projectHubId</t>
  </si>
  <si>
    <t>1.7 Other Entities Involved in the Project</t>
  </si>
  <si>
    <t>roleInTheProject</t>
  </si>
  <si>
    <t>Organization Address</t>
  </si>
  <si>
    <t>0987667876</t>
  </si>
  <si>
    <t>1.8 Ownership</t>
  </si>
  <si>
    <t>ownership</t>
  </si>
  <si>
    <t>1.9 Project Start Date</t>
  </si>
  <si>
    <t>projectStartDateData</t>
  </si>
  <si>
    <t>justification</t>
  </si>
  <si>
    <t>1.10 Project Crediting Period</t>
  </si>
  <si>
    <t>Seven years, twice renewable</t>
  </si>
  <si>
    <t>checkBoxOption</t>
  </si>
  <si>
    <t>Justify how this period conforms with the VCS program requirements</t>
  </si>
  <si>
    <t>creditingPeriodJustifyText</t>
  </si>
  <si>
    <t xml:space="preserve">Start and end date of first or fixed crediting period </t>
  </si>
  <si>
    <t>projectCreditingPeriodstartDate</t>
  </si>
  <si>
    <t>projectCreditingPeriodendDate</t>
  </si>
  <si>
    <t>Period (Years)</t>
  </si>
  <si>
    <t>projectCreditingPeriodperiodYears</t>
  </si>
  <si>
    <t>1.11 Project Scale and Estimated GHG Emission Reductions or Removals</t>
  </si>
  <si>
    <t>Indicate the estimated annual GHG emission reductions/removals (ERRs) of the project:</t>
  </si>
  <si>
    <t>&lt; 300,000 tCO2e/year (project)</t>
  </si>
  <si>
    <t>1.12 Description of the Project Activity</t>
  </si>
  <si>
    <t>descriptionOfProjectActivities</t>
  </si>
  <si>
    <t>1.13 Project Location</t>
  </si>
  <si>
    <t>1°0'0.00\"</t>
  </si>
  <si>
    <t>acres</t>
  </si>
  <si>
    <t>ipfs://3c2830d70427525a8182fc2f957fb982</t>
  </si>
  <si>
    <t>kmlFile</t>
  </si>
  <si>
    <t>1.14 Conditions Prior to Project Initiation</t>
  </si>
  <si>
    <t>1.16 Double Counting and Participation under Other GHG Programs</t>
  </si>
  <si>
    <t>1.16.1 No Double Issuance</t>
  </si>
  <si>
    <t>If yes, provide required evidence of no double issuance as outlined by the VCS Standard.</t>
  </si>
  <si>
    <t>1.16.2 Registration in Other GHG Programs</t>
  </si>
  <si>
    <t>G99</t>
  </si>
  <si>
    <t>Has the project registered under any other GHG programs?</t>
  </si>
  <si>
    <t xml:space="preserve">If yes, provide the registration number and the date of project inactivity under the other GHG program. </t>
  </si>
  <si>
    <t>projectsRegisteredTextareaInputValue</t>
  </si>
  <si>
    <t>Is the project active under the other program?</t>
  </si>
  <si>
    <t>Project proponents, or their authorized representative, must attest that the project is no longer active in the other GHG program in the Registration Representation.</t>
  </si>
  <si>
    <t>isApplicableTextareaInputValue</t>
  </si>
  <si>
    <t>1.16.3 Projects Rejected by Other GHG Programs</t>
  </si>
  <si>
    <t>Has the project been rejected by any other GHG programs?</t>
  </si>
  <si>
    <t>If yes, provide the program name(s), reason(s) and date for the rejection, justification of eligibility under the VCS Program, and any other relevant information.</t>
  </si>
  <si>
    <t>projectsRejectedTextareaInputValue</t>
  </si>
  <si>
    <t>1.17 Double Claiming, Other Forms of Credit, and Scope 3 Emissions</t>
  </si>
  <si>
    <t>1.17.1 No Double Claiming with Emissions Trading Programs or Binding Emission Limits</t>
  </si>
  <si>
    <t>Are project reductions and removals or project activities also included in an emissions trading program or binding emission limit? See the VCS Program Definitions for definitions of emissions trading program and binding emission limit.</t>
  </si>
  <si>
    <t>If yes, provide all required evidence of no double claiming as outlined by the VCS Standard.</t>
  </si>
  <si>
    <t>limitTextareaInputValue</t>
  </si>
  <si>
    <t>1.17.2 No Double Claiming with Other Forms of Environmental Credit</t>
  </si>
  <si>
    <t>Has the project activity sought, received, or is planning to receive credit from another GHG-related environmental credit system? See the VCS Program Definitions for definition of GHG-related environmental credit system.</t>
  </si>
  <si>
    <t>creditTextareaInputValue</t>
  </si>
  <si>
    <t>1.17.3 Supply Chain (Scope 3) Emissions</t>
  </si>
  <si>
    <t xml:space="preserve">Do the project activities specified in Section 1.12 affect the emissions footprint of any product(s) (goods or services) that are part of a supply chain? </t>
  </si>
  <si>
    <t>Has the project proponent(s) or authorized representative posted a public statement on their website saying, “Carbon credits may be issued through Verified Carbon Standard project [project ID] for the greenhouse gas emission reductions or removals associated with [project proponent or authorized representative organization name(s)] [name of product(s) whose emissions footprint is changed by the project activities].”</t>
  </si>
  <si>
    <t xml:space="preserve">Provide evidence of the public statement. Evidence must be provided in this section or in an appendix. </t>
  </si>
  <si>
    <t>1.18 Sustainable Development Contributions</t>
  </si>
  <si>
    <t xml:space="preserve">1.19 Additional Information Relevant to the Project </t>
  </si>
  <si>
    <t>1.19.1 Leakage Management</t>
  </si>
  <si>
    <t xml:space="preserve">1.19.2 Commercially Sensitive Information </t>
  </si>
  <si>
    <t>1.19.3 Further Information</t>
  </si>
  <si>
    <t>furtherInformation</t>
  </si>
  <si>
    <t>Safeguards and Stakeholder Engagement</t>
  </si>
  <si>
    <t>2.1 Stakeholder Engagement and Consultation</t>
  </si>
  <si>
    <t>Use the fields below to describe the stakeholder identification process. Where the field does not apply, provide justification in the cell in the text box below.</t>
  </si>
  <si>
    <t xml:space="preserve">Describe the process(es) used to identify stakeholders likely impacted by the project. List the stakeholders identified. </t>
  </si>
  <si>
    <t>Describe any legal or customary tenure/access rights to territories and resources, including collective and conflicting rights, held by stakeholders, Indigenous People (IPs), local communities (LCs), and customary rights holders.</t>
  </si>
  <si>
    <t xml:space="preserve">Describe the social, economic, and cultural diversity within stakeholder groups, the differences and interactions between the stakeholder groups, and any changes in the make-up of each group over time. </t>
  </si>
  <si>
    <t>Describe the expected changes in well-being and other stakeholder characteristics relative to the baseline scenario, including changes to ecosystem services identified as important to stakeholders;</t>
  </si>
  <si>
    <t>Describe the location of stakeholders, IPs, LCs, and customary rights holders, and areas outside the project area that are predicted to be impacted by the project.</t>
  </si>
  <si>
    <t>Describe the location of territories and resources which stakeholders own or to which they have customary access.</t>
  </si>
  <si>
    <t xml:space="preserve">Use the fields below to describe the process for and the outcomes from the stakeholder consultation conducted prior to project initiation. </t>
  </si>
  <si>
    <t>Date of stakeholder consultation</t>
  </si>
  <si>
    <t>Describe the process to engage stakeholders in a culturally appropriate manner (e.g., dates of announcements or meetings, language and gender sensitivity). Describe the process or methods used to document the outcomes.</t>
  </si>
  <si>
    <t xml:space="preserve">Summarize the discussion around consent to project design and implementation, risks, costs and benefits of the project, all relevant laws and regulations covering workers’ rights in the host country, the discussion of FPIC and the VCS validation and verification process. </t>
  </si>
  <si>
    <t>Describe the mechanisms for ongoing communication with stakeholders.</t>
  </si>
  <si>
    <t>Describe how due account was taken of all input received during the consultation. Include details on any updates to the project design or justify why updates were not necessary or appropriate.</t>
  </si>
  <si>
    <t>Use the fields below to describe the outcome of the FPIC process as part of the stakeholder consultation process.</t>
  </si>
  <si>
    <t>2.1.3 Free Prior and Informed Consent</t>
  </si>
  <si>
    <t>Describe and demonstrate how consent to implement the project activities was obtained from those concerned, including IPs, LCs, and customary rights holders, and a transparent agreement was reached. Describe any ongoing or unresolved conflicts and demonstrate that the project does not exacerbate nor influence the outcomes of unresolved conflicts.</t>
  </si>
  <si>
    <t>Obtaining consent</t>
  </si>
  <si>
    <t xml:space="preserve">Describe the outcome of the FPIC process, the transparent agreement, and the information disclosed prior to establishing a transparent agreement with those concerned, IPs, LCs, and customary rights holders.  Provide assurance that the project has not encroached on land, relocated people without consent, and forced physical or economic displacement. </t>
  </si>
  <si>
    <t>Describe the process used to develop the grievance redress procedure including processes for receiving, hearing, responding and attempting to resolve grievances within a reasonable time period, taking into account culturally appropriate conflict resolution methods.</t>
  </si>
  <si>
    <t>Development process</t>
  </si>
  <si>
    <t>Describe the grievance redress procedures developed with stakeholders.</t>
  </si>
  <si>
    <t>Comment received</t>
  </si>
  <si>
    <t xml:space="preserve">Provide a summary of actions taken and any project design updates or justify why updates were not necessary or appropriate. </t>
  </si>
  <si>
    <t>Demonstrate that management teams have expertise or experience in implementing similar project activities and engaging communities. Where relevant experience is lacking, demonstrate how the project proponent has partnered with other organizations to support the project or have a recruitment strategy to fill the identified gaps</t>
  </si>
  <si>
    <t>Use the fields below to describe the risk assessment and outcome of the potential risks to stakeholders and the environment. Describe the commensurate mitigation or preventative measure(s) in place to prevent or mitigate the risk. Where no risk is identified, write “No risk identified” in the "Risks identified" field, and provide justification in the "Mitigation or preventative measure(s) taken" field. Add fields as needed.</t>
  </si>
  <si>
    <t xml:space="preserve">Other  </t>
  </si>
  <si>
    <t>Use the fields below to identify and summarize the risks for rights related to labor and work. Describe the commensurate mitigation or preventative measure(s) in place to prevent or mitigate the risk. Where no risk is identified, write “No risk identified” in the "Risks identified" field, and provide justification in the "Mitigation or preventative measure(s) taken" field. Add fields as needed.</t>
  </si>
  <si>
    <t>2.3.2 Human Rights</t>
  </si>
  <si>
    <t>Use the fields below to identify and summarize any risks related to recognizing, respecting, and promoting the protection of the rights of IPs, LCs, and customary rights holders in line with applicable international human rights law, and the United Nations Declaration on the Rights of Indigenous Peoples and ILO Convention 169 on Indigenous and Tribal Peoples. Describe the commensurate mitigation or preventative measure(s) in place to prevent or mitigate the risk. Where no risk is identified, write “No risk identified” in the "Risks identified" field, and provide justification in the "Mitigation or preventative measure(s) taken" field. Add fields as needed.</t>
  </si>
  <si>
    <t>Human Rights</t>
  </si>
  <si>
    <t>2.3.3 Indigenous Peoples and Cultural Heritage</t>
  </si>
  <si>
    <t>Use the fields below to identify and summarize any risks related to recognizing, respecting, and promoting the protection of the rights of IPs, LCs, and customary rights holders, and to preserving and protecting cultural heritage as part of project activities. Describe the commensurate mitigation or preventative measure(s) in place to prevent or mitigate the risk. Where no risk is identified, write “No risk identified” in the "Risks identified" field, and provide justification in the "Mitigation or preventative measure(s) taken" field. Add fields as needed.</t>
  </si>
  <si>
    <t>Indigenous Peoples and Cultural Heritage</t>
  </si>
  <si>
    <t>Use the fields below to identify and summarize any risks related to protecting and preserving the property rights of IPs, LCs, and customary rights holders, and to protecting legal or customary tenure/access rights to territories, property, and resources, including collective and/or conflicting rights, held by stakeholders. Describe the commensurate mitigation or preventative measure(s) in place to prevent or mitigate the risk. Where no risk is identified, write “No risk identified” in the "Risks identified" field, and provide justification in the "Mitigation or preventative measure(s) taken" field. Add fields as needed.</t>
  </si>
  <si>
    <t>Property Rights</t>
  </si>
  <si>
    <t>Where the project impacts property rights as described in Section 2.4.4 above, use the fields below to describe the project’s benefit sharing agreement.</t>
  </si>
  <si>
    <t>Describe the process used to develop the benefit-sharing agreement with the affected stakeholder groups.</t>
  </si>
  <si>
    <t xml:space="preserve">Describe the benefit-sharing agreement. Where affected stakeholder groups wish to keep elements of the plan private, provide the full arrangement as a commercially sensitive document. The project proponent shall demonstrate that the community wishes to keep this information private. </t>
  </si>
  <si>
    <t>Demonstrate that the benefit- sharing agreement was agreed up on by the affected stakeholder groups, and that the agreement was shared in a culturally appropriate manner. Demonstrate that the agreement is readily accessible should stakeholders wish to review the agreement.</t>
  </si>
  <si>
    <t>Use the fields below to identify and summarize any risks related to impacts on biodiversity and ecosystems, soil degradation and soil erosion, and water consumption and stress. Describe the commensurate mitigation or preventative measure(s) in place to prevent or mitigate the risk. Where no risk is identified, write “No risk identified” in the "Risks identified" field, and provide justification in the "Mitigation or preventative measure(s) taken" field. Add fields as needed.</t>
  </si>
  <si>
    <t>2.4.1 Rare, Threatened, and Endangered Species</t>
  </si>
  <si>
    <t>Is the project located in or adjacent to habitats for rare, threatened, or endangered species?</t>
  </si>
  <si>
    <t>If yes, list such species and habitats in the fields below and provide evidence that the project will not adversely impact these areas.</t>
  </si>
  <si>
    <t>Rare, Threatened, and Endangered Species</t>
  </si>
  <si>
    <t>Demonstrate that the project will not adversely impact habitats and areas needed for habitat connectivity for rare, threatened, or endangered species.</t>
  </si>
  <si>
    <t xml:space="preserve">Species and habitat </t>
  </si>
  <si>
    <t>Demonstrate that the project will not adversely impact areas needed for habitat connectivity.</t>
  </si>
  <si>
    <t>Use the fields below to identify and summarize any risks related to habitats for rare, threatened, and endangered species, and for areas for habitat connectivity.  Describe the commensurate mitigation or preventative measure(s) in place to prevent or mitigate the risk. Where no risk is identified, write “No risk identified” in the "Risks identified" field, and provide justification in the "Mitigation or preventative measure(s) taken" field. Add fields as needed.</t>
  </si>
  <si>
    <t>Demonstrate, using the fields below, that no invasive species will be used as part of project activities. Categorize each species as native, non-native, and indicate if the species is a monoculture. Where the species is non-native, include an explanation of possible adverse effects of its use and a description of how the project will mitigate such risks. For projects with no planting or species introduction, this section may be indicated as N/A.</t>
  </si>
  <si>
    <t>Introduction of Species (no invasive species)</t>
  </si>
  <si>
    <t xml:space="preserve">Adverse effects and mitigation </t>
  </si>
  <si>
    <t>Where invasive species exist in the project area, list such species in the fields below and describe the commensurate mitigation measure(s) in place to prevent the spread or continued existence of invasive species.</t>
  </si>
  <si>
    <t>Introduction of Species (invasive species)</t>
  </si>
  <si>
    <t xml:space="preserve">Existing invasive species </t>
  </si>
  <si>
    <t>Use the fields below to identify and summarize any risks related to invasive species. Describe the commensurate mitigation or preventative measure(s) in place to prevent or mitigate the risk. Where no risk is identified, write “No risk identified” in the "Risks identified" field, and provide justification in the "Mitigation or preventative measure(s) taken" field. Add fields as needed.</t>
  </si>
  <si>
    <t>Risks of Invasive Species</t>
  </si>
  <si>
    <t>2.4.3 Ecosystem Conversion</t>
  </si>
  <si>
    <t>Is applicable?</t>
  </si>
  <si>
    <t>ARR, ALM, WRC or ACoGS projects shall provide evidence that the project area was not cleared or drained of existing natural ecosystems, unless such clearing took place at least 10 years prior, or the dominant land cover was invasive. 
Use the fields below to identify and summarize any risks related to ecosystem conversion. Describe the commensurate mitigation or preventative measure(s) in place to prevent or mitigate the risk. Where no risk is identified, write “No risk identified” in the "Risks identified" field, and provide justification in the "Mitigation or preventative measure(s) taken" field. Add fields as needed.</t>
  </si>
  <si>
    <t>Ecosystem Conversion</t>
  </si>
  <si>
    <t>Application of Methodology</t>
  </si>
  <si>
    <t xml:space="preserve">3.1 Title and Reference of Methodology </t>
  </si>
  <si>
    <t xml:space="preserve">Title and Reference of Methodology </t>
  </si>
  <si>
    <t>Type (methodology, tool, module)</t>
  </si>
  <si>
    <t>Reference CODE (if applicable)</t>
  </si>
  <si>
    <t>meth_reference_code</t>
  </si>
  <si>
    <t xml:space="preserve">3.2 Applicability of Methodology </t>
  </si>
  <si>
    <t>3.3 Project Boundary</t>
  </si>
  <si>
    <t>Define the project boundary and identify the relevant GHG sources, sinks and reservoirs for the project and baseline scenarios (including leakage if applicable).</t>
  </si>
  <si>
    <t>In addition, provide a diagram or map of the project boundary, showing clearly the physical locations of the various installations or management activities taking place as part of the project activity based on the description provided in Section 1.11 (Description of the Project Activity).
For non-AFOLU projects, include in the diagram the equipment, systems and flows of mass and energy. Include the GHG emission sources identified in the project boundary.</t>
  </si>
  <si>
    <t>ipfs://8786a6f7f0a2bd5329383ef5c13fa3f0</t>
  </si>
  <si>
    <t>3.4 Baseline Scenario</t>
  </si>
  <si>
    <t>3.5 Additionality</t>
  </si>
  <si>
    <t>Step 1: Regulatory surplus</t>
  </si>
  <si>
    <t>Step 2: Positive list</t>
  </si>
  <si>
    <t xml:space="preserve">The project activity must meet both of the following conditions to qualify for the positive list:
(1) The project activity introduces:
a) Efficient biomass-fired cookstoves that replace inefficient biomass-fired cookstoves;
b) Efficient, solely renewable biomass-fired cookstoves that replace fossil fuel-fired cookstoves; or
c) Electric cookstoves that replace inefficient biomass-fired or fossil fuel-fired cookstoves.
(2) The project activity installs or distributes improved cookstoves at zero cost to the end-user and has no revenue source(Including revenues from selling of firewood, charcoal, LPG, bioethanol, or any commercial relationship with fuel providers ) other than from the sale of verified carbon units (VCUs). </t>
  </si>
  <si>
    <t>Step 3: Project method</t>
  </si>
  <si>
    <t>If the project activity is not on the positive list (Step 2), additionality must be demonstrated by applying a barrier analysis or investment analysis as per the most recent version of VT0008. The project proponent must also demonstrate that the project activity is not a common practice as per the most recent version of VT0008</t>
  </si>
  <si>
    <t>VT0008</t>
  </si>
  <si>
    <t>vt0008</t>
  </si>
  <si>
    <t>5.1 Applicable Geographic Area</t>
  </si>
  <si>
    <t>The applicable geographic area must be determined for Step 1, Step 2, and Step 4. The same area must be used when applying each of these steps.
Unless the applicable methodology specifies a different approach for determining the geographic region, the following criteria must be applied.
The default applicable geographic area is the entire host country. The project proponent may choose to limit the applicable geographic area to a specific geographic area within the host country. In this case, the project proponent must justify the essential distinctions between the applicable geographic region and the rest of the host country that lead to different investment or implementation conditions specific to the project activity. Relevant factors may include:
1) Subsidies, policies, laws, or regulations
2) Climatic, topographic, or geological differences
3) Socioeconomic conditions
4) Infrastructure development and accessibility
5) Access to markets and resources
6) Cropland suitability related to soil and crop type</t>
  </si>
  <si>
    <t>5.2 Step 1: Identify Alternatives to the Project Activity</t>
  </si>
  <si>
    <t>This step identifies all realistic and credible alternative scenarios to the proposed project activity. Step 1 does not need to be applied where the applicable methodology provides procedures and requirements for identifying the alternative scenarios or baseline scenario. In such cases, the procedures and requirements in the methodology must be followed to identify the alternative scenarios and baseline scenario.</t>
  </si>
  <si>
    <t>5.2.1 Step 1a: Define Alternative Scenarios to the Proposed Project Activity</t>
  </si>
  <si>
    <t>Identify all realistic and credible alternatives to the project activity that provide a comparable output and/or use a comparable input to the proposed project activity. This must include alternatives that have been implemented previously or are currently being introduced by the project proponent or other market participants with a similar context in the applicable geographic region.
These alternative scenarios include:
1) The proposed project activity is undertaken without being registered under a GHG program.
2) Other plausible alternative scenarios to the proposed project activity that deliver a mcomparable output and/or use a comparable input, including the common practices in the relevant sector and applicable geographic region. Further guidance and examples may be provided in the applicable methodology.
3) Where realistic, the continuation of the current situation (no project activity nor other alternatives undertaken).
Where the proposed project activity includes different inputs and/or outputs, alternative scenarios for each should be identified separately. Realistic combinations of these should be considered as possible alternative scenarios to the proposed project activity.</t>
  </si>
  <si>
    <t>Identify alternative scenarios</t>
  </si>
  <si>
    <t>5.2.2 Step 1b: Consistency with Mandatory Applicable Laws and Regulations</t>
  </si>
  <si>
    <t>Identify the alternative scenarios from Step 1a that comply with all mandatory applicable legal and regulatory requirements within the applicable geographic region. The alternative scenarios must be compatible with all applicable laws and regulations, including those that have objectives other than GHG emission reductions and/or carbon dioxide removals (e.g., for local air pollution control).
Policies that do not have legally binding status must not be considered.
Where any of the alternative scenarios of Step 1a do not comply with all mandatory applicable legislation and regulations, follow these steps:
1) Assess the current practice in the applicable geographic region:
a) For high-income countries, all legal requirements are deemed to be enforced.
b) For other countries, where the mandatory legal or regulatory requirements are systematically not enforced and non-compliance is widespread in the applicable geographic region, include the alternative scenarios in the list for further consideration. Demonstration of non-enforcement must be based on authoritative and up-to-date information that is relevant and applicable to the alternative scenario.
2) Where the mandatory legal or regulatory requirements are enforced, eliminate the alternative scenario from further consideration
Provide a list of alternative scenarios to the project activity that comply with mandatory
legislation and regulations considering enforcement in the applicable geographic region.</t>
  </si>
  <si>
    <t>Provide information.</t>
  </si>
  <si>
    <t>Which of the following would you like to apply for this project : Step 2 (Barrier Analysis) or Step 3 (Investment Analysis) ?</t>
  </si>
  <si>
    <t>Step 2 (Barrier Analysis)</t>
  </si>
  <si>
    <t>5.4 Step 3: Investment Analysis</t>
  </si>
  <si>
    <t>The objective of this step is to conduct an investment analysis to assess the economic or financial attractiveness of the alternative scenarios identified in Step 1 or the applicable methodology.
The investment analysis must be conducted in accordance with the following procedures and the requirements in Appendix 2.
For project activities spanning multiple countries, the investment analysis must be conducted separately for each individual country.</t>
  </si>
  <si>
    <t>Select one of the following options and explain and justify the choice of investment analysis type:</t>
  </si>
  <si>
    <t>a) Option 1: Investment comparison analysis</t>
  </si>
  <si>
    <t>5.4.2 Benchmark Analysis</t>
  </si>
  <si>
    <t>The financial indicator used must be the IRR (either project IRR or equity IRR).
1) Calculate the IRR for the project activity.
2) Demonstrate that: 
a) the project activity would not meet the required financial benchmark without carbon credit revenues;
b) the economic performance of the mitigation activity increases decisively through carbon credit revenues; and
c) carbon credit revenues raise the financial indicator to or above the required financial benchmark.
3) Conduct a sensitivity analysis to demonstrate that the conditions in (2) are met under  reasonable variations in the critical assumptions</t>
  </si>
  <si>
    <t>Provide files.</t>
  </si>
  <si>
    <t>ipfs://3157ef1d24c63436758076d10f7961e3</t>
  </si>
  <si>
    <t>5.4.1 Investment Comparison Analysis</t>
  </si>
  <si>
    <t>1) Identify a financial indicator, such as internal rate of return (IRR), net present value (NPV), cost-benefit ratio, or levelized cost, suitable for the project type and decisionmaking context.
2) Calculate the financial indicator for all alternative scenarios.
3) Present a clear comparison of the financial indicator for all alternative scenarios and rank the alternative scenarios according to the financial indicator.
4) Demonstrate that the project activity would not be the most economically attractive scenario in the absence of carbon credit revenues.
5) Conduct a sensitivity analysis to demonstrate that the condition in (4) is met under reasonable variations in the critical assumptions.</t>
  </si>
  <si>
    <t>ipfs://6e2973ba18ea4702fb6d0fd6716d773e</t>
  </si>
  <si>
    <t>Justify the choice</t>
  </si>
  <si>
    <t>Is the proposed project activity either:
a) Unlikely to be the most financially attractive option (investment comparison analysis), or
b) Unlikely to be financially viable (benchmark analysis)?</t>
  </si>
  <si>
    <t>5.5 Step 4: Common Practice Analysis</t>
  </si>
  <si>
    <t>The previous steps (Steps 1–3) must be complemented with an analysis of the extent to which
the proposed project type (e.g., technology or practice) has already diffused in the relevant
sector and applicable geographic area.</t>
  </si>
  <si>
    <t>5.5.1 Step 4a: Determining Procedure for Common Practice Analysis</t>
  </si>
  <si>
    <t>The approach applied to common practice analysis is determined based on the project type. For the following measures, apply Step 4b:
1) Fuel or feedstock switch (e.g., switch from naphtha to natural gas for energy generation, switch from limestone to gypsum in cement clinker production)
2) Switch of technology with or without change in energy source (e.g., energy efficiency improvements, power generation based on renewable energy)
3) Methane destruction (e.g., landfill gas flaring)
4) Methane formation avoidance (e.g., use of biomass for energy generation that would otherwise have been left to decay and emit methane)
5) Carbon capture and storage (e.g., technology-based carbon capture and storage where CO2 is sourced from industrial facilities or the atmosphere)
For all other measures apply Step 4c.</t>
  </si>
  <si>
    <t>Project type selection:</t>
  </si>
  <si>
    <t>Fuel or feedstock switch</t>
  </si>
  <si>
    <t>5.5.2 Step 4b: Common Practice Analysis for Measures Listed in Step 4a</t>
  </si>
  <si>
    <t>1) Calculate the applicable capacity or output range as ±50% of the proposed project
activity's total design capacity or output.</t>
  </si>
  <si>
    <t>2) Identify similar projects (both VCS and non-VCS) that meet all of the following conditions:
a) The projects are located in the applicable geographic area.
b) The projects apply the same measure (per Step 4a) as the proposed project activity.
c) Where a technology switch is implemented by the proposed project activity, the projects use the same energy source/fuel and feedstock as the proposed project activity.
d) The plants in which the projects are implemented produce goods or services with comparable quality, properties, and application areas (e.g., clinker) to the proposed project plant.
e) The capacity or output of the projects is within the applicable capacity or output range calculated in 5.5.2(1).
f) The projects started commercial operation before the proposed project is published for public stakeholder consultation or before the start date of the proposed project activity, whichever is earlier.</t>
  </si>
  <si>
    <t>3) Identify which of the similar projects are not registered, submitted for registration, or undergoing validation under the VCS program. Note their number as Nall. Projects under other GHG programs may optionally be excluded from Nall.</t>
  </si>
  <si>
    <t>4) Identify which of the projects in Nall differ by at least one of the following (as appropriate in the context of the measure applied in the project activity and applicable geographic area):
a) Energy source/fuel (e.g., energy generation by different energy sources such as wind and hydro and different types of fuels such as biomass and natural gas);
b) Feedstock (e.g., production of fuel ethanol from different feedstocks such as sugar cane and starch, production of cement with varying percentages of alternative fuels or less carbon-intensive fuels);
c) Investment climate on the date of the investment decision, such as access to technology, subsidies or other financial flows, promotional policies, or legal regulations; or
d) Other features and conditions, such as the nature of the investment (for unit cost of capacity or output, 16 technologies/activities are considered different where their costs are at least 20% lower).
Note the number of projects that have essential distinctions as Ndiff.</t>
  </si>
  <si>
    <t>5) Calculate factor F = 1 − Ndiff / Nall representing the share of similar projects without essential distinction in the applicable geographic area.</t>
  </si>
  <si>
    <t>5.5.3 Step 4c: Common Practice Analysis for Measures Not Listed in Step 4a</t>
  </si>
  <si>
    <t>Provide an analysis of the extent to which similar activities to the proposed project activity have been implemented previously or are currently underway in the applicable geographic area.
Similar activities are those with comparable technologies or practices, scales, and regulatory environments. Exclude activities that are under validation or registered under the VCS Program.
Activities under other GHG programs may optionally be excluded. Note the number Nall of the remaining similar activities. Provide documented and verifiable evidence to support the analysis and, where relevant, quantitative information. Where similar activities to the proposed project activity are identified, compare the project activity to these other activities. Identify and explain any essential distinctions between the proposed project and similar activities. Such essential distinctions may include significant changes in circumstances, such as new barriers that have emerged or the end of promotional policies, that affect implementation of the proposed project activity compared to other similar activities. The distinction must be essential and verifiable.</t>
  </si>
  <si>
    <t>Is the proposed project activity considered common practice?</t>
  </si>
  <si>
    <t>This project is additional.</t>
  </si>
  <si>
    <t>This project is not additional.</t>
  </si>
  <si>
    <t>5.3 Step 2: Barrier Analysis</t>
  </si>
  <si>
    <t>This step identifies barriers to implementation and assesses whether they prevent the project activity or the alternative scenario(s). The project proponent must:
1) Step 2a: identify realistic and credible barriers that may prevent implementation of the project activity and the alternative scenario(s)
2) Step 2b: demonstrate that the identified barriers would prevent implementation of the project activity.
3) Step 2c: demonstrate that the identified barriers would not prevent implementation of at least one of the alternative scenarios.
4) Step 2d: demonstrate that carbon credit revenues are the decisive element in overcoming each identified barrier to the project activity.
The barrier analysis must be conducted according to the following steps and all relevant requirements in Appendix 1.
In applying Steps 2a, 2b, 2c, and 2d provide transparent and verifiable evidence. Make conservative interpretations as to how the evidence demonstrates the existence and significance of the identified barriers and whether alternative scenarios are prevented by these barriers.</t>
  </si>
  <si>
    <t>5.3.1 Step 2a: Identify Realistic and Credible Barriers</t>
  </si>
  <si>
    <t>Establish a complete list of realistic and credible barriers that may prevent implementation of the project activity and the alternative scenario(s). The barriers must be based on the actual context of the project activity and alternatives and the applicable geographic area, reflecting practical challenges to implementation. The list must include at least one barrier that would prevent implementation of the project activity but must also consider other barriers relevant to the project activity and the alternative(s).</t>
  </si>
  <si>
    <t>Provide list.</t>
  </si>
  <si>
    <t>5.3.2 Step 2b: Demonstrate That Barriers Would Prevent Project Activity Implementation</t>
  </si>
  <si>
    <t xml:space="preserve">Demonstrate that at least one of the barriers identified in Step 2a would prevent implementation of the project activity without revenues from carbon credits.
Provide verifiable evidence to demonstrate the existence of each identified barrier that would prevent implementation of the project activity and, where possible, quantify the barrier(s). </t>
  </si>
  <si>
    <t>Verifiable evidence.</t>
  </si>
  <si>
    <t>ipfs://f86566f6a373f82226fca0754f329a0d</t>
  </si>
  <si>
    <t>5.3.3 Step 2c: Demonstrate That Barriers Would Not Prevent Implementation of at Least One Alternative</t>
  </si>
  <si>
    <t>Demonstrate that at least one of the alternatives does not face significant barriers identified in Step 2a, including the barriers faced by the project activity. Where possible, quantify the barriers for the alternative(s).
Explain and demonstrate with verifiable evidence how the identified barrier(s) affect the alternative(s) less than the proposed project activity.</t>
  </si>
  <si>
    <t>ipfs://8416ae1ae37ee984270493fe9922eb88</t>
  </si>
  <si>
    <t>5.3.4 Step 2d: Demonstrate That Carbon Credit Revenues are Decisive in Overcoming Barriers</t>
  </si>
  <si>
    <t>Provide verifiable evidence demonstrating that carbon credit revenues are the decisive element in overcoming each identified barrier to the project activity. Evidence must be relevant and appropriate to the project circumstances.</t>
  </si>
  <si>
    <t>ipfs://7ddd758a3152b053f91fb5a9ab6cb50e</t>
  </si>
  <si>
    <t>Are all of the following true?
a) The project is prevented by barriers.
b) At least one alternative has no significant barriers.
c) Carbon credits are decisive in overcoming the barriers.</t>
  </si>
  <si>
    <t>ipfs://23f815ef138eb2bd0e47de1a39de7993</t>
  </si>
  <si>
    <t>ipfs://3c964100327d36c51d55208d6a18e452</t>
  </si>
  <si>
    <t>3.6 Methodology Deviations</t>
  </si>
  <si>
    <t>Does this project use any methodology deviations?</t>
  </si>
  <si>
    <t>Describe and justify any methodology deviations. Include evidence to demonstrate the following:
The deviation will not negatively impact the conservativeness of the quantification of GHG emission reductions or removals.
The deviation relates only to the criteria and procedures for monitoring or measurement, and does not relate to any other part of the methodology.</t>
  </si>
  <si>
    <t>4 Quantification</t>
  </si>
  <si>
    <t>4.1 Baseline Emissions</t>
  </si>
  <si>
    <t>4.2 Project Emissions</t>
  </si>
  <si>
    <t>4.3 Leakage Emissions</t>
  </si>
  <si>
    <t>4.4 Estimated GHG Emission Reductions and Carbon Dioxide Removals (VCS, 3.15, 4.1)</t>
  </si>
  <si>
    <t>5 Monitoring</t>
  </si>
  <si>
    <t>5.1 Data and Parameters Available at Validation</t>
  </si>
  <si>
    <t>5.2 Data and Parameters Monitored</t>
  </si>
  <si>
    <t>5.3 Monitoring Plan</t>
  </si>
  <si>
    <t>Describe the process and schedule for obtaining, recording, compiling and analyzing the monitored data and parameters set out in Section 5.2 (Data and Parameters Monitored) above.
Include details on the following:
• The methods for measuring, recording, storing, aggregating, collating and reporting on monitored data and parameters. Where relevant, include the procedures for calibrating monitoring equipment.
• The organizational structure, responsibilities and competencies of the personnel that will be carrying out monitoring activities.
• The procedures for internal auditing and QA/QC.
• The procedures for handling non-conformances with the validated monitoring plan.
• Any sampling approaches used, including target precision levels, sample sizes, sample site locations, stratification, frequency of measurement and QA/QC procedures.
Where appropriate, include line diagrams to display the GHG data collection and management system.</t>
  </si>
  <si>
    <t>Project Validator</t>
  </si>
  <si>
    <t>7dce1b37-38c8-b717-893b-cdeed13799b5</t>
  </si>
  <si>
    <t>Additional Project Types</t>
  </si>
  <si>
    <t>d0db853e-488e-11ee-be56-0242ac120002</t>
  </si>
  <si>
    <t>Project certification type</t>
  </si>
  <si>
    <t>Sub-Schema</t>
  </si>
  <si>
    <t>Loaded to IPFS</t>
  </si>
  <si>
    <t>Climate, Community, and Biodiversity Standards</t>
  </si>
  <si>
    <t>Jurisdictional Nested REDD+</t>
  </si>
  <si>
    <t xml:space="preserve">Sustainable Development Verified Impact Standard	</t>
  </si>
  <si>
    <t>Plastic Waste Reduction Program</t>
  </si>
  <si>
    <t>Forest Carbon Partnership Facility Program</t>
  </si>
  <si>
    <t>Initiative for Sustainable Forest Landscapes</t>
  </si>
  <si>
    <t>VCS Standard v4.1</t>
  </si>
  <si>
    <t>VCS Standard v4.2</t>
  </si>
  <si>
    <t>VCS Standard v4.3</t>
  </si>
  <si>
    <t>VCS Standard v4.4</t>
  </si>
  <si>
    <t>VCS Standard v4.5</t>
  </si>
  <si>
    <t>VCS Standard v4.6</t>
  </si>
  <si>
    <t>Option 2: Default Values</t>
  </si>
  <si>
    <t>Geodetic Point (Degrees Minutes Seconds)</t>
  </si>
  <si>
    <t>Validation</t>
  </si>
  <si>
    <t>CCB</t>
  </si>
  <si>
    <t>Multiple locations or project activity instances (but not a grouped project)</t>
  </si>
  <si>
    <t>Grouped project</t>
  </si>
  <si>
    <t>Ten years, fixed</t>
  </si>
  <si>
    <t>Other (state the selected crediting period and justify how it conforms with the VCS Program requirements)</t>
  </si>
  <si>
    <t>≥ 300,000 tCO2e/year (large project)</t>
  </si>
  <si>
    <t>Default Value</t>
  </si>
  <si>
    <t>Step 3 (Investment Analysis)</t>
  </si>
  <si>
    <t>b) Option 2: Benchmark analysis</t>
  </si>
  <si>
    <t>Switch of technology with or without change in energy source</t>
  </si>
  <si>
    <t>Methane destruction</t>
  </si>
  <si>
    <t>Methane formation avoidance</t>
  </si>
  <si>
    <t>Carbon capture and storage</t>
  </si>
  <si>
    <t>ppAccountType</t>
  </si>
  <si>
    <t>ppOffsetProject</t>
  </si>
  <si>
    <t>ppOrgInfo</t>
  </si>
  <si>
    <t>ppName</t>
  </si>
  <si>
    <t>ppAddress1</t>
  </si>
  <si>
    <t>ppAddress2</t>
  </si>
  <si>
    <t>ppCountryArea</t>
  </si>
  <si>
    <t>ppStateProvince</t>
  </si>
  <si>
    <t>ppZipPostal</t>
  </si>
  <si>
    <t>ppPhone</t>
  </si>
  <si>
    <t>ppFax</t>
  </si>
  <si>
    <t>ppemail</t>
  </si>
  <si>
    <t>ppWebsite</t>
  </si>
  <si>
    <t>ppAccountManager</t>
  </si>
  <si>
    <t>ppAccountManagerTitle</t>
  </si>
  <si>
    <t>ppContactAddress2</t>
  </si>
  <si>
    <t>ppContactAddress1</t>
  </si>
  <si>
    <t>ppContactCity</t>
  </si>
  <si>
    <t>ppContactCountryArea</t>
  </si>
  <si>
    <t>ppContactPhone</t>
  </si>
  <si>
    <t>ppContactStateProvince</t>
  </si>
  <si>
    <t>ppContactZipPostal</t>
  </si>
  <si>
    <t>ppContactEmail</t>
  </si>
  <si>
    <t>Demonstrate and justify how the project activity(s) meets each of the applicability condition described above</t>
  </si>
  <si>
    <t>Demonstrate and justify how the project activity(s) meets each of the applicability conditions of the methodology(s), tools, and modules applied by the project (where applicable). Address each applicability condition separately.
The project activity must install and operate a new (greenfield) biochar production facility(ies) where the project proponent must
1) source waste biomass, 
2) produce biochar, and 
3) ensure the biochar is utilized in soil or non-soil application
GHG benefits are credited only for the biochar that is utilized in the eligible soil and non-soil applications.
(see section 4 VM0044 for context)</t>
  </si>
  <si>
    <t>Technological scope</t>
  </si>
  <si>
    <t>1) The methodology is applicable when biochar is produced from eligible waste biomass through a thermochemical process such as pyrolysis, gasification, and biomass boilers* (for the purpose of this methodology, the terms pyrolysis, gasification, and biomass boilers are used interchangeably) and the biochar is subsequently applied to an end-use (soil or non-soil applications). Torrefaction and hydrothermal carbonization as processes of biochar production are excluded** from this methodology.
* For the purpose of this methodology, the terms pyrolysis, gasification, and biomass boilers are used interchangeably.
** Both processes are excluded because they do not generate solid products that are significantly more persistent in soil than the original feedstock (Woolf et al., 2021).</t>
  </si>
  <si>
    <t>2) The methodology is applicable to projects using either low or high technology production facilities to produce biochar, as per the definitions of each provided in Section 3 of this methodology.</t>
  </si>
  <si>
    <t>3) The biochar producers must have a health and safety program to protect workers from airborne pollutants and other hazards.</t>
  </si>
  <si>
    <t>Eligible feedstocks and production</t>
  </si>
  <si>
    <t>b) Feedstock must have been otherwise left to decay or combusted for purposes other than energy production. Additional guidance on how to demonstrate fate of waste biomass in the absence of the project activity is provided in Appendix 2.</t>
  </si>
  <si>
    <t>c) Feedstock must not have been imported from other countries*.
* The methodology discourages transportation of waste biomass over long distances, especially among countries and between continents)(the methodology discourages transportation of waste biomass over long distances, especially among countries and between continents.</t>
  </si>
  <si>
    <t xml:space="preserve">d) Feedstock must meet the sustainability conditions provided in Table 1. This table is not an exhaustive list of waste biomass examples
</t>
  </si>
  <si>
    <t>4) The feedstock used to produce biochar must meet all following conditions to be eligible:</t>
  </si>
  <si>
    <t>a) Feedstock must be purely biogenic waste biomass and not purpose-grown.</t>
  </si>
  <si>
    <t>5) Biochar made from a single or mixed eligible feedstock types must comply with the latest version of the IBI Biochar Testing Guidelines or the EBC Production Guidelines.</t>
  </si>
  <si>
    <t>6) The waste biomass used as feedstock to produce biochar and the resulting biochar to be utilized in soil or non-soil applications may be transported via ships, boats, and vehicles other than road transportation up to a distance of 200 km. However, it must only be transported by vehicles (i.e., road transportation) for distances more than 200 km as defined under VCS Tool 12: Project and leakage emissions from transportation of freight.</t>
  </si>
  <si>
    <t>7) Mineral additives such as lime, rock minerals, and ash may comprise up to 10 percent of the mass when added. If the addition exceeds 10 percent on a dry weight basis, the biochar producer must present laboratory tests indicating that the final product meets IBI Biochar Testing Guidelines or EBC Production Guidelines thresholds for organic and inorganic contaminants.</t>
  </si>
  <si>
    <t xml:space="preserve">8) Other evidence that may be used to demonstrate compliance with waste biomass sustainability criterion are biomass certification schemes such as the Roundtable on Sustainable Biomaterials (RSB), International Sustainability and Carbon Certification (ISCC) or any other certification scheme approved and/or endorsed by a relevant legislative body or international body such as the European Union*, CORSIA**, and national/state governments.
* Annex IX Directive (EU) 2018/2001 of the European Parliament and of the European Council of 11 December 2018 on the promotion of the use of energy from renewable sources. In particular, Annex IV sets out the minimum requirements for certifying waste and residues, grouped in the following categories (Annex IX): food-feed processing residues and waste; agricultural/forestry residues and waste; landscape care biomass; animal residues and waste; wastewater and derivatives; fats, oil and greases; others.
** The International Civil Aviation Organization (ICAO) under its Carbon Offsetting and Reduction Scheme for International Aviation (CORSIA) approves certification schemes for eligible biofuels produced from eligible biomass, to be used in international aviation as part of emissions reduction targets of the international aviation industry. Waste biomass may be certified using the schemes approved by CORSIA.
</t>
  </si>
  <si>
    <t>Eligible biochar end-use application criteria</t>
  </si>
  <si>
    <t>9) Biochar is eligible to be utilized and accounted for under the methodology if it is being utilized within one year of its production. Biochar is subject to natural decay and the permanence of biochar is calculated for a period of 100 years. To adhere to the decay factor established for 100 years and prevent any decay before application, biochar must be utilized in soil or non-soil applications, as appropriate, within the first year of its production.</t>
  </si>
  <si>
    <t>10) Biochar is eligible to be used as a soil amendment on land other than wetlands. Eligible land types include cropland, grassland, vegetated urban soils, and forest. Biochar is eligible to be applied either to the soil surface or subsurface. For surface application, the biochar must be mixed with other substrates such as compost, manure or digestate from anaerobic digestion. For subsurface application, the biochar may be applied either as a unique soil amendment or mixed with other substrates. For any soil application, the biochar must:
a) comply with biochar material standards to avoid the risk of transferring unwanted heavy metals and organic contaminants to soil. Project proponents must meet the IBI Biochar Testing Guidelines or EBC Production Guidelines*, or relevant national regulations for avoiding soil contamination.
b) have a hydrogen to organic carbon molar ratio (H:Corg) of less than or equal to 0.7.
*Available at https://www.european-biochar.org/media/doc/2/version_en_9_4.pdf</t>
  </si>
  <si>
    <t>11) Biochar is eligible to be used in non-soil applications including but not limited to cement, asphalt, and any other applications where long-term storage of the biochar is possible. Only biochar produced in high technology production facilities, as defined under the methodology, is eligible to be used in non-soil applications.</t>
  </si>
  <si>
    <t>12) Project proponents must demonstrate that biochar and/or final products are long-lived via credible evidence such as laboratory results, peer reviewed research papers or any other third party-evaluated product assessment, such as decay rate analysis, as applicable. The information provided must include the lifetime of the product in which biochar is stored long term. The resultant product must be compliant with national/international product quality standards/specifications as applicable (e.g., the American Concrete Institute Standards in the US).</t>
  </si>
  <si>
    <t>This methodology is not applicable under the following conditions:</t>
  </si>
  <si>
    <t>13) The methodology must not be applied if biochar is used for energy purposes, burned as a fuel (e.g., as a substitute for charcoal or coke) or used in other soil or non-soil applications where biochar cannot be demonstrated to be a long-lived and persistent carbo</t>
  </si>
  <si>
    <t>14) Biochar must not be used in applications in which substantial amounts of the biochar are oxidized (e.g., burned or used as a reduction agent in steel production, processed into activated carbon, or other uses that are fossil fuel-intensive).</t>
  </si>
  <si>
    <t>15) Non-soil applications are ineligible under the methodology if there is a loss of more than 50 percent of the carbon measured by dry weight basis (e.g., some activated carbon, due to excessive fossil fuel input, results in a loss of more than 50 percent of the original biochar carbon material and therefore would not be eligible).</t>
  </si>
  <si>
    <t>Gas: CH4</t>
  </si>
  <si>
    <t>Gas: N2O</t>
  </si>
  <si>
    <t>Gas: CO2</t>
  </si>
  <si>
    <t>Baseline GHG Sources</t>
  </si>
  <si>
    <t>Project GHG Sources</t>
  </si>
  <si>
    <t>CO2 from Pyrolysis, or thermochemical conversion (high technology systems) included/excluded?</t>
  </si>
  <si>
    <t>CO2 from Electricity and/or fossil fuels consumed during eligible thermochemical process included/excluded?</t>
  </si>
  <si>
    <t>CO2 from Pyrolysis, or thermochemical conversion (low technology systems) included/excluded?</t>
  </si>
  <si>
    <t>Provide a justification for the inclusion/exclusion of electricity and/or fossil fuels consumed during eligible thermochemical process</t>
  </si>
  <si>
    <t>Provide a justification for the inclusion/exclusion of pyrolysis, or thermochemical conversion (low technology systems)</t>
  </si>
  <si>
    <t>Provide a justification for the inclusion/exclusion of pyrolysis, or thermochemical conversion (high technology systems)</t>
  </si>
  <si>
    <t>CO2 from Biochar transportation included/excluded?</t>
  </si>
  <si>
    <t>Provide a justification for the inclusion/exclusion of Biochar transportation</t>
  </si>
  <si>
    <t>CO2 from Pre-treatment of feedstocks (e.g., grinding, drying) included/excluded?</t>
  </si>
  <si>
    <t>Provide a justification for the inclusion/exclusion of Pre-treatment of feedstocks (e.g., grinding, drying)</t>
  </si>
  <si>
    <t>CO2 from Biochar application (e.g., preparation of biochar for final use) included/excluded?</t>
  </si>
  <si>
    <t>Provide a justification for the inclusion/exclusion of Biochar application (e.g., preparation of biochar for final use)</t>
  </si>
  <si>
    <t>CO2 from High-carbon fly ash diversion included/excluded?</t>
  </si>
  <si>
    <t>Provide a justification for the inclusion/exclusion of High-carbon fly ash diversion</t>
  </si>
  <si>
    <t>CO2 from Energy production and use included/excluded?</t>
  </si>
  <si>
    <t>Provide a justification for the inclusion/exclusion of Energy production and use</t>
  </si>
  <si>
    <t>CH4 from Pyrolysis, or thermochemical conversion (high technology systems) included/excluded?</t>
  </si>
  <si>
    <t>CH4 from Pyrolysis, or thermochemical conversion (low technology systems) included/excluded?</t>
  </si>
  <si>
    <t>CH4 from Electricity and/or fossil fuels consumed during eligible thermochemical process included/excluded?</t>
  </si>
  <si>
    <t>CH4 from Biochar transportation included/excluded?</t>
  </si>
  <si>
    <t>CH4 from Pre-treatment of feedstocks (e.g., grinding, drying) included/excluded?</t>
  </si>
  <si>
    <t>CH4 from Biochar application (e.g., preparation of biochar for final use) included/excluded?</t>
  </si>
  <si>
    <t>CH4 from Energy production and use included/excluded?</t>
  </si>
  <si>
    <t>N2O from Pyrolysis, or thermochemical conversion (high technology systems) included/excluded?</t>
  </si>
  <si>
    <t>N2O from Pyrolysis, or thermochemical conversion (low technology systems) included/excluded?</t>
  </si>
  <si>
    <t>N2O from Electricity and/or fossil fuels consumed during eligible thermochemical process included/excluded?</t>
  </si>
  <si>
    <t>N2O from Biochar transportation included/excluded?</t>
  </si>
  <si>
    <t>N2O from Pre-treatment of feedstocks (e.g., grinding, drying) included/excluded?</t>
  </si>
  <si>
    <t>N2O from Biochar application (e.g., preparation of biochar for final use) included/excluded?</t>
  </si>
  <si>
    <t>N2O from High-carbon fly ash diversion included/excluded?</t>
  </si>
  <si>
    <t>N2O from Energy production and use included/excluded?</t>
  </si>
  <si>
    <t>CO2 from Feedstock Production included/excluded?</t>
  </si>
  <si>
    <t>Provide a justification for the inclusion/exclusion of CO2 from Feedstock Production</t>
  </si>
  <si>
    <t>CH4 from Feedstock Production included/excluded?</t>
  </si>
  <si>
    <t>N2O from Feedstock Production included/excluded?</t>
  </si>
  <si>
    <t>Provide a justification for the inclusion/exclusion of N2O from Feedstock Production</t>
  </si>
  <si>
    <t>Value of CH4 from High-carbon fly ash diversion?</t>
  </si>
  <si>
    <t>• Demonstrate and assess the additionality of the project, in accordance with the applied methodology and any relevant tools, taking into account the following:
• Project activities must not be mandated by any law, statute, or other regulatory framework, or for UNFCCC non-Annex I countries, any systematically enforced law, statute, or other regulatory framework
• Where a project method is applied to demonstrate additionality and the procedure in the applied methodology or tool involves several steps, describe how each step is applied and clearly document the outcome of each step. Indicate clearly the method selected to demonstrate additionality (e.g., investment analysis or barrier analysis in the case of the CDM Tool for the demonstration and assessment of additionality). Where barrier analysis, or equivalent, is used to demonstrate additionality, only include the most relevant barriers. Justify the credibility of the barriers with key facts and/or assumptions and the rationale. Provide all relevant references.
• Where a performance method is applied to demonstrate additionality, demonstrate that performance can be achieved to a level at least equivalent to the performance benchmark metric.
• Where the methodology applies an activity method for the demonstration of additionality, use this section to demonstrate regulatory surplus (only) and include a statement that notes that conformance with the positive list is demonstrated in the Applicability of Methodology section above.
• Provide sufficient information (including all relevant data and parameters, with sources) so that a reader can reproduce the additionality analysis and obtain the same results.</t>
  </si>
  <si>
    <t>3.5.1 Regulatory Surplus</t>
  </si>
  <si>
    <t>• The project proponent must demonstrate regulatory surplus in accordance with the rules and requirements regarding regulatory surplus set out in the most recent versions of the VCS Standard and VCS Methodology Requirements. 
• Where the project proponent demonstrates regulatory surplus for the project activity, proceed to the next step (positive list). Otherwise, the project activity is not additional.</t>
  </si>
  <si>
    <t>Methodology-specific Additionality Criteria</t>
  </si>
  <si>
    <t>Description: Organic carbon content of biochar for each biochar type t produced in production facility p per tonne of biochar, on a dry weight basis</t>
  </si>
  <si>
    <t>Year</t>
  </si>
  <si>
    <t>Biochar Type</t>
  </si>
  <si>
    <t>Production Facility</t>
  </si>
  <si>
    <t>Is the project located in an UNFCCC Annext 1 or Non-Annex 1 country?</t>
  </si>
  <si>
    <t>Annex 1 Country</t>
  </si>
  <si>
    <t>Are the project activities mandated by any law, statute, or other regulatory framework?</t>
  </si>
  <si>
    <t>Enum Name</t>
  </si>
  <si>
    <t>Value</t>
  </si>
  <si>
    <t>Test Value</t>
  </si>
  <si>
    <t>Suggest Value</t>
  </si>
  <si>
    <t>Certification Type</t>
  </si>
  <si>
    <t>Project Boundary Type</t>
  </si>
  <si>
    <t>Project Scale</t>
  </si>
  <si>
    <t>Area Unit</t>
  </si>
  <si>
    <t>VT008 Analysis Type</t>
  </si>
  <si>
    <t>VT008 Investment Analysis Type</t>
  </si>
  <si>
    <t>Common Practice Analysis Type</t>
  </si>
  <si>
    <t>Baseline Fuel Quantity Method</t>
  </si>
  <si>
    <t>Audit Type</t>
  </si>
  <si>
    <t>Program Type</t>
  </si>
  <si>
    <t>Project Description Template</t>
  </si>
  <si>
    <t>certificationType</t>
  </si>
  <si>
    <t>vcsProjectDescriptionTemplate</t>
  </si>
  <si>
    <t>vcsStandardVersion</t>
  </si>
  <si>
    <t>preparedBy</t>
  </si>
  <si>
    <t>S3S</t>
  </si>
  <si>
    <t>13. Waste Handling and disposal</t>
  </si>
  <si>
    <t>Biochar</t>
  </si>
  <si>
    <t>1.4.2 AFOLU project eligibility</t>
  </si>
  <si>
    <t>Not applicable</t>
  </si>
  <si>
    <t>1.4.3 Transfer project eligibility</t>
  </si>
  <si>
    <t>NO</t>
  </si>
  <si>
    <t>For transfer projects and CPAs seeking registration, justify how eligibility conditions have been met. The response should justify how the criteria in Appendix 2 and Section 3.23
(Double Counting and Participation under Other GHG Programs) of the VCS Standard have been met.</t>
  </si>
  <si>
    <t>Other Entities Involved</t>
  </si>
  <si>
    <t>Upload relevant files such as business license, permits, and property rights.</t>
  </si>
  <si>
    <t>Justify how the project start date conforms with the VCS Program requirements</t>
  </si>
  <si>
    <t>Afghanistan</t>
  </si>
  <si>
    <t>Albania</t>
  </si>
  <si>
    <t>Algeria</t>
  </si>
  <si>
    <t>American Samoa</t>
  </si>
  <si>
    <t>Angola</t>
  </si>
  <si>
    <t>Anguilla</t>
  </si>
  <si>
    <t>Antigua and Barbuda</t>
  </si>
  <si>
    <t>Argentina</t>
  </si>
  <si>
    <t>Armenia</t>
  </si>
  <si>
    <t>Aruba</t>
  </si>
  <si>
    <t>Australia</t>
  </si>
  <si>
    <t>Austria</t>
  </si>
  <si>
    <t>Azerbaijan</t>
  </si>
  <si>
    <t>Bahamas, The</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</si>
  <si>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</si>
  <si>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</si>
  <si>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</si>
  <si>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</si>
  <si>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</si>
  <si>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</si>
  <si>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</si>
  <si>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</si>
  <si>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</si>
  <si>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</si>
  <si>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</si>
  <si>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</si>
  <si>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</si>
  <si>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</si>
  <si>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</si>
  <si>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</si>
  <si>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</si>
  <si>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</si>
  <si>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</si>
  <si>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</si>
  <si>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</si>
  <si>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</si>
  <si>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</si>
  <si>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</si>
  <si>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</si>
  <si>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</si>
  <si>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</si>
  <si>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</si>
  <si>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</si>
  <si>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</si>
  <si>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</si>
  <si>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</si>
  <si>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</si>
  <si>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</si>
  <si>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</si>
  <si>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Côte d'Ivoire</t>
  </si>
  <si>
    <t>Croatia</t>
  </si>
  <si>
    <t>Cuba</t>
  </si>
  <si>
    <t>Cyprus</t>
  </si>
  <si>
    <t>Czech Republic</t>
  </si>
  <si>
    <t>Denmark</t>
  </si>
  <si>
    <t>Djibouti</t>
  </si>
  <si>
    <t>Dominica</t>
  </si>
  <si>
    <t>Dominican Republic</t>
  </si>
  <si>
    <t>Ecuador</t>
  </si>
  <si>
    <t>Egypt, Arab Rep.</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</si>
  <si>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</si>
  <si>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</si>
  <si>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</si>
  <si>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</si>
  <si>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</si>
  <si>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</si>
  <si>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</si>
  <si>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</si>
  <si>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</si>
  <si>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</si>
  <si>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</si>
  <si>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</si>
  <si>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</si>
  <si>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and Antarctic Territories</t>
  </si>
  <si>
    <t>Gabon</t>
  </si>
  <si>
    <t>Gambia, The</t>
  </si>
  <si>
    <t>Georgia</t>
  </si>
  <si>
    <t>Germany</t>
  </si>
  <si>
    <t>Ghana</t>
  </si>
  <si>
    <t>Gibraltar</t>
  </si>
  <si>
    <t>Greece</t>
  </si>
  <si>
    <t>Greenland</t>
  </si>
  <si>
    <t>Grenada</t>
  </si>
  <si>
    <t>Guadeloupe</t>
  </si>
  <si>
    <t>Guam</t>
  </si>
  <si>
    <t>Guatemala</t>
  </si>
  <si>
    <t>Guernsey</t>
  </si>
  <si>
    <t>Guinea</t>
  </si>
  <si>
    <t>Guinea-Bissau</t>
  </si>
  <si>
    <t>Guyana</t>
  </si>
  <si>
    <t>Haiti</t>
  </si>
  <si>
    <t>Hala'ib Triangle</t>
  </si>
  <si>
    <t>Heard Island and McDonald Islands</t>
  </si>
  <si>
    <t>Holy See</t>
  </si>
  <si>
    <t>Honduras</t>
  </si>
  <si>
    <t>Hong Kong SAR, China</t>
  </si>
  <si>
    <t>Hungary</t>
  </si>
  <si>
    <t>Iceland</t>
  </si>
  <si>
    <t>India</t>
  </si>
  <si>
    <t>Indonesia</t>
  </si>
  <si>
    <t>Iran, Islamic Rep.</t>
  </si>
  <si>
    <t>Iraq</t>
  </si>
  <si>
    <t>Ireland</t>
  </si>
  <si>
    <t>Isle of Man</t>
  </si>
  <si>
    <t>Israel</t>
  </si>
  <si>
    <t>Italy</t>
  </si>
  <si>
    <t>Jamaica</t>
  </si>
  <si>
    <t>Japan</t>
  </si>
  <si>
    <t>Jarvis Island</t>
  </si>
  <si>
    <t>Jersey, Channel Islands</t>
  </si>
  <si>
    <t>Jordan</t>
  </si>
  <si>
    <t>Kazakhstan</t>
  </si>
  <si>
    <t>Kenya</t>
  </si>
  <si>
    <t>Kiribati</t>
  </si>
  <si>
    <t>Korea, Dem. Rep.</t>
  </si>
  <si>
    <t>Korea, Rep.</t>
  </si>
  <si>
    <t>Kosovo</t>
  </si>
  <si>
    <t>Kuwait</t>
  </si>
  <si>
    <t>Kyrgyz Republic</t>
  </si>
  <si>
    <t>Lao PDR</t>
  </si>
  <si>
    <t>Latvia</t>
  </si>
  <si>
    <t>Lebanon</t>
  </si>
  <si>
    <t>Lesotho</t>
  </si>
  <si>
    <t>Liberia</t>
  </si>
  <si>
    <t>Libya</t>
  </si>
  <si>
    <t>Liechtenstein</t>
  </si>
  <si>
    <t>Lithuania</t>
  </si>
  <si>
    <t>Luxembourg</t>
  </si>
  <si>
    <t>Macao SAR, China</t>
  </si>
  <si>
    <t>Madagascar</t>
  </si>
  <si>
    <t>Malawi</t>
  </si>
  <si>
    <t>Malaysia</t>
  </si>
  <si>
    <t>Maldives</t>
  </si>
  <si>
    <t>Mali</t>
  </si>
  <si>
    <t>Malta</t>
  </si>
  <si>
    <t>Marshall Islands</t>
  </si>
  <si>
    <t>Martinique</t>
  </si>
  <si>
    <t>Mauritania</t>
  </si>
  <si>
    <t>Mauritius</t>
  </si>
  <si>
    <t>Mayotte</t>
  </si>
  <si>
    <t>Mexico</t>
  </si>
  <si>
    <t>Micronesia, Fed. Sts.</t>
  </si>
  <si>
    <t>Moldova</t>
  </si>
  <si>
    <t>Monaco</t>
  </si>
  <si>
    <t>Mongolia</t>
  </si>
  <si>
    <t>Montenegro</t>
  </si>
  <si>
    <t>Montserrat</t>
  </si>
  <si>
    <t>Morocco</t>
  </si>
  <si>
    <t>Mozambique</t>
  </si>
  <si>
    <t>Myanmar</t>
  </si>
  <si>
    <t>Namibia</t>
  </si>
  <si>
    <t>Nauru</t>
  </si>
  <si>
    <t>Nepal</t>
  </si>
  <si>
    <t>Netherlands</t>
  </si>
  <si>
    <t>Netherlands Antilles (former)</t>
  </si>
  <si>
    <t>New Caledonia</t>
  </si>
  <si>
    <t>New Zealand</t>
  </si>
  <si>
    <t>Nicaragua</t>
  </si>
  <si>
    <t>Niger</t>
  </si>
  <si>
    <t>Nigeria</t>
  </si>
  <si>
    <t>Niue</t>
  </si>
  <si>
    <t>Norfolk Island</t>
  </si>
  <si>
    <t>North Macedonia</t>
  </si>
  <si>
    <t>Northern Mariana Islands</t>
  </si>
  <si>
    <t>Norway</t>
  </si>
  <si>
    <t>Oman</t>
  </si>
  <si>
    <t>Pakistan</t>
  </si>
  <si>
    <t>Palau</t>
  </si>
  <si>
    <t>Panama</t>
  </si>
  <si>
    <t>Papua New Guinea</t>
  </si>
  <si>
    <t>Paraguay</t>
  </si>
  <si>
    <t>Peru</t>
  </si>
  <si>
    <t>Philippines</t>
  </si>
  <si>
    <t>Pitcairn Island</t>
  </si>
  <si>
    <t>Poland</t>
  </si>
  <si>
    <t>Portugal</t>
  </si>
  <si>
    <t>Puerto Rico</t>
  </si>
  <si>
    <t>Qatar</t>
  </si>
  <si>
    <t>Réunion</t>
  </si>
  <si>
    <t>Romania</t>
  </si>
  <si>
    <t>Russian Federation</t>
  </si>
  <si>
    <t>Rwanda</t>
  </si>
  <si>
    <t>Samoa</t>
  </si>
  <si>
    <t>San Marino</t>
  </si>
  <si>
    <t>São Tomé and Principe</t>
  </si>
  <si>
    <t>Saudi Arabia</t>
  </si>
  <si>
    <t>Senegal</t>
  </si>
  <si>
    <t>Serbia</t>
  </si>
  <si>
    <t>Seychelles</t>
  </si>
  <si>
    <t>Sierra Leone</t>
  </si>
  <si>
    <t>Singapore</t>
  </si>
  <si>
    <t>Slovak Republic</t>
  </si>
  <si>
    <t>Slovenia</t>
  </si>
  <si>
    <t>Solomon Islands</t>
  </si>
  <si>
    <t>Somalia</t>
  </si>
  <si>
    <t>South Africa</t>
  </si>
  <si>
    <t>South Georgia &amp; the South Sandwich Islands</t>
  </si>
  <si>
    <t>South Sudan</t>
  </si>
  <si>
    <t>Spain</t>
  </si>
  <si>
    <t>Sri Lanka</t>
  </si>
  <si>
    <t>St. Kitts and Nevis</t>
  </si>
  <si>
    <t>St. Lucia</t>
  </si>
  <si>
    <t>St. Vincent and the Grenadines</t>
  </si>
  <si>
    <t>Sudan</t>
  </si>
  <si>
    <t>Suriname</t>
  </si>
  <si>
    <t>Svalbard and Jan Mayen Islands</t>
  </si>
  <si>
    <t>Sweden</t>
  </si>
  <si>
    <t>Switzerland</t>
  </si>
  <si>
    <t>Syrian Arab Republic</t>
  </si>
  <si>
    <t>Taiwan, China</t>
  </si>
  <si>
    <t>Tajikistan</t>
  </si>
  <si>
    <t>Tanzania</t>
  </si>
  <si>
    <t>Test</t>
  </si>
  <si>
    <t>Thailand</t>
  </si>
  <si>
    <t>The Democratic Republic of the Congo</t>
  </si>
  <si>
    <t>The Republic of the Congo</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</si>
  <si>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</si>
  <si>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</si>
  <si>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</si>
  <si>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</si>
  <si>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</si>
  <si>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</si>
  <si>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</si>
  <si>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</si>
  <si>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</si>
  <si>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</si>
  <si>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</si>
  <si>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</si>
  <si>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</si>
  <si>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</si>
  <si>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</si>
  <si>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Uruguay</t>
  </si>
  <si>
    <t>Uzbekistan</t>
  </si>
  <si>
    <t>Vanuatu</t>
  </si>
  <si>
    <t>Venezuela, RB</t>
  </si>
  <si>
    <t>Vietnam</t>
  </si>
  <si>
    <t>Virgin Islands (U.S.)</t>
  </si>
  <si>
    <t>Western Sahara</t>
  </si>
  <si>
    <t>Yemen, Rep.</t>
  </si>
  <si>
    <t>Zambia</t>
  </si>
  <si>
    <t>Zimbabwe</t>
  </si>
  <si>
    <t>doubleIssuance</t>
  </si>
  <si>
    <t>otherProgramsRegistered</t>
  </si>
  <si>
    <t>otherProgramsActive</t>
  </si>
  <si>
    <t>projectRejected</t>
  </si>
  <si>
    <t>doubleClaimingPrograms</t>
  </si>
  <si>
    <t>anotherCreditSystem</t>
  </si>
  <si>
    <t>affectEmissionsFootprint</t>
  </si>
  <si>
    <t>isBuyerOrSeller</t>
  </si>
  <si>
    <t>hasPostedStatement</t>
  </si>
  <si>
    <t>safeguardsAndStakeholdersTab</t>
  </si>
  <si>
    <t>Application of Methdology</t>
  </si>
  <si>
    <t>applicationOfMethdologyTab</t>
  </si>
  <si>
    <t>projectDetailsTab</t>
  </si>
  <si>
    <t>generalTab</t>
  </si>
  <si>
    <t>Safeguards and Stakeholders Engagement</t>
  </si>
  <si>
    <t>boundaryType</t>
  </si>
  <si>
    <t>Provide a brief description that includes the following (no more than 500 words):
• A summary description of project activities that result in sustainable development (SD) contributions (i.e., technologies / measure implemented, activity location).
• An explanation of how project activities will result in expected SD contributions.
• A description of how the project contributes to achieving any nationally stated sustainable development priorities, including any provisions for monitoring and reporting these.
• A minimum of three SDGs are required.</t>
  </si>
  <si>
    <t>commerciallySensitiveInformation</t>
  </si>
  <si>
    <t>leakageManagement</t>
  </si>
  <si>
    <t>Other Risks</t>
  </si>
  <si>
    <t>Other Risks (Labor &amp; Work)</t>
  </si>
  <si>
    <t>Risks (Indigenous Peoples and Cultural Heritage)</t>
  </si>
  <si>
    <t>Risks (Human Rights)</t>
  </si>
  <si>
    <t>Risk (Property Rights)</t>
  </si>
  <si>
    <t>Other Risks (Rare, Threatened, and Endangered Species)</t>
  </si>
  <si>
    <t>Other Risks (Ecosystem Health)</t>
  </si>
  <si>
    <t>Other Risk (Area for habitat connectivity)</t>
  </si>
  <si>
    <t>Risks (Invasive Species)</t>
  </si>
  <si>
    <t>Title and Reference of Methdology</t>
  </si>
  <si>
    <t>Project Country Annex</t>
  </si>
  <si>
    <t>Non-Annex 1 Country</t>
  </si>
  <si>
    <t>3.5.2 Additionality Methods</t>
  </si>
  <si>
    <t>• Where a performance method is applied to demonstrate additionality, demonstrate that performance can be achieved to a level at least equivalent to the performance benchmark metric.
• Where the methodology applies an activity method for the demonstration of additionality, include a statement that notes that conformance with the positive list is demonstrated in the Applicability of Methodology section above.
• Provide sufficient information (including all relevant data and parameters, with sources) so that a reader can reproduce the additionality analysis and obtain the same results.</t>
  </si>
  <si>
    <t>Demonstrate how the project activity meets the additionality condition described above</t>
  </si>
  <si>
    <t>Methodoloy Deviations</t>
  </si>
  <si>
    <t>Does this project use any methodoloy deviations?</t>
  </si>
  <si>
    <t>Describe and justify any methodology deviations. Include evidence to demonstrate the following:
The deviation will not negatively impact the conservativeness of the quantification of GHG emission reductions or removals.
The deviation relates only to the c</t>
  </si>
  <si>
    <t>Step 3 Investment Analysis</t>
  </si>
  <si>
    <t>Benchmark Analysis</t>
  </si>
  <si>
    <t>Investment Comparison Analysis</t>
  </si>
  <si>
    <t>Common Practice Analysis</t>
  </si>
  <si>
    <t>Barrier Analysis</t>
  </si>
  <si>
    <t>Sourcing Stage</t>
  </si>
  <si>
    <t>Production Stage</t>
  </si>
  <si>
    <t>Application Stage</t>
  </si>
  <si>
    <t>Describe the procedure for quantification of project emissions and/or removals in accordance with the applied methodology. Include all relevant equations, and explain and justify all relevant methodological choices (e.g., with respect to selection of emission factors and default values)</t>
  </si>
  <si>
    <t>baselineSourcingStage</t>
  </si>
  <si>
    <t>baselineProductionStage</t>
  </si>
  <si>
    <t>baselineApplicationStage</t>
  </si>
  <si>
    <t>projectEmissionsSourcingStage</t>
  </si>
  <si>
    <t>projectEmissionsProductionStage</t>
  </si>
  <si>
    <t>Project Emissions Production Facility Type</t>
  </si>
  <si>
    <t>Option P.1: High Technology Production Facility</t>
  </si>
  <si>
    <t>Option P.2: Low Technology Production Facility</t>
  </si>
  <si>
    <t>Describe the rationale for choosing option P.1 for calculating project emissions at production stage</t>
  </si>
  <si>
    <t>Step 1: Estimate organic carbon content of biochar for high technology facilities</t>
  </si>
  <si>
    <t>Step 2: Estimate project emissions for high technology production facilities</t>
  </si>
  <si>
    <t>Determining P_ED,p,y: Emissions associated with pre-treatment of feedstock at production facility p in year y</t>
  </si>
  <si>
    <t>Determining P_EP,p,y: Emissions associated with the thermochemical process (pyrolysis) at production facility p in year y for high technology facilities</t>
  </si>
  <si>
    <t>Determining P_EC,p,y: Emissions due to the utilization of auxiliary energy for the purpose of pyrolysis at production facility p in year y</t>
  </si>
  <si>
    <t>Describe the procedure for quantification</t>
  </si>
  <si>
    <t>Determining E_P,k,y: Emissions associated with processing of biochar for application type k</t>
  </si>
  <si>
    <t>Determining E_ap,k,y: Emissions associated with utilization of biochar for application k</t>
  </si>
  <si>
    <t>Step 1: Estimate organic carbon content of biochar for low technology facilities</t>
  </si>
  <si>
    <t>Describe the rationale for choosing option P.2 for calculating project emissions at production stage</t>
  </si>
  <si>
    <t>Determining F_Cp: Values for organic carbon content per tonne of biochar per production type</t>
  </si>
  <si>
    <t>Step 2: Estimate project emissions for low technology production facilities</t>
  </si>
  <si>
    <t>Determining P_ED,p,y: Emissions associated with the pre-treatment of feedstock at production facility p in year y for low technology facilities</t>
  </si>
  <si>
    <t>Determining P_EP,p,y: Emissions associated with the thermochemical process (pyrolysis) at production facility p in year y for low technology facilities</t>
  </si>
  <si>
    <t>Determining P_EC,p,y: Emissions due to the utilization of auxiliary energy for the purpose of pyrolysis</t>
  </si>
  <si>
    <t>High Technology Production Facility</t>
  </si>
  <si>
    <t>Low Technology Production Facility</t>
  </si>
  <si>
    <t>Describe the procedure for quantification of leakage emissions in accordance with the applied methodology. Include all relevant equations, and explain and justify all relevant methodological choices (e.g., with respect to selection of emission factors and default values)</t>
  </si>
  <si>
    <t>LEas,y:
Leakage due to activity shift in year y (tCO2e). Leakage due to activity shift is zero as use of purposely grown biomass for production of biochar is currently not allowed. *</t>
  </si>
  <si>
    <t>LEbd,y:
Leakage due to biomass diversion in year y(tCO2e). Leakage due to biomass (waste/residue) diversion is considered negligible since only biomass which would have been combusted or left to decay is utilized for biochar production.</t>
  </si>
  <si>
    <t>LEts,y:
Leakage emissions due to transport of waste biomass from sourcing to biochar production facility in year y(tCO2e). As per CDM Tool 16: Project and leakage emissions from biomass, (Available at https://cdm.unfccc.int/methodologies/PAmethodologies/tools/am-tool-16-v4.pdf) GHG emissions must be accounted for only if transportation distance is more than 200 km. Project proponent must use CDM Tool 12: Project and leakage emissions from transportation of freight(Available at https://cdm.unfccc.int/methodologies/PAmethodologies/tools/am-tool-12-v1.1.0.pdf) to calculate 𝐿𝐸𝑡𝑠,𝑦.*</t>
  </si>
  <si>
    <t>LEtap,y:
Leakage emissions from transportation of biochar from the production facility to the site of end application in year y(tCO2e).As per CDM Tool 16: Project and leakage emissions from biomass, GHG emissions must be accounted for only if transportation distance is more than 200 km. Project proponent must use CDM Tool 12: Project and leakage emissions from transportation of freight to calculate LEtap,y.*</t>
  </si>
  <si>
    <t>year</t>
  </si>
  <si>
    <t>leakage_year</t>
  </si>
  <si>
    <t>leakage_activityshift_year</t>
  </si>
  <si>
    <t>leakage_biomassdiversion_year</t>
  </si>
  <si>
    <t>leakage_transportsourcing_year</t>
  </si>
  <si>
    <t>leakage_transportproduction_year</t>
  </si>
  <si>
    <t>Common Practice Analysis Tool</t>
  </si>
  <si>
    <t>Leakage Emissions Table</t>
  </si>
  <si>
    <t>Leakage Emmissions Table</t>
  </si>
  <si>
    <t>Describe the procedure for quantification of net GHG emission reductions and removals. Include all relevant equations.
Provide the ex-ante calculation (estimate) of baseline emissions/removals, project emissions/removals, leakage emissions and net GHG emission reductions and removals in the table below. Specify the breakdown of GHG emissions reductions and removals by calendar year.
For data and parameters monitored, use estimates. Document how each equation is applied, in a manner that enables the reader to reproduce the calculation. Provide example calculations for all key equations, to allow the reader to reproduce the calculation of estimated net GHG emission reductions or removals.
Describe the procedure for quantification</t>
  </si>
  <si>
    <t>Data / Parameter: PE_AS,y</t>
  </si>
  <si>
    <t>Data / Parameter: PR_de,k</t>
  </si>
  <si>
    <t>Data / Parameter:  H:C_org</t>
  </si>
  <si>
    <t>Data / Parameter: M_p,y</t>
  </si>
  <si>
    <t>Data / Parameter: P_EP,p,y</t>
  </si>
  <si>
    <t>Data / Parameter: BE_SS,y</t>
  </si>
  <si>
    <t>Data / Parameter: PE_SS,y</t>
  </si>
  <si>
    <t>Data / Parameter: M_t,k,p,y</t>
  </si>
  <si>
    <t>Data / Parameter: E_ap,t,k,y</t>
  </si>
  <si>
    <t>Data / Parameter: T_prod</t>
  </si>
  <si>
    <t>Data / Parameter: WS_p</t>
  </si>
  <si>
    <t>Data / Parameter: P_ECE,p,y;P_ECF,p,y</t>
  </si>
  <si>
    <t>Data / Parameter: P_EDE,p;P_EDF,p,y</t>
  </si>
  <si>
    <t>Data / Parameter: F_Cp,t,p</t>
  </si>
  <si>
    <t>Data / Parameter: P_EPE,k,y;P_EPF,k,y</t>
  </si>
  <si>
    <t>APPENDIX 2</t>
  </si>
  <si>
    <t>APPENDIX 1</t>
  </si>
  <si>
    <t>Early Action</t>
  </si>
  <si>
    <t>Value applied for F_Cp,t,p</t>
  </si>
  <si>
    <t>F_Cp,t,p</t>
  </si>
  <si>
    <t>Description PE_AS,y: GHG emissions at application stage in year y (tCO2e)</t>
  </si>
  <si>
    <t>Unit: tCO2e</t>
  </si>
  <si>
    <t>Description: Permanence adjustment factor due to decay of biochar (dimensionless) to be defined for application type k</t>
  </si>
  <si>
    <t>Unit: Dimentionless</t>
  </si>
  <si>
    <t>Value applied for PR_de,k</t>
  </si>
  <si>
    <t>Application Type</t>
  </si>
  <si>
    <t>PR_de,k</t>
  </si>
  <si>
    <t>Data / Parameter: Biomass categories and quantities used for selection of the baseline scenario and production of biochar utilized in the project activity</t>
  </si>
  <si>
    <t>Description: 
- Category (e.g., bagasse, rice husks, empty fruit bunches, agricultural waste);
- Source (e.g., produced on-site, obtained from an identified biomass residue producer, obtained from a biomass residue market);
- Fate in the absence of the project activity (see Appendix 2 for detailed procedures);
- Documentation with sustainability criteria compliance for respective category as indicated in Table 1.
Explain and document transparently in the project description which quantities of which biomass categories are used in which installation(s) under the project activity and what their baseline scenario is.
Include the quantity of each category of biomass (tonnes). For selection of the baseline scenario, at validation, an ex-ante estimation of these quantities should be provided.</t>
  </si>
  <si>
    <t>Unit: tonnes (t) on dry basis</t>
  </si>
  <si>
    <t>Description: 
PEPE,k,y: Emissions associated with grid-connected electricity utilized for processing biochar for application type k in year y(tCO2e)
PEPF,k,y: Emissions associated with combustion of fossil fuels utilized for processing of biochar for application type k in year y (tCO2e)</t>
  </si>
  <si>
    <t>Value applied for P_EPE,k,y;P_EPF,k,y</t>
  </si>
  <si>
    <t>P_EPE,k,y</t>
  </si>
  <si>
    <t>P_EPF,k,y</t>
  </si>
  <si>
    <t>Description: Ratio of hydrogen to organic carbonRatio of hydrogen to organic carbon</t>
  </si>
  <si>
    <t>Value applied for H:C_org</t>
  </si>
  <si>
    <t>H:C_org</t>
  </si>
  <si>
    <t>Description: Total mass of biochar on a dry weight basis produced in production facility p in year y (tonnes)</t>
  </si>
  <si>
    <t>Unit: tonnes (t)</t>
  </si>
  <si>
    <t>Value applied for M_p,y</t>
  </si>
  <si>
    <t>M_p,y</t>
  </si>
  <si>
    <t>Description: Emissions associated with the conversion of waste biomass into biochar at production facility p in year y</t>
  </si>
  <si>
    <t>Value applied for P_EP,p,y</t>
  </si>
  <si>
    <t>P_EP,p,y</t>
  </si>
  <si>
    <t>Description: Project emissions at sourcing stage in year y, conservatively assumed to be zero (waste biogenic source material is considered as renewable biomass)</t>
  </si>
  <si>
    <t>Value applied for PE_SS,y</t>
  </si>
  <si>
    <t>PE_SS,y</t>
  </si>
  <si>
    <t>Description: Baseline emissions at sourcing stage in year y, conservatively assumed to be zero (waste biogenic source material is considered as renewable biomass)</t>
  </si>
  <si>
    <t>Value applied for BE_SS,y</t>
  </si>
  <si>
    <t>BE_SS,y</t>
  </si>
  <si>
    <t>Description: Mass on dry weight basis of biochar type t and application type k produced at production facility p in year y</t>
  </si>
  <si>
    <t>M_t,k,p,y</t>
  </si>
  <si>
    <t>Description: Eap,t,k,y: Emissions from utilization of biochar type t for application type k in year y(tCO2e)</t>
  </si>
  <si>
    <t>Value applied for E_ap,t,k,y</t>
  </si>
  <si>
    <t>E_ap,t,k,y</t>
  </si>
  <si>
    <t>Description: Average annual production temperature during pyrolysis</t>
  </si>
  <si>
    <t>degree Celsius (°C)</t>
  </si>
  <si>
    <t>Biochar Type (t)</t>
  </si>
  <si>
    <t>Production Facility (p)</t>
  </si>
  <si>
    <t>T_prod</t>
  </si>
  <si>
    <t>Description: Fraction of total waste heat utilized at biochar production facility p</t>
  </si>
  <si>
    <t>Unit: Percent (%)</t>
  </si>
  <si>
    <t>Value applied for WS_p</t>
  </si>
  <si>
    <t>WS_p</t>
  </si>
  <si>
    <t>Description: 
PECE,p,y: Emissions associated with use of grid-connected electricity utilized for starting the reactor at production facility p in year y(tCO2e)
PECF,p,y: Emissions associated with combustion of fossil fuels utilized for starting the reactor at production facility p in year y(tCO2e)</t>
  </si>
  <si>
    <t>Value applied for P_ECE,p,y;P_ECF,p,y</t>
  </si>
  <si>
    <t>P_ECE,p,y</t>
  </si>
  <si>
    <t>P_ECF,p,y</t>
  </si>
  <si>
    <t>Description:
PEDE,p,y: Emissions associated with use of grid-connected electricity utilized for pre-treatment of waste biomass at production facility p in year y(tCO2e)
PEDF,p,y: Emissions associated with combustion of fossil fuels utilized for pre-treatment of waste biomass at production facility p in year y(tCO2e)</t>
  </si>
  <si>
    <t>Value applied for P_EDE,p;P_EDF,p,y</t>
  </si>
  <si>
    <t>P_EDE,p</t>
  </si>
  <si>
    <t>P_EDF,p,y</t>
  </si>
  <si>
    <t>Value applied for PT_prod</t>
  </si>
  <si>
    <t>Emission Reductions and Removals</t>
  </si>
  <si>
    <t>High Tech</t>
  </si>
  <si>
    <t>monitoring</t>
  </si>
  <si>
    <t>dataAndParametersAvailableAtValidation</t>
  </si>
  <si>
    <t>dataAndParametersMonitored</t>
  </si>
  <si>
    <t>reductionsRemovals</t>
  </si>
  <si>
    <t>Reductions and Removals</t>
  </si>
  <si>
    <t>highTech</t>
  </si>
  <si>
    <t>Baseline emissions at sourcing stage</t>
  </si>
  <si>
    <t>BESS,y</t>
  </si>
  <si>
    <t>BESS,y (tCO2e)</t>
  </si>
  <si>
    <t>t1_baselineEmissionsSourcing</t>
  </si>
  <si>
    <t>t1_year</t>
  </si>
  <si>
    <t>t1_BESS_y</t>
  </si>
  <si>
    <t>t2_year</t>
  </si>
  <si>
    <t>t2_CC_t_k_y</t>
  </si>
  <si>
    <t>t2_projectEmissionsProduction</t>
  </si>
  <si>
    <t>t3_totalOrganicCarbonContentEstimate</t>
  </si>
  <si>
    <t>t3_year</t>
  </si>
  <si>
    <t>t3_biocharType</t>
  </si>
  <si>
    <t>t3_applicationType</t>
  </si>
  <si>
    <t>t3_productionFacility</t>
  </si>
  <si>
    <t>t3_M_t_k_p_y</t>
  </si>
  <si>
    <t>t3_F_Cp_t_p</t>
  </si>
  <si>
    <t>t3_PR_de_k</t>
  </si>
  <si>
    <t>t3_CC_t_k_y</t>
  </si>
  <si>
    <t>t2_PE_PS_t_p_y</t>
  </si>
  <si>
    <t>t2_ER_PS_y</t>
  </si>
  <si>
    <t>t4_projectEmissionsHighTech</t>
  </si>
  <si>
    <t>t4_year</t>
  </si>
  <si>
    <t>t4_PE_D_p_y</t>
  </si>
  <si>
    <t>t4_PE_P_p_y</t>
  </si>
  <si>
    <t>t4_PE_C_p_y</t>
  </si>
  <si>
    <t>t4_M_t_k_p_y</t>
  </si>
  <si>
    <t>t4_M_p_y</t>
  </si>
  <si>
    <t>t4_PE_PS_t_p_y</t>
  </si>
  <si>
    <t>t5_pretreatmentEmissions</t>
  </si>
  <si>
    <t>t5_year</t>
  </si>
  <si>
    <t>t5_PE_DE_p_y</t>
  </si>
  <si>
    <t>t5_PE_DF_p_y</t>
  </si>
  <si>
    <t>t5_PE_D_p_y</t>
  </si>
  <si>
    <t>t6_thermochemicalProcessEmissions</t>
  </si>
  <si>
    <t>t6_year</t>
  </si>
  <si>
    <t>t6_PE_P_p_y</t>
  </si>
  <si>
    <t>t7_auxiliaryEnergyEmissions</t>
  </si>
  <si>
    <t>t7_year</t>
  </si>
  <si>
    <t>t7_PE_CE_p_y</t>
  </si>
  <si>
    <t>t7_PE_CF_p_y</t>
  </si>
  <si>
    <t>t7_PE_C_p_y</t>
  </si>
  <si>
    <t>t8_applicationStageEmissions</t>
  </si>
  <si>
    <t>t8_year</t>
  </si>
  <si>
    <t>t8_E_P_t_k_y</t>
  </si>
  <si>
    <t>t8_E_ap_t_k_y</t>
  </si>
  <si>
    <t>t8_PE_AS_y</t>
  </si>
  <si>
    <t>t9_biocharProcessingEmissions</t>
  </si>
  <si>
    <t>t9_year</t>
  </si>
  <si>
    <t>t9_PE_PE_k_y</t>
  </si>
  <si>
    <t>t9_PE_PF_k_y</t>
  </si>
  <si>
    <t>t9_E_P_k_y</t>
  </si>
  <si>
    <t>t10_biocharUtilizationEmissions</t>
  </si>
  <si>
    <t>t10_year</t>
  </si>
  <si>
    <t>t10_E_ap_k_y</t>
  </si>
  <si>
    <t>t11_leakageEmissions</t>
  </si>
  <si>
    <t>t11_year</t>
  </si>
  <si>
    <t>t11_LE_as_y</t>
  </si>
  <si>
    <t>t11_LE_bd_y</t>
  </si>
  <si>
    <t>t11_LE_ts_y</t>
  </si>
  <si>
    <t>t11_LE_tap_y</t>
  </si>
  <si>
    <t>t11_LE_y</t>
  </si>
  <si>
    <t>t12_emissionReductionsSourcing</t>
  </si>
  <si>
    <t>t12_year</t>
  </si>
  <si>
    <t>t12_BESS_y</t>
  </si>
  <si>
    <t>t12_PE_SS_y</t>
  </si>
  <si>
    <t>t12_ER_SS_y</t>
  </si>
  <si>
    <t>t13_netEmissionReductions</t>
  </si>
  <si>
    <t>t13_year</t>
  </si>
  <si>
    <t>t13_ER_SS_y</t>
  </si>
  <si>
    <t>t13_ER_PS_y</t>
  </si>
  <si>
    <t>t13_PE_AS_y</t>
  </si>
  <si>
    <t>t13_LE_y</t>
  </si>
  <si>
    <t>t13_ER_y</t>
  </si>
  <si>
    <t>t14_baselineEmissionsSourcing</t>
  </si>
  <si>
    <t>t14_year</t>
  </si>
  <si>
    <t>t14_BESS_y</t>
  </si>
  <si>
    <t>t15_projectEmissionsProduction</t>
  </si>
  <si>
    <t>t15_year</t>
  </si>
  <si>
    <t>t15_CC_t_k_y</t>
  </si>
  <si>
    <t>t15_PE_PS_t_p_y</t>
  </si>
  <si>
    <t>t15_ER_PS_y</t>
  </si>
  <si>
    <t>t16_totalOrganicCarbonContentEstimate</t>
  </si>
  <si>
    <t>t16_year</t>
  </si>
  <si>
    <t>t16_biocharType</t>
  </si>
  <si>
    <t>t16_applicationType</t>
  </si>
  <si>
    <t>t16_productionFacility</t>
  </si>
  <si>
    <t>t16_M_t_k_p_y</t>
  </si>
  <si>
    <t>t16_F_Cp_t_p</t>
  </si>
  <si>
    <t>t16_PR_de_k</t>
  </si>
  <si>
    <t>t16_CC_t_k_y</t>
  </si>
  <si>
    <t>t17_projectEmissionsLowTech</t>
  </si>
  <si>
    <t>t17_year</t>
  </si>
  <si>
    <t>t17_PE_D_p_y</t>
  </si>
  <si>
    <t>t17_PE_P_p_y</t>
  </si>
  <si>
    <t>t17_PE_C_p_y</t>
  </si>
  <si>
    <t>t17_M_t_k_p_y</t>
  </si>
  <si>
    <t>t17_M_p_y</t>
  </si>
  <si>
    <t>t17_PE_PS_p_y</t>
  </si>
  <si>
    <t>t18_pretreatmentEmissions</t>
  </si>
  <si>
    <t>t18_year</t>
  </si>
  <si>
    <t>t18_PE_DE_p_y</t>
  </si>
  <si>
    <t>t18_PE_DF_p_y</t>
  </si>
  <si>
    <t>t18_PE_D_p_y</t>
  </si>
  <si>
    <t>t19_thermochemicalProcessEmissions</t>
  </si>
  <si>
    <t>t19_year</t>
  </si>
  <si>
    <t>t19_productionFacility</t>
  </si>
  <si>
    <t>t19_biocharType</t>
  </si>
  <si>
    <t>t19_applicationType</t>
  </si>
  <si>
    <t>t19_Fe</t>
  </si>
  <si>
    <t>t19_GWP_CH4</t>
  </si>
  <si>
    <t>t19_M_t_k_p_y</t>
  </si>
  <si>
    <t>t19_PE_P_p_y</t>
  </si>
  <si>
    <t>t20_auxiliaryEnergyEmissions</t>
  </si>
  <si>
    <t>t20_year</t>
  </si>
  <si>
    <t>t20_PE_CE_p_y</t>
  </si>
  <si>
    <t>t20_PE_CF_p_y</t>
  </si>
  <si>
    <t>t20_PE_C_p_y</t>
  </si>
  <si>
    <t>t21_applicationStageEmissions</t>
  </si>
  <si>
    <t>t21_year</t>
  </si>
  <si>
    <t>t21_E_P_t_k_y</t>
  </si>
  <si>
    <t>t21_E_ap_t_k_y</t>
  </si>
  <si>
    <t>t21_PE_AS_y</t>
  </si>
  <si>
    <t>t22_biocharProcessingEmissions</t>
  </si>
  <si>
    <t>t22_year</t>
  </si>
  <si>
    <t>t22_PE_PE_k_y</t>
  </si>
  <si>
    <t>t22_PE_PF_k_y</t>
  </si>
  <si>
    <t>t22_E_P_k_y</t>
  </si>
  <si>
    <t>t23_biocharUtilizationEmissions</t>
  </si>
  <si>
    <t>t23_year</t>
  </si>
  <si>
    <t>t23_E_ap_k_y</t>
  </si>
  <si>
    <t>t24_leakageEmissions</t>
  </si>
  <si>
    <t>t24_year</t>
  </si>
  <si>
    <t>t24_LE_as_y</t>
  </si>
  <si>
    <t>t24_LE_bd_y</t>
  </si>
  <si>
    <t>t24_LE_ts_y</t>
  </si>
  <si>
    <t>t24_LE_tap_y</t>
  </si>
  <si>
    <t>t24_LE_y</t>
  </si>
  <si>
    <t>t25_emissionReductionsSourcing</t>
  </si>
  <si>
    <t>t25_year</t>
  </si>
  <si>
    <t>t25_BESS_y</t>
  </si>
  <si>
    <t>t25_PE_SS_y</t>
  </si>
  <si>
    <t>t25_ER_SS_y</t>
  </si>
  <si>
    <t>t26_netEmissionReductions</t>
  </si>
  <si>
    <t>t26_year</t>
  </si>
  <si>
    <t>t26_ER_SS_y</t>
  </si>
  <si>
    <t>t26_ER_PS_y</t>
  </si>
  <si>
    <t>t26_PE_AS_y</t>
  </si>
  <si>
    <t>t26_LE_y</t>
  </si>
  <si>
    <t>t26_ER_y</t>
  </si>
  <si>
    <t>Baseline Emissions at sourcing stage</t>
  </si>
  <si>
    <t>Project emissions at production stage</t>
  </si>
  <si>
    <t>Estimation of total organic carbon content on a dry weight basis attributable to the project activity for low Tech facilities</t>
  </si>
  <si>
    <t>Estimation of project emissions (PEPS,p,y) for low technology production facilities</t>
  </si>
  <si>
    <t xml:space="preserve">Determination of emissions associated with pre-treatment of feedstock at low tech production facility p in year y </t>
  </si>
  <si>
    <t>Calculation of emissions associated with the thermochemical process at low tech production facility p in year y</t>
  </si>
  <si>
    <t>Emissions due to the utilization of auxiliary energy for the purpose of pyrolysis at low tech production facility p in year y</t>
  </si>
  <si>
    <t>Emissions associated with processing of biochar for application type k</t>
  </si>
  <si>
    <t xml:space="preserve">Emissions associated with utilization of biochar for application k </t>
  </si>
  <si>
    <t>Leakage emissions</t>
  </si>
  <si>
    <t>Low Tech</t>
  </si>
  <si>
    <t>lowTech</t>
  </si>
  <si>
    <r>
      <t>CC</t>
    </r>
    <r>
      <rPr>
        <vertAlign val="subscript"/>
        <sz val="11"/>
        <color rgb="FF000000"/>
        <rFont val="Calibri"/>
        <family val="2"/>
      </rPr>
      <t>t,k,y</t>
    </r>
  </si>
  <si>
    <r>
      <t>PE</t>
    </r>
    <r>
      <rPr>
        <vertAlign val="subscript"/>
        <sz val="11"/>
        <color theme="1"/>
        <rFont val="Calibri"/>
        <family val="2"/>
        <scheme val="minor"/>
      </rPr>
      <t>PS,t,p,y</t>
    </r>
  </si>
  <si>
    <r>
      <t>ER</t>
    </r>
    <r>
      <rPr>
        <vertAlign val="subscript"/>
        <sz val="11"/>
        <color rgb="FF000000"/>
        <rFont val="Calibri"/>
        <family val="2"/>
      </rPr>
      <t>PS,y</t>
    </r>
  </si>
  <si>
    <t>Application Type (k)</t>
  </si>
  <si>
    <r>
      <t>M</t>
    </r>
    <r>
      <rPr>
        <vertAlign val="subscript"/>
        <sz val="11"/>
        <color theme="1"/>
        <rFont val="Calibri"/>
        <family val="2"/>
        <scheme val="minor"/>
      </rPr>
      <t>t,k,p,y</t>
    </r>
  </si>
  <si>
    <r>
      <rPr>
        <sz val="11"/>
        <color rgb="FF000000"/>
        <rFont val="Calibri"/>
        <family val="2"/>
        <scheme val="minor"/>
      </rPr>
      <t>F</t>
    </r>
    <r>
      <rPr>
        <vertAlign val="subscript"/>
        <sz val="11"/>
        <color rgb="FF000000"/>
        <rFont val="Calibri"/>
        <family val="2"/>
        <scheme val="minor"/>
      </rPr>
      <t>Cp,t,p</t>
    </r>
  </si>
  <si>
    <r>
      <t>PR</t>
    </r>
    <r>
      <rPr>
        <vertAlign val="subscript"/>
        <sz val="11"/>
        <color theme="1"/>
        <rFont val="Calibri"/>
        <family val="2"/>
        <scheme val="minor"/>
      </rPr>
      <t>de,k</t>
    </r>
  </si>
  <si>
    <t>Estimation of project emissions (PEPS,p,y) for high technology production facilities</t>
  </si>
  <si>
    <r>
      <t>CC</t>
    </r>
    <r>
      <rPr>
        <vertAlign val="subscript"/>
        <sz val="11"/>
        <color rgb="FF000000"/>
        <rFont val="Calibri"/>
        <family val="2"/>
      </rPr>
      <t>t,k,y</t>
    </r>
    <r>
      <rPr>
        <sz val="11"/>
        <color rgb="FF000000"/>
        <rFont val="Calibri"/>
        <family val="2"/>
      </rPr>
      <t xml:space="preserve"> (tonnes)</t>
    </r>
  </si>
  <si>
    <r>
      <t>PE</t>
    </r>
    <r>
      <rPr>
        <vertAlign val="subscript"/>
        <sz val="11"/>
        <color theme="1"/>
        <rFont val="Calibri"/>
        <family val="2"/>
        <scheme val="minor"/>
      </rPr>
      <t>PS,t,p,y</t>
    </r>
    <r>
      <rPr>
        <sz val="11"/>
        <color theme="1"/>
        <rFont val="Calibri"/>
        <family val="2"/>
        <scheme val="minor"/>
      </rPr>
      <t xml:space="preserve"> (tCO2e)</t>
    </r>
  </si>
  <si>
    <r>
      <t>ER</t>
    </r>
    <r>
      <rPr>
        <vertAlign val="subscript"/>
        <sz val="11"/>
        <color rgb="FF000000"/>
        <rFont val="Calibri"/>
        <family val="2"/>
      </rPr>
      <t>PS,y</t>
    </r>
    <r>
      <rPr>
        <sz val="11"/>
        <color rgb="FF000000"/>
        <rFont val="Calibri"/>
        <family val="2"/>
      </rPr>
      <t xml:space="preserve"> (tCO2e)</t>
    </r>
  </si>
  <si>
    <t>Net GHG emission reductions and removals</t>
  </si>
  <si>
    <t>Emission reductions at the sourcing stage</t>
  </si>
  <si>
    <t>Emissions associated with utilization of biochar for application k</t>
  </si>
  <si>
    <t>Emissions due to the utilization of auxiliary energy for the purpose of pyrolysis at high tech production facility p in year y</t>
  </si>
  <si>
    <t>Calculation of emissions associated with the thermochemical process at high tech production facility p in year y for high technology facilities</t>
  </si>
  <si>
    <t>Determination of emissions associated with pre-treatment of feedstock at high tech production facility p in year y</t>
  </si>
  <si>
    <t>Estimation of total organic carbon content on a dry weight basis attributable to the project activity for High Tech facilities</t>
  </si>
  <si>
    <t>Project Emissions</t>
  </si>
  <si>
    <t>projectEmissions</t>
  </si>
  <si>
    <t>Baseline Emissions</t>
  </si>
  <si>
    <t>vcsVerificationReport</t>
  </si>
  <si>
    <t>originalDateIssue</t>
  </si>
  <si>
    <t>mostRecentDateIssue</t>
  </si>
  <si>
    <t>prepared</t>
  </si>
  <si>
    <t>approved</t>
  </si>
  <si>
    <t>levelAssurance</t>
  </si>
  <si>
    <t>methodCriteria</t>
  </si>
  <si>
    <t>forwardActionRequests</t>
  </si>
  <si>
    <t>eligibilityValidationActivities</t>
  </si>
  <si>
    <t>methodologyDeviations</t>
  </si>
  <si>
    <t>descriptionDeviations</t>
  </si>
  <si>
    <t>newActivityInstancesGroupedProjects</t>
  </si>
  <si>
    <t>baselineReassessmentValidationSteps</t>
  </si>
  <si>
    <t>doubleCountingParticipationUnderOther</t>
  </si>
  <si>
    <t>noDoubleClaimingEmissionsTrading</t>
  </si>
  <si>
    <t>noDoubleClaimingOtherForms</t>
  </si>
  <si>
    <t>supplyChainScope3Emissions</t>
  </si>
  <si>
    <t>sustainableDevelopmentContributions</t>
  </si>
  <si>
    <t>additionalInformationRelevant</t>
  </si>
  <si>
    <t>legalCustomaryTenureAccessRights</t>
  </si>
  <si>
    <t>stakeholderDiversityChangesOverTime</t>
  </si>
  <si>
    <t>expectedChangesWellBeing</t>
  </si>
  <si>
    <t>ongoingConsultation</t>
  </si>
  <si>
    <t>datesStakeholderConsultation</t>
  </si>
  <si>
    <t>communicationMonitoredResults</t>
  </si>
  <si>
    <t>consultationRecords</t>
  </si>
  <si>
    <t>outcomeFpicDiscussion</t>
  </si>
  <si>
    <t>grievanceReceivedStepsTakenResolve</t>
  </si>
  <si>
    <t>grievanceRedressProcedure</t>
  </si>
  <si>
    <t>commentsReceived</t>
  </si>
  <si>
    <t>evidenceGatheringActivitiesEvidenceChecked</t>
  </si>
  <si>
    <t>risksStakeholderParticipation</t>
  </si>
  <si>
    <t>workingConditions</t>
  </si>
  <si>
    <t>safetyWomenGirls</t>
  </si>
  <si>
    <t>safetyMinorityMarginalizedGroupsIncluding</t>
  </si>
  <si>
    <t>pollutantsAirNoiseDischargesWater</t>
  </si>
  <si>
    <t>sexualHarassment</t>
  </si>
  <si>
    <t>equalPayEqualWork</t>
  </si>
  <si>
    <t>genderEquityLaborWork</t>
  </si>
  <si>
    <t>risksIdentified</t>
  </si>
  <si>
    <t>indigenousPeoplesCulturalHeritage</t>
  </si>
  <si>
    <t>summaryBenefitSharingPlan</t>
  </si>
  <si>
    <t>benefitSharingMonitoringPeriod</t>
  </si>
  <si>
    <t>ecosystemHealth</t>
  </si>
  <si>
    <t>item</t>
  </si>
  <si>
    <t>rareThreatenedEndangeredSpecies</t>
  </si>
  <si>
    <t>speciesHabitat</t>
  </si>
  <si>
    <t>areasNeededHabitatConnectivity</t>
  </si>
  <si>
    <t>habitatsRareThreatenedEndangeredSpecies</t>
  </si>
  <si>
    <t>areasHabitatConnectivity</t>
  </si>
  <si>
    <t>accuracyReductionRemovalCalculations</t>
  </si>
  <si>
    <t>qualityEvidenceDetermineReductionsRemovals</t>
  </si>
  <si>
    <t>nonPermanenceRiskAnalysis</t>
  </si>
  <si>
    <t>verificationSummary</t>
  </si>
  <si>
    <t>verificationConclusion</t>
  </si>
  <si>
    <t>baselineEmissionsTco2e</t>
  </si>
  <si>
    <t>projectEmissionsTco2e</t>
  </si>
  <si>
    <t>leakageEmissionsTco2e</t>
  </si>
  <si>
    <t>reductionVcusTco2e</t>
  </si>
  <si>
    <t>removalVcusTco2e</t>
  </si>
  <si>
    <t>totalVcusTco2e</t>
  </si>
  <si>
    <t>nonPermanenceRiskRatingPercent</t>
  </si>
  <si>
    <t>longTermAverageLtaWhether</t>
  </si>
  <si>
    <t>whetherLossAppropriatelyAccounted</t>
  </si>
  <si>
    <t>bufferPoolAllocationTco2e</t>
  </si>
  <si>
    <t>exAnteVsExPostComparisonSection</t>
  </si>
  <si>
    <t>exAnteEstimatedReductionsRemovals</t>
  </si>
  <si>
    <t>achievedReductionsRemovals</t>
  </si>
  <si>
    <t>percentDifference</t>
  </si>
  <si>
    <t>explanationDifference</t>
  </si>
  <si>
    <t>section</t>
  </si>
  <si>
    <t>information</t>
  </si>
  <si>
    <t>assessmentMethodConclusion</t>
  </si>
  <si>
    <t>titleAppendix</t>
  </si>
  <si>
    <t>appendixDetails</t>
  </si>
  <si>
    <t>documentStartDate</t>
  </si>
  <si>
    <t>documentEndDate</t>
  </si>
  <si>
    <t>baselineReassessmentMonitoring</t>
  </si>
  <si>
    <t>actionsTakenByProponent</t>
  </si>
  <si>
    <t>evidenceSummary</t>
  </si>
  <si>
    <t>speciesIntroducedSubSchema</t>
  </si>
  <si>
    <t>existingInvasiveSpeciesSubSchema</t>
  </si>
  <si>
    <t>invasiveSpeciesSubSchema</t>
  </si>
  <si>
    <t>ecosystemConversionSubSchema</t>
  </si>
  <si>
    <t>verificationPeriodOpinionSubSchema</t>
  </si>
  <si>
    <t>errsAndVcusSubSchema</t>
  </si>
  <si>
    <t>vintagePeriodSubSchema</t>
  </si>
  <si>
    <t>errsAndVcusPermanenceRiskSubSchema</t>
  </si>
  <si>
    <t>exAnteVsExPostComparisonSubSchema</t>
  </si>
  <si>
    <t>appendix1CommerciallySensitiveInformationSubSchema</t>
  </si>
  <si>
    <t>additionalAppendixSubSchema</t>
  </si>
  <si>
    <t>additionalHabitatsConnectivitySubSchema</t>
  </si>
  <si>
    <t>habitatsConnectivitySubSchema</t>
  </si>
  <si>
    <t>speciesHabitatSubSchema</t>
  </si>
  <si>
    <t>ecosystemHealthSubSchema</t>
  </si>
  <si>
    <t>benefitSharingSubSchema</t>
  </si>
  <si>
    <t>propertyRightsSubSchema</t>
  </si>
  <si>
    <t>indigenousPeoplesCulturalHeritageSubSchema</t>
  </si>
  <si>
    <t>humanRightsSubSchema</t>
  </si>
  <si>
    <t>publicCommentsSubSchema</t>
  </si>
  <si>
    <t>verificationPeriodSubSchema</t>
  </si>
  <si>
    <t>certificiationType</t>
  </si>
  <si>
    <t>vcsValidationReport</t>
  </si>
  <si>
    <t>riskNaturalHumanInducedToStakeholders</t>
  </si>
  <si>
    <t>risksNaturalHumanInducedToStakeholders</t>
  </si>
  <si>
    <t>risksWorkingConditions</t>
  </si>
  <si>
    <t>risksSaftyOfFemales</t>
  </si>
  <si>
    <t>risksMarginalizedGroups</t>
  </si>
  <si>
    <t>risksPollutants</t>
  </si>
  <si>
    <t>risksIdentifiedDetails</t>
  </si>
  <si>
    <t>biodiversity</t>
  </si>
  <si>
    <t>soilDegredation</t>
  </si>
  <si>
    <t>water</t>
  </si>
  <si>
    <t>risksEcosystemHealth</t>
  </si>
  <si>
    <t>speciesAndHabitat</t>
  </si>
  <si>
    <t>areasNeededForHabitatConnectivity</t>
  </si>
  <si>
    <t>risksRareThreatened</t>
  </si>
  <si>
    <t>risksSpeciesIntroduced</t>
  </si>
  <si>
    <t>risksSpeciesIntroducedDetails</t>
  </si>
  <si>
    <t>risks</t>
  </si>
  <si>
    <t>risksDetails</t>
  </si>
  <si>
    <t>titleAndReference</t>
  </si>
  <si>
    <t>applicability</t>
  </si>
  <si>
    <t>methodologyId</t>
  </si>
  <si>
    <t>conclusion</t>
  </si>
  <si>
    <t>sectoralScopeProjectType</t>
  </si>
  <si>
    <t>afoluProjectEligibility</t>
  </si>
  <si>
    <t>transferProjectEligibility</t>
  </si>
  <si>
    <t>groupedProjectDesign</t>
  </si>
  <si>
    <t>complianceLawsStatutesOtherRegulatory</t>
  </si>
  <si>
    <t>dateStakeholderConsultation</t>
  </si>
  <si>
    <t>obtainingConsent</t>
  </si>
  <si>
    <t>outcomeFpic</t>
  </si>
  <si>
    <t>commentReceived</t>
  </si>
  <si>
    <t>actionsTaken</t>
  </si>
  <si>
    <t>approvalDisseminationBenefitSharingPlan</t>
  </si>
  <si>
    <t>other3</t>
  </si>
  <si>
    <t>other4</t>
  </si>
  <si>
    <t>introductionSpeciesInvasiveSpecies</t>
  </si>
  <si>
    <t>classification</t>
  </si>
  <si>
    <t>justificationUse</t>
  </si>
  <si>
    <t>adverseEffectsMitigation</t>
  </si>
  <si>
    <t>introductionSpeciesInvasiveSpecies2</t>
  </si>
  <si>
    <t>risksInvasiveSpecies</t>
  </si>
  <si>
    <t>applicable</t>
  </si>
  <si>
    <t>titleReferenceMethodology</t>
  </si>
  <si>
    <t>typeMethodologyToolModule</t>
  </si>
  <si>
    <t>referenceIdApplicable</t>
  </si>
  <si>
    <t>projectBoundary</t>
  </si>
  <si>
    <t>identifyJustifyBaselineScenarioAccordance</t>
  </si>
  <si>
    <t>projectActivityNotPositiveList</t>
  </si>
  <si>
    <t>conditionsPriorToProjectInitiation</t>
  </si>
  <si>
    <t>processUsedToDesignBenefit</t>
  </si>
  <si>
    <t>projectLocatedAdjacentToHabitats</t>
  </si>
  <si>
    <t>mitigationMeasuresToPreventSpread</t>
  </si>
  <si>
    <t>isUnderCreditingRenewal</t>
  </si>
  <si>
    <t>SD VISta</t>
  </si>
  <si>
    <t>vvbId</t>
  </si>
  <si>
    <t>otherEntitiesSubschema</t>
  </si>
  <si>
    <t>evidencePublicStatement</t>
  </si>
  <si>
    <t>risksPollutantsMitigation</t>
  </si>
  <si>
    <t>otherRisks</t>
  </si>
  <si>
    <t>risksFemale</t>
  </si>
  <si>
    <t>risksFemaleMitigation</t>
  </si>
  <si>
    <t>mitigation</t>
  </si>
  <si>
    <t>risksDiscrimination</t>
  </si>
  <si>
    <t>risksDiscriminationMitigation</t>
  </si>
  <si>
    <t>risksSexual</t>
  </si>
  <si>
    <t>risksSexualMitigation</t>
  </si>
  <si>
    <t>risksEqual</t>
  </si>
  <si>
    <t>risksEqualMitigation</t>
  </si>
  <si>
    <t>risksGender</t>
  </si>
  <si>
    <t>risksGenderMitigation</t>
  </si>
  <si>
    <t>risksForced</t>
  </si>
  <si>
    <t>risksForcedMitigation</t>
  </si>
  <si>
    <t>risksChild</t>
  </si>
  <si>
    <t>risksChildMitigation</t>
  </si>
  <si>
    <t>risksHuman</t>
  </si>
  <si>
    <t>risksHumanMitigation</t>
  </si>
  <si>
    <t>risksImpacts</t>
  </si>
  <si>
    <t>risksImpactsMitigation</t>
  </si>
  <si>
    <t>risksSoil</t>
  </si>
  <si>
    <t>risksSoilMitigation</t>
  </si>
  <si>
    <t>risksWater</t>
  </si>
  <si>
    <t>risksWaterMitigation</t>
  </si>
  <si>
    <t>risksHabitats</t>
  </si>
  <si>
    <t>risksHabitatsMitigation</t>
  </si>
  <si>
    <t>risksAreas</t>
  </si>
  <si>
    <t>risksAreasMitigation</t>
  </si>
  <si>
    <t>demonstrateJustifyHow</t>
  </si>
  <si>
    <t>methodologyApplicableWhen</t>
  </si>
  <si>
    <t>methodologyApplicableTo</t>
  </si>
  <si>
    <t>biocharProducersMust</t>
  </si>
  <si>
    <t>feedstockMustBe</t>
  </si>
  <si>
    <t>feedstockMustOtherwise</t>
  </si>
  <si>
    <t>feedstockMustNot</t>
  </si>
  <si>
    <t>feedstockMustMeet</t>
  </si>
  <si>
    <t>biocharMadeFrom</t>
  </si>
  <si>
    <t>wasteBiomassUsed</t>
  </si>
  <si>
    <t>mineralAdditivesSuch</t>
  </si>
  <si>
    <t>otherEvidenceMay</t>
  </si>
  <si>
    <t>biocharEligibleTo</t>
  </si>
  <si>
    <t>biocharEligibleTo2</t>
  </si>
  <si>
    <t>biocharEligibleTo3</t>
  </si>
  <si>
    <t>projectProponentsMust</t>
  </si>
  <si>
    <t>methodologyMustNot</t>
  </si>
  <si>
    <t>biocharMustNot</t>
  </si>
  <si>
    <t>nonSoilApplications</t>
  </si>
  <si>
    <t>risksOther</t>
  </si>
  <si>
    <t>risksOtherMitigation</t>
  </si>
  <si>
    <t>risksMarginalized</t>
  </si>
  <si>
    <t>risksMarginalizedMitigation</t>
  </si>
  <si>
    <t>risksWorkingConditionsMitigation</t>
  </si>
  <si>
    <t>risksStakeholders</t>
  </si>
  <si>
    <t>risksStakeholdersMitigation</t>
  </si>
  <si>
    <t>risksWellbeing</t>
  </si>
  <si>
    <t>risksWellbeingMitigation</t>
  </si>
  <si>
    <t>risksOther2</t>
  </si>
  <si>
    <t>risksOther2Subschema</t>
  </si>
  <si>
    <t>risksOther2Mitigation</t>
  </si>
  <si>
    <t>regulatorySurplus</t>
  </si>
  <si>
    <t>regulatorySurplusDemonstration</t>
  </si>
  <si>
    <t>projectActivityConditions</t>
  </si>
  <si>
    <t>projectActivityConditionsDemonstration</t>
  </si>
  <si>
    <t>isCo2FeedstockJustification</t>
  </si>
  <si>
    <t>isCo2FeedstockIncluded</t>
  </si>
  <si>
    <t>isCo2FeedstockTransportIncluded</t>
  </si>
  <si>
    <t>isCo2FeedstockTransportIncludedJustification</t>
  </si>
  <si>
    <t>isCo2CombustionIncluded</t>
  </si>
  <si>
    <t>isCo2CombustionIncludedJutification</t>
  </si>
  <si>
    <t>Excluded. Waste biomass is considered renewable per eligibility conditions</t>
  </si>
  <si>
    <t>Expected to be de minimis if distance between sourcing sites and production facility is less than 200km. Only CO2 considered as per the provisions of CDM Tool 12.</t>
  </si>
  <si>
    <t>Possible emissions from decay or combustion of biomass in the absence of project activity are excluded. Baseline emissions are assumed to be zero (a conservative assumption).</t>
  </si>
  <si>
    <t>Feedstock transportation included?</t>
  </si>
  <si>
    <t>Feedstock production included?</t>
  </si>
  <si>
    <t>Combustion, aerobic, and anaerobic decomposition of feedstocks Included?</t>
  </si>
  <si>
    <t>isCH4FeedstockIncluded</t>
  </si>
  <si>
    <t>isCH4FeedstockJustification</t>
  </si>
  <si>
    <t>isCH4FeedstockTransportIncluded</t>
  </si>
  <si>
    <t>isCH4FeedstockTransportIncludedJustification</t>
  </si>
  <si>
    <t>isCH4CombustionIncluded</t>
  </si>
  <si>
    <t>isCH4CombustionIncludedJutification</t>
  </si>
  <si>
    <t>Included</t>
  </si>
  <si>
    <t>Excluded</t>
  </si>
  <si>
    <t>IncludedOrExcluded</t>
  </si>
  <si>
    <t>isN2OFeedstockIncluded</t>
  </si>
  <si>
    <t>isN2OFeedstockJustification</t>
  </si>
  <si>
    <t>isN2OFeedstockTransportIncluded</t>
  </si>
  <si>
    <t>isN2OFeedstockTransportIncludedJustification</t>
  </si>
  <si>
    <t>isN2OCombustionIncluded</t>
  </si>
  <si>
    <t>isN2OCombustionIncludedJutification</t>
  </si>
  <si>
    <t>Provide a justification for the inclusion/exclusion of High-carbon fly ash diversion. Expected to be deminimis per 5 percent requirements</t>
  </si>
  <si>
    <t>Provide a justification for the inclusion/exclusion of Energy production and use. If the biochar facility sells electricity to the grid under an existing renewable energy program, project electrical generation that displaces fossil fuel-based electricity should not be counted in the calculations (to avoid double counting)</t>
  </si>
  <si>
    <t>isProjCo2FeedstockIncluded</t>
  </si>
  <si>
    <t>isProjCo2FeedstockIncludedJustification</t>
  </si>
  <si>
    <t>isProjCo2PyrolysisHighIncluded</t>
  </si>
  <si>
    <t>isProjCo2PyrolysisHighIncludedJustification</t>
  </si>
  <si>
    <t>isProjCo2PyrolysisLowIncluded</t>
  </si>
  <si>
    <t>isProjCo2PyrolysisLowIncludedJustification</t>
  </si>
  <si>
    <t>isProjCo2ElecIncluded</t>
  </si>
  <si>
    <t>isProjCo2ElecIncludedJustification</t>
  </si>
  <si>
    <t>isProjCo2PretreatmentIncluded</t>
  </si>
  <si>
    <t>isProjCo2PretreatmentIncludedJustification</t>
  </si>
  <si>
    <t>isProjCo2BiochardIncluded</t>
  </si>
  <si>
    <t>isProjCo2BiochardIncludedJustification</t>
  </si>
  <si>
    <t>isProjCo2BiocharTransportIncluded</t>
  </si>
  <si>
    <t>isProjCo2BiocharTransportIncludedJustification</t>
  </si>
  <si>
    <t>isProjCo2FromHighCarbonFlyIncluded</t>
  </si>
  <si>
    <t>isProjCo2FromHighCarbonFlyIncludedJustification</t>
  </si>
  <si>
    <t>isProjCo2FromEnergyProdIncluded</t>
  </si>
  <si>
    <t>isProjCo2FromEnergyProdIncludedJustificiation</t>
  </si>
  <si>
    <t>isProjCH4FeedstockIncluded</t>
  </si>
  <si>
    <t>isProjCH4FeedstockIncludedJustification</t>
  </si>
  <si>
    <t>isProjCH4PyrolysisHighIncluded</t>
  </si>
  <si>
    <t>isProjCH4PyrolysisHighIncludedJustification</t>
  </si>
  <si>
    <t>isProjCH4PyrolysisLowIncluded</t>
  </si>
  <si>
    <t>isProjCH4PyrolysisLowIncludedJustification</t>
  </si>
  <si>
    <t>isProjCH4ElecIncluded</t>
  </si>
  <si>
    <t>isProjCH4ElecIncludedJustification</t>
  </si>
  <si>
    <t>isProjCH4BiocharTransportIncluded</t>
  </si>
  <si>
    <t>isProjCH4BiocharTransportIncludedJustification</t>
  </si>
  <si>
    <t>isProjCH4PretreatmentIncluded</t>
  </si>
  <si>
    <t>isProjCH4PretreatmentIncludedJustification</t>
  </si>
  <si>
    <t>isProjCH4BiochardIncluded</t>
  </si>
  <si>
    <t>isProjCH4BiochardIncludedJustification</t>
  </si>
  <si>
    <t>isProjCH4FromHighCarbonFlyIncluded</t>
  </si>
  <si>
    <t>isProjCH4FromHighCarbonFlyIncludedJustification</t>
  </si>
  <si>
    <t>isProjCH4FromEnergyProdIncluded</t>
  </si>
  <si>
    <t>isProjCH4FromEnergyProdIncludedJustificiation</t>
  </si>
  <si>
    <t>isProjN2OFeedstockIncluded</t>
  </si>
  <si>
    <t>isProjN2OFeedstockIncludedJustification</t>
  </si>
  <si>
    <t>isProjN2OPyrolysisHighIncluded</t>
  </si>
  <si>
    <t>isProjN2OPyrolysisHighIncludedJustification</t>
  </si>
  <si>
    <t>isProjN2OPyrolysisLowIncluded</t>
  </si>
  <si>
    <t>isProjN2OPyrolysisLowIncludedJustification</t>
  </si>
  <si>
    <t>isProjN2OElecIncluded</t>
  </si>
  <si>
    <t>isProjN2OElecIncludedJustification</t>
  </si>
  <si>
    <t>isProjN2OBiocharTransportIncluded</t>
  </si>
  <si>
    <t>isProjN2OBiocharTransportIncludedJustification</t>
  </si>
  <si>
    <t>isProjN2OPretreatmentIncluded</t>
  </si>
  <si>
    <t>isProjN2OPretreatmentIncludedJustification</t>
  </si>
  <si>
    <t>isProjN2OBiochardIncluded</t>
  </si>
  <si>
    <t>isProjN2OBiochardIncludedJustification</t>
  </si>
  <si>
    <t>isProjN2OFromHighCarbonFlyIncluded</t>
  </si>
  <si>
    <t>isProjN2OFromHighCarbonFlyIncludedJustification</t>
  </si>
  <si>
    <t>isProjN2OFromEnergyProdIncluded</t>
  </si>
  <si>
    <t>isProjN2OFromEnergyProdIncludedJustificiation</t>
  </si>
  <si>
    <t>Justification. Waste biomass is considered renewable per eligibility conditions</t>
  </si>
  <si>
    <t>IncludedOnly</t>
  </si>
  <si>
    <t>ExcludedOnly</t>
  </si>
  <si>
    <t>Original Key</t>
  </si>
  <si>
    <t>vcs_project_description</t>
  </si>
  <si>
    <t>G95</t>
  </si>
  <si>
    <t>G96</t>
  </si>
  <si>
    <t>participationUnderOtherGhcProgramsRadioButton</t>
  </si>
  <si>
    <t>projectsRegisteredRadioButton</t>
  </si>
  <si>
    <t>isApplicableRadioButton</t>
  </si>
  <si>
    <t>G104</t>
  </si>
  <si>
    <t>projectsRejectedRadioButton</t>
  </si>
  <si>
    <t>G107</t>
  </si>
  <si>
    <t>G108</t>
  </si>
  <si>
    <t>doubleClaimingProgramsButton</t>
  </si>
  <si>
    <t>creditRadioButton</t>
  </si>
  <si>
    <t>G114</t>
  </si>
  <si>
    <t>G115</t>
  </si>
  <si>
    <t>G116</t>
  </si>
  <si>
    <t>G125</t>
  </si>
  <si>
    <t>G70</t>
  </si>
  <si>
    <t>G93</t>
  </si>
  <si>
    <t>G105</t>
  </si>
  <si>
    <t>G106</t>
  </si>
  <si>
    <t>G112</t>
  </si>
  <si>
    <t>G118</t>
  </si>
  <si>
    <t>G119</t>
  </si>
  <si>
    <t>G120</t>
  </si>
  <si>
    <t>G122</t>
  </si>
  <si>
    <t>G129</t>
  </si>
  <si>
    <t>G131</t>
  </si>
  <si>
    <t>G134</t>
  </si>
  <si>
    <t>G148</t>
  </si>
  <si>
    <t>G155</t>
  </si>
  <si>
    <t>G157</t>
  </si>
  <si>
    <t>G290</t>
  </si>
  <si>
    <t>G295</t>
  </si>
  <si>
    <t>G296</t>
  </si>
  <si>
    <t>NO_MATCH</t>
  </si>
  <si>
    <t>ppOrgName</t>
  </si>
  <si>
    <t>Country</t>
  </si>
  <si>
    <t>ht_leakageEmissionsSection</t>
  </si>
  <si>
    <t>ht_baselineEmissions</t>
  </si>
  <si>
    <t>ht_emissionReductions</t>
  </si>
  <si>
    <t>lt_leakageEmissions</t>
  </si>
  <si>
    <t>lt_projectEmissions</t>
  </si>
  <si>
    <t>lt_baselineEmissions</t>
  </si>
  <si>
    <t>lt_emissionReductions</t>
  </si>
  <si>
    <t>Baseline Emissions (High Tech)</t>
  </si>
  <si>
    <t>Leakage emissions (High Tech)</t>
  </si>
  <si>
    <t>Emissions Reductions (High Tech)</t>
  </si>
  <si>
    <t>Baseline Emissions (Low Tech)</t>
  </si>
  <si>
    <t>Project Emissions (Low Tech)</t>
  </si>
  <si>
    <t>Baseline Emissions at sourcing stage (Low Tech)</t>
  </si>
  <si>
    <t>Project emissions at production stage (Low Tech)</t>
  </si>
  <si>
    <t>Leakage emissions section (High Tech)</t>
  </si>
  <si>
    <t>Emissions associated with processing of biochar for application type k (low tech)</t>
  </si>
  <si>
    <t>Leakage emissions (low tech)</t>
  </si>
  <si>
    <t>Leakage emissions Section (low tech)</t>
  </si>
  <si>
    <t>Emission Reductions Section (low tech)</t>
  </si>
  <si>
    <t>Emission reductions at the sourcing stage (low tech)</t>
  </si>
  <si>
    <t>GHG emissions at the application stage (low tech)</t>
  </si>
  <si>
    <t>GHG emissions at the application stage (high tech)</t>
  </si>
  <si>
    <t>Data / Parameter: F_Cp,t,p (monitoring)</t>
  </si>
  <si>
    <t>Value applied for F_Cp,t,p (monitoring)</t>
  </si>
  <si>
    <t>Data / Parameter: PE_AS,y (monitoring)</t>
  </si>
  <si>
    <t>Data / Parameter: PR_de,k (monitoring)</t>
  </si>
  <si>
    <t>Value applied for PR_de,k (monitoring)</t>
  </si>
  <si>
    <t>Data / Parameter: Biomass categories and quantities used for selection of the baseline scenario and production of biochar utilized in the project activity (monitoring)</t>
  </si>
  <si>
    <t>Data / Parameter: P_EPE,k,y;P_EPF,k,y (monitoring)</t>
  </si>
  <si>
    <t>Value applied for P_EPE,k,y;P_EPF,k,y (monitoring)</t>
  </si>
  <si>
    <t>Value applied for H:C_org (monitoring)</t>
  </si>
  <si>
    <t>Data / Parameter: M_p,y (monitoring)</t>
  </si>
  <si>
    <t>Value applied for M_p,y (monitoring)</t>
  </si>
  <si>
    <t>Data / Parameter: P_EP,p,y (monitoring)</t>
  </si>
  <si>
    <t>Value applied for P_EP,p,y (monitoring)</t>
  </si>
  <si>
    <t>Data / Parameter: PE_SS,y (monitoring)</t>
  </si>
  <si>
    <t>Value applied for PE_SS,y (monitoring)</t>
  </si>
  <si>
    <t>Data / Parameter: BE_SS,y (monitoring)</t>
  </si>
  <si>
    <t>Value applied for BE_SS,y (monitoring)</t>
  </si>
  <si>
    <t>Data / Parameter: M_t,k,p,y (monitoring)</t>
  </si>
  <si>
    <t>Data / Parameter: E_ap,t,k,y (monitoring)</t>
  </si>
  <si>
    <t>Value applied for E_ap,t,k,y (monitoring)</t>
  </si>
  <si>
    <t>Data / Parameter: T_prod (monitoring)</t>
  </si>
  <si>
    <t>Value applied for PT_prod (monitoring)</t>
  </si>
  <si>
    <t>Data / Parameter: WS_p (monitoring)</t>
  </si>
  <si>
    <t>Value applied for WS_p (monitoring)</t>
  </si>
  <si>
    <t>Data / Parameter: P_ECE,p,y;P_ECF,p,y (monitoring)</t>
  </si>
  <si>
    <t>Value applied for P_ECE,p,y;P_ECF,p,y (monitoring)</t>
  </si>
  <si>
    <t>Data / Parameter: P_EDE,p;P_EDF,p,y (monitoring)</t>
  </si>
  <si>
    <t>Value applied for P_EDE,p;P_EDF,p,y (monitoring)</t>
  </si>
  <si>
    <t>Ecosystem Health (Validation)</t>
  </si>
  <si>
    <t>Species introduced (Validation)</t>
  </si>
  <si>
    <t>Existing invasive species (Validation)</t>
  </si>
  <si>
    <t>Invasive species (Validation)</t>
  </si>
  <si>
    <t>Species and Habitat (Verification)</t>
  </si>
  <si>
    <t>Habitats and Connectivity (Verification)</t>
  </si>
  <si>
    <t>Additional Habitats and Connectivity (Verification)</t>
  </si>
  <si>
    <t>Species introduced (Verification)</t>
  </si>
  <si>
    <t>Existing invasive species (Verification)</t>
  </si>
  <si>
    <t>Invasive species (Verification)</t>
  </si>
  <si>
    <t>Vintage period 1</t>
  </si>
  <si>
    <t>Vintage period 2</t>
  </si>
  <si>
    <t>Vintage period 3</t>
  </si>
  <si>
    <t>Additional Appendix (Verification)</t>
  </si>
  <si>
    <t>6 Appendix (Monitoring)</t>
  </si>
  <si>
    <t>COMMERCIALLY SENSITIVE INFORMATION (Monitoring)</t>
  </si>
  <si>
    <t>REGISTRY (Monitoring)</t>
  </si>
  <si>
    <t>Value applied for M_t,k,p,y (monitoring)</t>
  </si>
  <si>
    <t>Data / Parameter: H:C_org (monitoring)</t>
  </si>
  <si>
    <t>PD Project Proponent</t>
  </si>
  <si>
    <t>projBoundary</t>
  </si>
  <si>
    <t>project</t>
  </si>
  <si>
    <t>3.3 Project Boundary (PD)</t>
  </si>
  <si>
    <t>3.3.3 Project Boundary (Validation Report)</t>
  </si>
  <si>
    <t>biochar_type</t>
  </si>
  <si>
    <t>application_type</t>
  </si>
  <si>
    <t>production_facility</t>
  </si>
  <si>
    <t>valueApplied_M_t,k,p,y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</si>
</sst>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4"/>
      <name val="Calibri"/>
      <family val="2"/>
    </font>
    <font>
      <sz val="11"/>
      <name val="Calibri"/>
      <family val="2"/>
    </font>
    <font>
      <sz val="18"/>
      <color rgb="FF000000"/>
      <name val="Calibri"/>
      <family val="2"/>
    </font>
    <font>
      <sz val="11"/>
      <name val="Calibri"/>
      <family val="2"/>
      <scheme val="minor"/>
    </font>
    <font>
      <b/>
      <sz val="13"/>
      <name val="Calibri"/>
      <family val="2"/>
      <scheme val="minor"/>
    </font>
    <font>
      <sz val="11"/>
      <color theme="1"/>
      <name val="Calibri (Body)"/>
    </font>
    <font>
      <sz val="11"/>
      <color rgb="FF000000"/>
      <name val="Calibri"/>
      <family val="2"/>
      <scheme val="minor"/>
    </font>
    <font>
      <sz val="11"/>
      <color rgb="FF000000"/>
      <name val="Calibri"/>
      <family val="2"/>
    </font>
    <font>
      <u/>
      <sz val="11"/>
      <name val="Calibri"/>
      <family val="2"/>
    </font>
    <font>
      <u/>
      <sz val="11"/>
      <name val="Calibri"/>
      <family val="2"/>
      <scheme val="minor"/>
    </font>
    <font>
      <sz val="18"/>
      <name val="Calibri"/>
      <family val="2"/>
    </font>
    <font>
      <sz val="22"/>
      <name val="Calibri"/>
      <family val="2"/>
    </font>
    <font>
      <sz val="12"/>
      <color rgb="FF000000"/>
      <name val="Calibri"/>
      <family val="2"/>
    </font>
    <font>
      <sz val="11"/>
      <color theme="1"/>
      <name val="Calibri"/>
      <family val="2"/>
      <scheme val="minor"/>
    </font>
    <font>
      <vertAlign val="subscript"/>
      <sz val="11"/>
      <color rgb="FF000000"/>
      <name val="Calibri"/>
      <family val="2"/>
    </font>
    <font>
      <vertAlign val="subscript"/>
      <sz val="11"/>
      <color theme="1"/>
      <name val="Calibri"/>
      <family val="2"/>
      <scheme val="minor"/>
    </font>
    <font>
      <vertAlign val="subscript"/>
      <sz val="11"/>
      <color rgb="FF000000"/>
      <name val="Calibri"/>
      <family val="2"/>
      <scheme val="minor"/>
    </font>
    <font>
      <sz val="12"/>
      <color theme="1"/>
      <name val="Helvetica"/>
      <family val="2"/>
    </font>
  </fonts>
  <fills count="11">
    <fill>
      <patternFill patternType="none"/>
    </fill>
    <fill>
      <patternFill patternType="gray125"/>
    </fill>
    <fill>
      <patternFill patternType="solid">
        <fgColor rgb="FFD8E4BC"/>
      </patternFill>
    </fill>
    <fill>
      <patternFill patternType="solid">
        <fgColor rgb="FFFFFFFF"/>
      </patternFill>
    </fill>
    <fill>
      <patternFill patternType="solid">
        <fgColor rgb="FFFABF8F"/>
      </patternFill>
    </fill>
    <fill>
      <patternFill patternType="solid">
        <fgColor rgb="FFFDE9D9"/>
      </patternFill>
    </fill>
    <fill>
      <patternFill patternType="solid">
        <fgColor rgb="FFF2F2F2"/>
      </patternFill>
    </fill>
    <fill>
      <patternFill patternType="solid">
        <fgColor rgb="FFE2E2E2"/>
      </patternFill>
    </fill>
    <fill>
      <patternFill patternType="solid">
        <fgColor rgb="FFF2F2F2"/>
        <bgColor rgb="FF000000"/>
      </patternFill>
    </fill>
    <fill>
      <patternFill patternType="solid">
        <fgColor theme="5" tint="0.79998168889431442"/>
        <bgColor indexed="64"/>
      </patternFill>
    </fill>
    <fill>
      <patternFill patternType="solid">
        <fgColor theme="6" tint="0.79998168889431442"/>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BBBBBB"/>
      </bottom>
      <diagonal/>
    </border>
    <border>
      <left style="dashed">
        <color rgb="FF888888"/>
      </left>
      <right style="dashed">
        <color rgb="FF888888"/>
      </right>
      <top/>
      <bottom style="thin">
        <color rgb="FFBBBBBB"/>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dashed">
        <color rgb="FF888888"/>
      </right>
      <top/>
      <bottom style="thin">
        <color rgb="FFBBBBBB"/>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dashed">
        <color rgb="FF888888"/>
      </left>
      <right style="dashed">
        <color rgb="FF888888"/>
      </right>
      <top/>
      <bottom/>
      <diagonal/>
    </border>
    <border>
      <left style="dashed">
        <color rgb="FF888888"/>
      </left>
      <right/>
      <top/>
      <bottom style="thin">
        <color rgb="FFBBBBBB"/>
      </bottom>
      <diagonal/>
    </border>
    <border>
      <left style="thin">
        <color rgb="FF000000"/>
      </left>
      <right/>
      <top/>
      <bottom style="thin">
        <color rgb="FF000000"/>
      </bottom>
      <diagonal/>
    </border>
    <border>
      <left/>
      <right/>
      <top/>
      <bottom style="thin">
        <color rgb="FF000000"/>
      </bottom>
      <diagonal/>
    </border>
  </borders>
  <cellStyleXfs count="2">
    <xf numFmtId="0" fontId="0" fillId="0" borderId="0"/>
    <xf numFmtId="0" fontId="14" fillId="0" borderId="0"/>
  </cellStyleXfs>
  <cellXfs count="68">
    <xf numFmtId="0" fontId="0" fillId="0" borderId="0" xfId="0"/>
    <xf numFmtId="0" fontId="1" fillId="2" borderId="1" xfId="0" applyFont="1" applyFill="1" applyBorder="1"/>
    <xf numFmtId="0" fontId="1" fillId="4" borderId="1" xfId="0" applyFont="1" applyFill="1" applyBorder="1"/>
    <xf numFmtId="0" fontId="2" fillId="5" borderId="2" xfId="0" applyFont="1" applyFill="1" applyBorder="1" applyAlignment="1">
      <alignment wrapText="1"/>
    </xf>
    <xf numFmtId="0" fontId="2" fillId="6" borderId="3" xfId="0" applyFont="1" applyFill="1" applyBorder="1" applyAlignment="1">
      <alignment wrapText="1"/>
    </xf>
    <xf numFmtId="0" fontId="2" fillId="7" borderId="3" xfId="0" applyFont="1" applyFill="1" applyBorder="1" applyAlignment="1">
      <alignment wrapText="1"/>
    </xf>
    <xf numFmtId="0" fontId="2" fillId="6" borderId="3" xfId="0" applyFont="1" applyFill="1" applyBorder="1"/>
    <xf numFmtId="0" fontId="3" fillId="6" borderId="3" xfId="0" applyFont="1" applyFill="1" applyBorder="1" applyAlignment="1">
      <alignment wrapText="1"/>
    </xf>
    <xf numFmtId="0" fontId="2" fillId="0" borderId="4" xfId="0" applyFont="1" applyBorder="1" applyAlignment="1">
      <alignment wrapText="1"/>
    </xf>
    <xf numFmtId="0" fontId="1" fillId="4" borderId="1" xfId="0" applyFont="1" applyFill="1" applyBorder="1" applyAlignment="1">
      <alignment vertical="top"/>
    </xf>
    <xf numFmtId="0" fontId="2" fillId="5" borderId="2" xfId="0" applyFont="1" applyFill="1" applyBorder="1" applyAlignment="1">
      <alignment vertical="top" wrapText="1"/>
    </xf>
    <xf numFmtId="0" fontId="2" fillId="7" borderId="3" xfId="0" applyFont="1" applyFill="1" applyBorder="1" applyAlignment="1">
      <alignment vertical="top" wrapText="1"/>
    </xf>
    <xf numFmtId="0" fontId="2" fillId="6" borderId="3" xfId="0" applyFont="1" applyFill="1" applyBorder="1" applyAlignment="1">
      <alignment vertical="top" wrapText="1"/>
    </xf>
    <xf numFmtId="0" fontId="3" fillId="6" borderId="3" xfId="0" applyFont="1" applyFill="1" applyBorder="1" applyAlignment="1">
      <alignment vertical="top" wrapText="1"/>
    </xf>
    <xf numFmtId="0" fontId="2" fillId="6" borderId="6" xfId="0" applyFont="1" applyFill="1" applyBorder="1" applyAlignment="1">
      <alignment vertical="top" wrapText="1"/>
    </xf>
    <xf numFmtId="0" fontId="2" fillId="0" borderId="3" xfId="0" applyFont="1" applyBorder="1" applyAlignment="1">
      <alignment vertical="top" wrapText="1"/>
    </xf>
    <xf numFmtId="0" fontId="0" fillId="0" borderId="0" xfId="0" applyAlignment="1">
      <alignment vertical="top"/>
    </xf>
    <xf numFmtId="0" fontId="2" fillId="0" borderId="3" xfId="0" applyFont="1" applyBorder="1" applyAlignment="1">
      <alignment wrapText="1"/>
    </xf>
    <xf numFmtId="0" fontId="2" fillId="0" borderId="3" xfId="0" applyFont="1" applyBorder="1"/>
    <xf numFmtId="0" fontId="3" fillId="0" borderId="3" xfId="0" applyFont="1" applyBorder="1" applyAlignment="1">
      <alignment vertical="top" wrapText="1"/>
    </xf>
    <xf numFmtId="0" fontId="2" fillId="0" borderId="5" xfId="0" applyFont="1" applyBorder="1" applyAlignment="1">
      <alignment wrapText="1"/>
    </xf>
    <xf numFmtId="0" fontId="4" fillId="0" borderId="0" xfId="0" applyFont="1"/>
    <xf numFmtId="0" fontId="4" fillId="0" borderId="3" xfId="0" applyFont="1" applyBorder="1" applyAlignment="1">
      <alignment wrapText="1"/>
    </xf>
    <xf numFmtId="0" fontId="4" fillId="0" borderId="3" xfId="0" applyFont="1" applyBorder="1" applyAlignment="1">
      <alignment vertical="top" wrapText="1"/>
    </xf>
    <xf numFmtId="0" fontId="2" fillId="3" borderId="7" xfId="0" applyFont="1" applyFill="1" applyBorder="1" applyAlignment="1">
      <alignment wrapText="1"/>
    </xf>
    <xf numFmtId="0" fontId="2" fillId="3" borderId="8" xfId="0" applyFont="1" applyFill="1" applyBorder="1" applyAlignment="1">
      <alignment wrapText="1"/>
    </xf>
    <xf numFmtId="0" fontId="2" fillId="3" borderId="4" xfId="0" applyFont="1" applyFill="1" applyBorder="1" applyAlignment="1">
      <alignment wrapText="1"/>
    </xf>
    <xf numFmtId="0" fontId="5" fillId="0" borderId="1" xfId="0" applyFont="1" applyBorder="1"/>
    <xf numFmtId="0" fontId="5" fillId="0" borderId="4" xfId="0" applyFont="1" applyBorder="1"/>
    <xf numFmtId="0" fontId="4" fillId="0" borderId="9" xfId="0" applyFont="1" applyBorder="1" applyAlignment="1">
      <alignment wrapText="1"/>
    </xf>
    <xf numFmtId="0" fontId="1" fillId="2" borderId="4" xfId="0" applyFont="1" applyFill="1" applyBorder="1"/>
    <xf numFmtId="0" fontId="2" fillId="0" borderId="0" xfId="0" applyFont="1" applyAlignment="1">
      <alignment wrapText="1"/>
    </xf>
    <xf numFmtId="0" fontId="6" fillId="0" borderId="0" xfId="0" applyFont="1"/>
    <xf numFmtId="0" fontId="7" fillId="0" borderId="0" xfId="0" applyFont="1"/>
    <xf numFmtId="0" fontId="8" fillId="6" borderId="3" xfId="0" applyFont="1" applyFill="1" applyBorder="1" applyAlignment="1">
      <alignment vertical="top" wrapText="1"/>
    </xf>
    <xf numFmtId="0" fontId="2" fillId="6" borderId="0" xfId="0" applyFont="1" applyFill="1" applyAlignment="1">
      <alignment wrapText="1"/>
    </xf>
    <xf numFmtId="0" fontId="9" fillId="6" borderId="3" xfId="0" applyFont="1" applyFill="1" applyBorder="1" applyAlignment="1">
      <alignment wrapText="1"/>
    </xf>
    <xf numFmtId="0" fontId="10" fillId="8" borderId="3" xfId="0" applyFont="1" applyFill="1" applyBorder="1" applyAlignment="1">
      <alignment wrapText="1"/>
    </xf>
    <xf numFmtId="0" fontId="2" fillId="9" borderId="3" xfId="0" applyFont="1" applyFill="1" applyBorder="1" applyAlignment="1">
      <alignment wrapText="1"/>
    </xf>
    <xf numFmtId="0" fontId="0" fillId="9" borderId="0" xfId="0" applyFill="1"/>
    <xf numFmtId="0" fontId="1" fillId="2" borderId="1" xfId="0" applyFont="1" applyFill="1" applyBorder="1" applyAlignment="1">
      <alignment horizontal="center"/>
    </xf>
    <xf numFmtId="0" fontId="2" fillId="3" borderId="1" xfId="0" applyFont="1" applyFill="1" applyBorder="1" applyAlignment="1">
      <alignment wrapText="1"/>
    </xf>
    <xf numFmtId="0" fontId="11" fillId="7" borderId="3" xfId="0" applyFont="1" applyFill="1" applyBorder="1" applyAlignment="1">
      <alignment vertical="top" wrapText="1"/>
    </xf>
    <xf numFmtId="0" fontId="12" fillId="7" borderId="3" xfId="0" applyFont="1" applyFill="1" applyBorder="1" applyAlignment="1">
      <alignment vertical="top" wrapText="1"/>
    </xf>
    <xf numFmtId="0" fontId="13" fillId="6" borderId="3" xfId="0" applyFont="1" applyFill="1" applyBorder="1" applyAlignment="1">
      <alignment vertical="top" wrapText="1"/>
    </xf>
    <xf numFmtId="0" fontId="2" fillId="6" borderId="10" xfId="0" applyFont="1" applyFill="1" applyBorder="1" applyAlignment="1">
      <alignment vertical="top"/>
    </xf>
    <xf numFmtId="0" fontId="2" fillId="6" borderId="11" xfId="0" applyFont="1" applyFill="1" applyBorder="1" applyAlignment="1">
      <alignment wrapText="1"/>
    </xf>
    <xf numFmtId="0" fontId="2" fillId="6" borderId="6" xfId="0" applyFont="1" applyFill="1" applyBorder="1" applyAlignment="1">
      <alignment wrapText="1"/>
    </xf>
    <xf numFmtId="0" fontId="2" fillId="0" borderId="0" xfId="0" applyFont="1" applyAlignment="1">
      <alignment vertical="top" wrapText="1"/>
    </xf>
    <xf numFmtId="0" fontId="2" fillId="0" borderId="0" xfId="0" applyFont="1" applyAlignment="1">
      <alignment vertical="top"/>
    </xf>
    <xf numFmtId="0" fontId="2" fillId="10" borderId="3" xfId="0" applyFont="1" applyFill="1" applyBorder="1" applyAlignment="1">
      <alignment vertical="top" wrapText="1"/>
    </xf>
    <xf numFmtId="0" fontId="4" fillId="8" borderId="3" xfId="0" applyFont="1" applyFill="1" applyBorder="1" applyAlignment="1">
      <alignment wrapText="1"/>
    </xf>
    <xf numFmtId="0" fontId="4" fillId="8" borderId="10" xfId="0" applyFont="1" applyFill="1" applyBorder="1" applyAlignment="1">
      <alignment wrapText="1"/>
    </xf>
    <xf numFmtId="0" fontId="4" fillId="8" borderId="0" xfId="0" applyFont="1" applyFill="1" applyAlignment="1">
      <alignment wrapText="1"/>
    </xf>
    <xf numFmtId="0" fontId="2" fillId="10" borderId="3" xfId="0" applyFont="1" applyFill="1" applyBorder="1" applyAlignment="1">
      <alignment wrapText="1"/>
    </xf>
    <xf numFmtId="0" fontId="0" fillId="10" borderId="0" xfId="0" applyFill="1"/>
    <xf numFmtId="0" fontId="2" fillId="6" borderId="10" xfId="0" applyFont="1" applyFill="1" applyBorder="1" applyAlignment="1">
      <alignment wrapText="1"/>
    </xf>
    <xf numFmtId="0" fontId="2" fillId="7" borderId="0" xfId="0" applyFont="1" applyFill="1" applyAlignment="1">
      <alignment wrapText="1"/>
    </xf>
    <xf numFmtId="0" fontId="18" fillId="0" borderId="0" xfId="0" applyFont="1"/>
    <xf numFmtId="0" fontId="3" fillId="0" borderId="3" xfId="0" applyFont="1" applyBorder="1" applyAlignment="1">
      <alignment wrapText="1"/>
    </xf>
    <xf numFmtId="0" fontId="11" fillId="0" borderId="3" xfId="0" applyFont="1" applyBorder="1" applyAlignment="1">
      <alignment vertical="top" wrapText="1"/>
    </xf>
    <xf numFmtId="0" fontId="1" fillId="2" borderId="1" xfId="0" applyFont="1" applyFill="1" applyBorder="1" applyAlignment="1">
      <alignment horizontal="center"/>
    </xf>
    <xf numFmtId="0" fontId="2" fillId="3" borderId="1" xfId="0" applyFont="1" applyFill="1" applyBorder="1" applyAlignment="1">
      <alignment wrapText="1"/>
    </xf>
    <xf numFmtId="0" fontId="1" fillId="2" borderId="13" xfId="0" applyFont="1" applyFill="1" applyBorder="1" applyAlignment="1">
      <alignment horizontal="center"/>
    </xf>
    <xf numFmtId="0" fontId="1" fillId="2" borderId="12" xfId="0" applyFont="1" applyFill="1" applyBorder="1" applyAlignment="1">
      <alignment horizontal="left"/>
    </xf>
    <xf numFmtId="0" fontId="2" fillId="6" borderId="10" xfId="0" applyFont="1" applyFill="1" applyBorder="1" applyAlignment="1">
      <alignment vertical="top" wrapText="1"/>
    </xf>
    <xf numFmtId="0" fontId="2" fillId="0" borderId="10" xfId="0" applyFont="1" applyFill="1" applyBorder="1" applyAlignment="1">
      <alignment wrapText="1"/>
    </xf>
    <xf numFmtId="0" fontId="2" fillId="5" borderId="5" xfId="0" applyFont="1" applyFill="1" applyBorder="1" applyAlignment="1">
      <alignment wrapText="1"/>
    </xf>
  </cellXfs>
  <cellStyles count="2">
    <cellStyle name="Normal" xfId="0" builtinId="0"/>
    <cellStyle name="Normal 2" xfId="1" xr:uid="{5F5A423E-AE7C-4B49-B9F6-83DA6F4855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DD2FEEE-89C0-0B42-9A11-4E5F95D328C8}">
  <we:reference id="wa200009404" version="1.0.0.8" store="en-US" storeType="OMEX"/>
  <we:alternateReferences>
    <we:reference id="WA200009404" version="1.0.0.8" store="" storeType="OMEX"/>
  </we:alternateReferences>
  <we:properties>
    <we:property name="claude.fileId" value="&quot;0de51665-8a54-4ee8-bdbd-29f07c7705d9&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A92CA-2F3C-084E-9308-4C5C8AD06403}">
  <dimension ref="A1:D299"/>
  <sheetViews>
    <sheetView topLeftCell="A12" workbookViewId="0">
      <selection activeCell="A292" sqref="A292"/>
    </sheetView>
  </sheetViews>
  <sheetFormatPr baseColWidth="10" defaultRowHeight="15" x14ac:dyDescent="0.2"/>
  <cols>
    <col min="1" max="1" width="28.1640625" customWidth="1"/>
    <col min="2" max="2" width="14.33203125" bestFit="1" customWidth="1"/>
    <col min="3" max="3" width="106.33203125" customWidth="1"/>
  </cols>
  <sheetData>
    <row r="1" spans="1:3" ht="17" x14ac:dyDescent="0.2">
      <c r="A1" s="27" t="s">
        <v>1309</v>
      </c>
      <c r="B1" s="28" t="s">
        <v>1179</v>
      </c>
      <c r="C1" s="28" t="s">
        <v>1310</v>
      </c>
    </row>
    <row r="2" spans="1:3" ht="16" x14ac:dyDescent="0.2">
      <c r="A2" s="8" t="s">
        <v>75</v>
      </c>
      <c r="B2" t="s">
        <v>15</v>
      </c>
      <c r="C2" s="20" t="s">
        <v>76</v>
      </c>
    </row>
    <row r="3" spans="1:3" ht="16" x14ac:dyDescent="0.2">
      <c r="C3" s="20" t="s">
        <v>1180</v>
      </c>
    </row>
    <row r="4" spans="1:3" ht="16" x14ac:dyDescent="0.2">
      <c r="C4" s="20" t="s">
        <v>1181</v>
      </c>
    </row>
    <row r="5" spans="1:3" ht="16" x14ac:dyDescent="0.2">
      <c r="C5" s="20" t="s">
        <v>1182</v>
      </c>
    </row>
    <row r="6" spans="1:3" ht="16" x14ac:dyDescent="0.2">
      <c r="C6" s="20" t="s">
        <v>1183</v>
      </c>
    </row>
    <row r="7" spans="1:3" ht="16" x14ac:dyDescent="0.2">
      <c r="C7" s="20" t="s">
        <v>1184</v>
      </c>
    </row>
    <row r="8" spans="1:3" ht="16" x14ac:dyDescent="0.2">
      <c r="C8" s="20" t="s">
        <v>1185</v>
      </c>
    </row>
    <row r="9" spans="1:3" ht="16" x14ac:dyDescent="0.2">
      <c r="A9" t="s">
        <v>171</v>
      </c>
      <c r="B9" t="s">
        <v>15</v>
      </c>
      <c r="C9" s="20" t="s">
        <v>21</v>
      </c>
    </row>
    <row r="10" spans="1:3" ht="16" x14ac:dyDescent="0.2">
      <c r="C10" s="20" t="s">
        <v>15</v>
      </c>
    </row>
    <row r="11" spans="1:3" ht="16" x14ac:dyDescent="0.2">
      <c r="A11" t="s">
        <v>1313</v>
      </c>
      <c r="B11" t="s">
        <v>15</v>
      </c>
      <c r="C11" s="29" t="s">
        <v>83</v>
      </c>
    </row>
    <row r="12" spans="1:3" ht="16" x14ac:dyDescent="0.2">
      <c r="A12" s="8" t="s">
        <v>567</v>
      </c>
      <c r="B12" t="s">
        <v>15</v>
      </c>
      <c r="C12" s="20" t="s">
        <v>568</v>
      </c>
    </row>
    <row r="13" spans="1:3" ht="16" x14ac:dyDescent="0.2">
      <c r="C13" s="20" t="s">
        <v>1186</v>
      </c>
    </row>
    <row r="14" spans="1:3" ht="16" x14ac:dyDescent="0.2">
      <c r="C14" s="20" t="s">
        <v>1187</v>
      </c>
    </row>
    <row r="15" spans="1:3" ht="16" x14ac:dyDescent="0.2">
      <c r="C15" s="20" t="s">
        <v>1188</v>
      </c>
    </row>
    <row r="16" spans="1:3" ht="16" x14ac:dyDescent="0.2">
      <c r="C16" s="20" t="s">
        <v>1189</v>
      </c>
    </row>
    <row r="17" spans="1:4" ht="16" x14ac:dyDescent="0.2">
      <c r="C17" s="20" t="s">
        <v>1190</v>
      </c>
    </row>
    <row r="18" spans="1:4" ht="16" x14ac:dyDescent="0.2">
      <c r="C18" s="20" t="s">
        <v>1191</v>
      </c>
    </row>
    <row r="19" spans="1:4" ht="16" x14ac:dyDescent="0.2">
      <c r="C19" s="20" t="s">
        <v>110</v>
      </c>
    </row>
    <row r="20" spans="1:4" ht="16" x14ac:dyDescent="0.2">
      <c r="A20" t="s">
        <v>1314</v>
      </c>
      <c r="B20" t="s">
        <v>15</v>
      </c>
      <c r="C20" s="20" t="s">
        <v>947</v>
      </c>
    </row>
    <row r="21" spans="1:4" ht="16" x14ac:dyDescent="0.2">
      <c r="C21" s="20" t="s">
        <v>1196</v>
      </c>
    </row>
    <row r="22" spans="1:4" ht="16" x14ac:dyDescent="0.2">
      <c r="C22" s="20" t="s">
        <v>1197</v>
      </c>
    </row>
    <row r="23" spans="1:4" ht="16" x14ac:dyDescent="0.2">
      <c r="A23" t="s">
        <v>566</v>
      </c>
      <c r="B23" t="s">
        <v>15</v>
      </c>
      <c r="C23" s="20" t="s">
        <v>965</v>
      </c>
      <c r="D23" s="20"/>
    </row>
    <row r="24" spans="1:4" ht="16" x14ac:dyDescent="0.2">
      <c r="C24" s="20" t="s">
        <v>1198</v>
      </c>
      <c r="D24" s="20"/>
    </row>
    <row r="25" spans="1:4" ht="16" x14ac:dyDescent="0.2">
      <c r="C25" s="20" t="s">
        <v>1199</v>
      </c>
      <c r="D25" s="20"/>
    </row>
    <row r="26" spans="1:4" ht="16" x14ac:dyDescent="0.2">
      <c r="A26" t="s">
        <v>1315</v>
      </c>
      <c r="B26" t="s">
        <v>15</v>
      </c>
      <c r="C26" s="20" t="s">
        <v>976</v>
      </c>
    </row>
    <row r="27" spans="1:4" ht="16" x14ac:dyDescent="0.2">
      <c r="C27" s="20" t="s">
        <v>1200</v>
      </c>
    </row>
    <row r="28" spans="1:4" ht="16" x14ac:dyDescent="0.2">
      <c r="A28" t="s">
        <v>206</v>
      </c>
      <c r="B28" t="s">
        <v>15</v>
      </c>
      <c r="C28" s="20" t="s">
        <v>207</v>
      </c>
    </row>
    <row r="29" spans="1:4" ht="16" x14ac:dyDescent="0.2">
      <c r="C29" s="20" t="s">
        <v>1193</v>
      </c>
    </row>
    <row r="30" spans="1:4" ht="15" customHeight="1" x14ac:dyDescent="0.2">
      <c r="A30" t="s">
        <v>1316</v>
      </c>
      <c r="B30" t="s">
        <v>15</v>
      </c>
      <c r="C30" s="20" t="s">
        <v>981</v>
      </c>
      <c r="D30" s="20"/>
    </row>
    <row r="31" spans="1:4" ht="15" customHeight="1" x14ac:dyDescent="0.2">
      <c r="C31" s="20" t="s">
        <v>220</v>
      </c>
      <c r="D31" s="20"/>
    </row>
    <row r="32" spans="1:4" ht="15" customHeight="1" x14ac:dyDescent="0.2">
      <c r="A32" t="s">
        <v>1317</v>
      </c>
      <c r="B32" t="s">
        <v>15</v>
      </c>
      <c r="C32" s="20" t="s">
        <v>1111</v>
      </c>
      <c r="D32" s="20"/>
    </row>
    <row r="33" spans="1:4" ht="15" customHeight="1" x14ac:dyDescent="0.2">
      <c r="C33" s="20" t="s">
        <v>1202</v>
      </c>
      <c r="D33" s="20"/>
    </row>
    <row r="34" spans="1:4" ht="15" customHeight="1" x14ac:dyDescent="0.2">
      <c r="A34" t="s">
        <v>1318</v>
      </c>
      <c r="B34" t="s">
        <v>15</v>
      </c>
      <c r="C34" s="20" t="s">
        <v>1115</v>
      </c>
      <c r="D34" s="20"/>
    </row>
    <row r="35" spans="1:4" ht="15" customHeight="1" x14ac:dyDescent="0.2">
      <c r="C35" s="20" t="s">
        <v>1203</v>
      </c>
      <c r="D35" s="20"/>
    </row>
    <row r="36" spans="1:4" ht="16" x14ac:dyDescent="0.2">
      <c r="A36" t="s">
        <v>1319</v>
      </c>
      <c r="B36" t="s">
        <v>15</v>
      </c>
      <c r="C36" s="20" t="s">
        <v>1130</v>
      </c>
    </row>
    <row r="37" spans="1:4" ht="16" x14ac:dyDescent="0.2">
      <c r="C37" s="20" t="s">
        <v>1204</v>
      </c>
    </row>
    <row r="38" spans="1:4" ht="16" x14ac:dyDescent="0.2">
      <c r="C38" s="20" t="s">
        <v>1205</v>
      </c>
    </row>
    <row r="39" spans="1:4" ht="16" x14ac:dyDescent="0.2">
      <c r="C39" s="20" t="s">
        <v>1206</v>
      </c>
    </row>
    <row r="40" spans="1:4" ht="16" x14ac:dyDescent="0.2">
      <c r="C40" s="20" t="s">
        <v>1207</v>
      </c>
    </row>
    <row r="41" spans="1:4" ht="16" x14ac:dyDescent="0.2">
      <c r="C41" s="20" t="s">
        <v>530</v>
      </c>
    </row>
    <row r="42" spans="1:4" ht="16" x14ac:dyDescent="0.2">
      <c r="A42" t="s">
        <v>1320</v>
      </c>
      <c r="B42" t="s">
        <v>15</v>
      </c>
      <c r="C42" s="20" t="s">
        <v>518</v>
      </c>
    </row>
    <row r="43" spans="1:4" ht="16" x14ac:dyDescent="0.2">
      <c r="C43" s="20" t="s">
        <v>1192</v>
      </c>
    </row>
    <row r="44" spans="1:4" ht="15" customHeight="1" x14ac:dyDescent="0.2">
      <c r="A44" t="s">
        <v>1321</v>
      </c>
      <c r="B44" t="s">
        <v>15</v>
      </c>
      <c r="C44" s="20" t="s">
        <v>123</v>
      </c>
      <c r="D44" s="20"/>
    </row>
    <row r="45" spans="1:4" ht="15" customHeight="1" x14ac:dyDescent="0.2">
      <c r="C45" s="20" t="s">
        <v>1194</v>
      </c>
      <c r="D45" s="20"/>
    </row>
    <row r="46" spans="1:4" ht="16" x14ac:dyDescent="0.2">
      <c r="A46" t="s">
        <v>1322</v>
      </c>
      <c r="B46" t="s">
        <v>15</v>
      </c>
      <c r="C46" s="31" t="s">
        <v>130</v>
      </c>
    </row>
    <row r="47" spans="1:4" ht="16" x14ac:dyDescent="0.2">
      <c r="C47" s="31" t="s">
        <v>1195</v>
      </c>
    </row>
    <row r="48" spans="1:4" ht="16" x14ac:dyDescent="0.2">
      <c r="C48" s="31" t="s">
        <v>1328</v>
      </c>
    </row>
    <row r="49" spans="1:3" ht="16" x14ac:dyDescent="0.2">
      <c r="C49" s="31" t="s">
        <v>2086</v>
      </c>
    </row>
    <row r="50" spans="1:3" x14ac:dyDescent="0.2">
      <c r="A50" t="s">
        <v>2277</v>
      </c>
      <c r="B50" t="s">
        <v>21</v>
      </c>
      <c r="C50" t="s">
        <v>1339</v>
      </c>
    </row>
    <row r="51" spans="1:3" x14ac:dyDescent="0.2">
      <c r="C51" t="s">
        <v>1340</v>
      </c>
    </row>
    <row r="52" spans="1:3" x14ac:dyDescent="0.2">
      <c r="C52" t="s">
        <v>1341</v>
      </c>
    </row>
    <row r="53" spans="1:3" x14ac:dyDescent="0.2">
      <c r="C53" t="s">
        <v>1342</v>
      </c>
    </row>
    <row r="54" spans="1:3" x14ac:dyDescent="0.2">
      <c r="C54" t="s">
        <v>196</v>
      </c>
    </row>
    <row r="55" spans="1:3" x14ac:dyDescent="0.2">
      <c r="C55" t="s">
        <v>1343</v>
      </c>
    </row>
    <row r="56" spans="1:3" x14ac:dyDescent="0.2">
      <c r="C56" t="s">
        <v>1344</v>
      </c>
    </row>
    <row r="57" spans="1:3" x14ac:dyDescent="0.2">
      <c r="C57" t="s">
        <v>1345</v>
      </c>
    </row>
    <row r="58" spans="1:3" x14ac:dyDescent="0.2">
      <c r="C58" t="s">
        <v>1346</v>
      </c>
    </row>
    <row r="59" spans="1:3" x14ac:dyDescent="0.2">
      <c r="C59" t="s">
        <v>1347</v>
      </c>
    </row>
    <row r="60" spans="1:3" x14ac:dyDescent="0.2">
      <c r="C60" t="s">
        <v>1348</v>
      </c>
    </row>
    <row r="61" spans="1:3" x14ac:dyDescent="0.2">
      <c r="C61" t="s">
        <v>1349</v>
      </c>
    </row>
    <row r="62" spans="1:3" x14ac:dyDescent="0.2">
      <c r="C62" t="s">
        <v>1350</v>
      </c>
    </row>
    <row r="63" spans="1:3" x14ac:dyDescent="0.2">
      <c r="C63" t="s">
        <v>1351</v>
      </c>
    </row>
    <row r="64" spans="1:3" x14ac:dyDescent="0.2">
      <c r="C64" t="s">
        <v>1352</v>
      </c>
    </row>
    <row r="65" spans="3:3" x14ac:dyDescent="0.2">
      <c r="C65" t="s">
        <v>1353</v>
      </c>
    </row>
    <row r="66" spans="3:3" x14ac:dyDescent="0.2">
      <c r="C66" t="s">
        <v>1354</v>
      </c>
    </row>
    <row r="67" spans="3:3" x14ac:dyDescent="0.2">
      <c r="C67" t="s">
        <v>1355</v>
      </c>
    </row>
    <row r="68" spans="3:3" x14ac:dyDescent="0.2">
      <c r="C68" t="s">
        <v>1356</v>
      </c>
    </row>
    <row r="69" spans="3:3" x14ac:dyDescent="0.2">
      <c r="C69" t="s">
        <v>1357</v>
      </c>
    </row>
    <row r="70" spans="3:3" x14ac:dyDescent="0.2">
      <c r="C70" t="s">
        <v>1358</v>
      </c>
    </row>
    <row r="71" spans="3:3" x14ac:dyDescent="0.2">
      <c r="C71" t="s">
        <v>1359</v>
      </c>
    </row>
    <row r="72" spans="3:3" x14ac:dyDescent="0.2">
      <c r="C72" t="s">
        <v>1360</v>
      </c>
    </row>
    <row r="73" spans="3:3" x14ac:dyDescent="0.2">
      <c r="C73" t="s">
        <v>1361</v>
      </c>
    </row>
    <row r="74" spans="3:3" x14ac:dyDescent="0.2">
      <c r="C74" t="s">
        <v>1362</v>
      </c>
    </row>
    <row r="75" spans="3:3" x14ac:dyDescent="0.2">
      <c r="C75" t="s">
        <v>1363</v>
      </c>
    </row>
    <row r="76" spans="3:3" x14ac:dyDescent="0.2">
      <c r="C76" t="s">
        <v>1364</v>
      </c>
    </row>
    <row r="77" spans="3:3" x14ac:dyDescent="0.2">
      <c r="C77" t="s">
        <v>1365</v>
      </c>
    </row>
    <row r="78" spans="3:3" x14ac:dyDescent="0.2">
      <c r="C78" t="s">
        <v>1366</v>
      </c>
    </row>
    <row r="79" spans="3:3" x14ac:dyDescent="0.2">
      <c r="C79" t="s">
        <v>1367</v>
      </c>
    </row>
    <row r="80" spans="3:3" x14ac:dyDescent="0.2">
      <c r="C80" t="s">
        <v>1368</v>
      </c>
    </row>
    <row r="81" spans="3:3" x14ac:dyDescent="0.2">
      <c r="C81" t="s">
        <v>1369</v>
      </c>
    </row>
    <row r="82" spans="3:3" x14ac:dyDescent="0.2">
      <c r="C82" t="s">
        <v>1370</v>
      </c>
    </row>
    <row r="83" spans="3:3" x14ac:dyDescent="0.2">
      <c r="C83" t="s">
        <v>1371</v>
      </c>
    </row>
    <row r="84" spans="3:3" x14ac:dyDescent="0.2">
      <c r="C84" t="s">
        <v>1372</v>
      </c>
    </row>
    <row r="85" spans="3:3" x14ac:dyDescent="0.2">
      <c r="C85" t="s">
        <v>1373</v>
      </c>
    </row>
    <row r="86" spans="3:3" x14ac:dyDescent="0.2">
      <c r="C86" t="s">
        <v>1374</v>
      </c>
    </row>
    <row r="87" spans="3:3" x14ac:dyDescent="0.2">
      <c r="C87" t="s">
        <v>1375</v>
      </c>
    </row>
    <row r="88" spans="3:3" x14ac:dyDescent="0.2">
      <c r="C88" t="s">
        <v>1376</v>
      </c>
    </row>
    <row r="89" spans="3:3" x14ac:dyDescent="0.2">
      <c r="C89" t="s">
        <v>1377</v>
      </c>
    </row>
    <row r="90" spans="3:3" x14ac:dyDescent="0.2">
      <c r="C90" t="s">
        <v>1378</v>
      </c>
    </row>
    <row r="91" spans="3:3" x14ac:dyDescent="0.2">
      <c r="C91" t="s">
        <v>1379</v>
      </c>
    </row>
    <row r="92" spans="3:3" x14ac:dyDescent="0.2">
      <c r="C92" t="s">
        <v>1380</v>
      </c>
    </row>
    <row r="93" spans="3:3" x14ac:dyDescent="0.2">
      <c r="C93" t="s">
        <v>1381</v>
      </c>
    </row>
    <row r="94" spans="3:3" x14ac:dyDescent="0.2">
      <c r="C94" t="s">
        <v>1382</v>
      </c>
    </row>
    <row r="95" spans="3:3" x14ac:dyDescent="0.2">
      <c r="C95" t="s">
        <v>1383</v>
      </c>
    </row>
    <row r="96" spans="3:3" x14ac:dyDescent="0.2">
      <c r="C96" t="s">
        <v>1384</v>
      </c>
    </row>
    <row r="97" spans="3:3" x14ac:dyDescent="0.2">
      <c r="C97" t="s">
        <v>1385</v>
      </c>
    </row>
    <row r="98" spans="3:3" x14ac:dyDescent="0.2">
      <c r="C98" t="s">
        <v>1386</v>
      </c>
    </row>
    <row r="99" spans="3:3" x14ac:dyDescent="0.2">
      <c r="C99" t="s">
        <v>1387</v>
      </c>
    </row>
    <row r="100" spans="3:3" x14ac:dyDescent="0.2">
      <c r="C100" t="s">
        <v>1388</v>
      </c>
    </row>
    <row r="101" spans="3:3" x14ac:dyDescent="0.2">
      <c r="C101" t="s">
        <v>1389</v>
      </c>
    </row>
    <row r="102" spans="3:3" x14ac:dyDescent="0.2">
      <c r="C102" t="s">
        <v>1390</v>
      </c>
    </row>
    <row r="103" spans="3:3" x14ac:dyDescent="0.2">
      <c r="C103" t="s">
        <v>1391</v>
      </c>
    </row>
    <row r="104" spans="3:3" x14ac:dyDescent="0.2">
      <c r="C104" t="s">
        <v>1392</v>
      </c>
    </row>
    <row r="105" spans="3:3" x14ac:dyDescent="0.2">
      <c r="C105" t="s">
        <v>1393</v>
      </c>
    </row>
    <row r="106" spans="3:3" x14ac:dyDescent="0.2">
      <c r="C106" t="s">
        <v>1394</v>
      </c>
    </row>
    <row r="107" spans="3:3" x14ac:dyDescent="0.2">
      <c r="C107" t="s">
        <v>1395</v>
      </c>
    </row>
    <row r="108" spans="3:3" x14ac:dyDescent="0.2">
      <c r="C108" t="s">
        <v>1396</v>
      </c>
    </row>
    <row r="109" spans="3:3" x14ac:dyDescent="0.2">
      <c r="C109" t="s">
        <v>1397</v>
      </c>
    </row>
    <row r="110" spans="3:3" x14ac:dyDescent="0.2">
      <c r="C110" t="s">
        <v>1398</v>
      </c>
    </row>
    <row r="111" spans="3:3" x14ac:dyDescent="0.2">
      <c r="C111" t="s">
        <v>1399</v>
      </c>
    </row>
    <row r="112" spans="3:3" x14ac:dyDescent="0.2">
      <c r="C112" t="s">
        <v>1400</v>
      </c>
    </row>
    <row r="113" spans="3:3" x14ac:dyDescent="0.2">
      <c r="C113" t="s">
        <v>1401</v>
      </c>
    </row>
    <row r="114" spans="3:3" x14ac:dyDescent="0.2">
      <c r="C114" t="s">
        <v>1402</v>
      </c>
    </row>
    <row r="115" spans="3:3" x14ac:dyDescent="0.2">
      <c r="C115" t="s">
        <v>1403</v>
      </c>
    </row>
    <row r="116" spans="3:3" x14ac:dyDescent="0.2">
      <c r="C116" t="s">
        <v>1404</v>
      </c>
    </row>
    <row r="117" spans="3:3" x14ac:dyDescent="0.2">
      <c r="C117" t="s">
        <v>1405</v>
      </c>
    </row>
    <row r="118" spans="3:3" x14ac:dyDescent="0.2">
      <c r="C118" t="s">
        <v>1406</v>
      </c>
    </row>
    <row r="119" spans="3:3" x14ac:dyDescent="0.2">
      <c r="C119" t="s">
        <v>1407</v>
      </c>
    </row>
    <row r="120" spans="3:3" x14ac:dyDescent="0.2">
      <c r="C120" t="s">
        <v>1408</v>
      </c>
    </row>
    <row r="121" spans="3:3" x14ac:dyDescent="0.2">
      <c r="C121" t="s">
        <v>1409</v>
      </c>
    </row>
    <row r="122" spans="3:3" x14ac:dyDescent="0.2">
      <c r="C122" t="s">
        <v>1410</v>
      </c>
    </row>
    <row r="123" spans="3:3" x14ac:dyDescent="0.2">
      <c r="C123" t="s">
        <v>1411</v>
      </c>
    </row>
    <row r="124" spans="3:3" x14ac:dyDescent="0.2">
      <c r="C124" t="s">
        <v>1412</v>
      </c>
    </row>
    <row r="125" spans="3:3" x14ac:dyDescent="0.2">
      <c r="C125" t="s">
        <v>1413</v>
      </c>
    </row>
    <row r="126" spans="3:3" x14ac:dyDescent="0.2">
      <c r="C126" t="s">
        <v>1414</v>
      </c>
    </row>
    <row r="127" spans="3:3" x14ac:dyDescent="0.2">
      <c r="C127" t="s">
        <v>1415</v>
      </c>
    </row>
    <row r="128" spans="3:3" x14ac:dyDescent="0.2">
      <c r="C128" t="s">
        <v>1416</v>
      </c>
    </row>
    <row r="129" spans="3:3" x14ac:dyDescent="0.2">
      <c r="C129" t="s">
        <v>1417</v>
      </c>
    </row>
    <row r="130" spans="3:3" x14ac:dyDescent="0.2">
      <c r="C130" t="s">
        <v>1418</v>
      </c>
    </row>
    <row r="131" spans="3:3" x14ac:dyDescent="0.2">
      <c r="C131" t="s">
        <v>1419</v>
      </c>
    </row>
    <row r="132" spans="3:3" x14ac:dyDescent="0.2">
      <c r="C132" t="s">
        <v>1420</v>
      </c>
    </row>
    <row r="133" spans="3:3" x14ac:dyDescent="0.2">
      <c r="C133" t="s">
        <v>1421</v>
      </c>
    </row>
    <row r="134" spans="3:3" x14ac:dyDescent="0.2">
      <c r="C134" t="s">
        <v>1422</v>
      </c>
    </row>
    <row r="135" spans="3:3" x14ac:dyDescent="0.2">
      <c r="C135" t="s">
        <v>1423</v>
      </c>
    </row>
    <row r="136" spans="3:3" x14ac:dyDescent="0.2">
      <c r="C136" t="s">
        <v>1424</v>
      </c>
    </row>
    <row r="137" spans="3:3" x14ac:dyDescent="0.2">
      <c r="C137" t="s">
        <v>1425</v>
      </c>
    </row>
    <row r="138" spans="3:3" x14ac:dyDescent="0.2">
      <c r="C138" t="s">
        <v>1426</v>
      </c>
    </row>
    <row r="139" spans="3:3" x14ac:dyDescent="0.2">
      <c r="C139" t="s">
        <v>1427</v>
      </c>
    </row>
    <row r="140" spans="3:3" x14ac:dyDescent="0.2">
      <c r="C140" t="s">
        <v>1428</v>
      </c>
    </row>
    <row r="141" spans="3:3" x14ac:dyDescent="0.2">
      <c r="C141" t="s">
        <v>1429</v>
      </c>
    </row>
    <row r="142" spans="3:3" x14ac:dyDescent="0.2">
      <c r="C142" t="s">
        <v>1430</v>
      </c>
    </row>
    <row r="143" spans="3:3" x14ac:dyDescent="0.2">
      <c r="C143" t="s">
        <v>1431</v>
      </c>
    </row>
    <row r="144" spans="3:3" x14ac:dyDescent="0.2">
      <c r="C144" t="s">
        <v>1432</v>
      </c>
    </row>
    <row r="145" spans="3:3" x14ac:dyDescent="0.2">
      <c r="C145" t="s">
        <v>1433</v>
      </c>
    </row>
    <row r="146" spans="3:3" x14ac:dyDescent="0.2">
      <c r="C146" t="s">
        <v>1434</v>
      </c>
    </row>
    <row r="147" spans="3:3" x14ac:dyDescent="0.2">
      <c r="C147" t="s">
        <v>1435</v>
      </c>
    </row>
    <row r="148" spans="3:3" x14ac:dyDescent="0.2">
      <c r="C148" t="s">
        <v>1436</v>
      </c>
    </row>
    <row r="149" spans="3:3" x14ac:dyDescent="0.2">
      <c r="C149" t="s">
        <v>1437</v>
      </c>
    </row>
    <row r="150" spans="3:3" x14ac:dyDescent="0.2">
      <c r="C150" t="s">
        <v>1438</v>
      </c>
    </row>
    <row r="151" spans="3:3" x14ac:dyDescent="0.2">
      <c r="C151" t="s">
        <v>1439</v>
      </c>
    </row>
    <row r="152" spans="3:3" x14ac:dyDescent="0.2">
      <c r="C152" t="s">
        <v>1440</v>
      </c>
    </row>
    <row r="153" spans="3:3" x14ac:dyDescent="0.2">
      <c r="C153" t="s">
        <v>1441</v>
      </c>
    </row>
    <row r="154" spans="3:3" x14ac:dyDescent="0.2">
      <c r="C154" t="s">
        <v>1442</v>
      </c>
    </row>
    <row r="155" spans="3:3" x14ac:dyDescent="0.2">
      <c r="C155" t="s">
        <v>1443</v>
      </c>
    </row>
    <row r="156" spans="3:3" x14ac:dyDescent="0.2">
      <c r="C156" t="s">
        <v>1444</v>
      </c>
    </row>
    <row r="157" spans="3:3" x14ac:dyDescent="0.2">
      <c r="C157" t="s">
        <v>1445</v>
      </c>
    </row>
    <row r="158" spans="3:3" x14ac:dyDescent="0.2">
      <c r="C158" t="s">
        <v>1446</v>
      </c>
    </row>
    <row r="159" spans="3:3" x14ac:dyDescent="0.2">
      <c r="C159" t="s">
        <v>1447</v>
      </c>
    </row>
    <row r="160" spans="3:3" x14ac:dyDescent="0.2">
      <c r="C160" t="s">
        <v>1448</v>
      </c>
    </row>
    <row r="161" spans="3:3" x14ac:dyDescent="0.2">
      <c r="C161" t="s">
        <v>1449</v>
      </c>
    </row>
    <row r="162" spans="3:3" x14ac:dyDescent="0.2">
      <c r="C162" t="s">
        <v>1450</v>
      </c>
    </row>
    <row r="163" spans="3:3" x14ac:dyDescent="0.2">
      <c r="C163" t="s">
        <v>1451</v>
      </c>
    </row>
    <row r="164" spans="3:3" x14ac:dyDescent="0.2">
      <c r="C164" t="s">
        <v>1452</v>
      </c>
    </row>
    <row r="165" spans="3:3" x14ac:dyDescent="0.2">
      <c r="C165" t="s">
        <v>1453</v>
      </c>
    </row>
    <row r="166" spans="3:3" x14ac:dyDescent="0.2">
      <c r="C166" t="s">
        <v>1454</v>
      </c>
    </row>
    <row r="167" spans="3:3" x14ac:dyDescent="0.2">
      <c r="C167" t="s">
        <v>1455</v>
      </c>
    </row>
    <row r="168" spans="3:3" x14ac:dyDescent="0.2">
      <c r="C168" t="s">
        <v>1456</v>
      </c>
    </row>
    <row r="169" spans="3:3" x14ac:dyDescent="0.2">
      <c r="C169" t="s">
        <v>1457</v>
      </c>
    </row>
    <row r="170" spans="3:3" x14ac:dyDescent="0.2">
      <c r="C170" t="s">
        <v>1458</v>
      </c>
    </row>
    <row r="171" spans="3:3" x14ac:dyDescent="0.2">
      <c r="C171" t="s">
        <v>1459</v>
      </c>
    </row>
    <row r="172" spans="3:3" x14ac:dyDescent="0.2">
      <c r="C172" t="s">
        <v>1460</v>
      </c>
    </row>
    <row r="173" spans="3:3" x14ac:dyDescent="0.2">
      <c r="C173" t="s">
        <v>1461</v>
      </c>
    </row>
    <row r="174" spans="3:3" x14ac:dyDescent="0.2">
      <c r="C174" t="s">
        <v>1462</v>
      </c>
    </row>
    <row r="175" spans="3:3" x14ac:dyDescent="0.2">
      <c r="C175" t="s">
        <v>1463</v>
      </c>
    </row>
    <row r="176" spans="3:3" x14ac:dyDescent="0.2">
      <c r="C176" t="s">
        <v>1464</v>
      </c>
    </row>
    <row r="177" spans="3:3" x14ac:dyDescent="0.2">
      <c r="C177" t="s">
        <v>1465</v>
      </c>
    </row>
    <row r="178" spans="3:3" x14ac:dyDescent="0.2">
      <c r="C178" t="s">
        <v>1466</v>
      </c>
    </row>
    <row r="179" spans="3:3" x14ac:dyDescent="0.2">
      <c r="C179" t="s">
        <v>1467</v>
      </c>
    </row>
    <row r="180" spans="3:3" x14ac:dyDescent="0.2">
      <c r="C180" t="s">
        <v>1468</v>
      </c>
    </row>
    <row r="181" spans="3:3" x14ac:dyDescent="0.2">
      <c r="C181" t="s">
        <v>1469</v>
      </c>
    </row>
    <row r="182" spans="3:3" x14ac:dyDescent="0.2">
      <c r="C182" t="s">
        <v>1470</v>
      </c>
    </row>
    <row r="183" spans="3:3" x14ac:dyDescent="0.2">
      <c r="C183" t="s">
        <v>1471</v>
      </c>
    </row>
    <row r="184" spans="3:3" x14ac:dyDescent="0.2">
      <c r="C184" t="s">
        <v>1472</v>
      </c>
    </row>
    <row r="185" spans="3:3" x14ac:dyDescent="0.2">
      <c r="C185" t="s">
        <v>1473</v>
      </c>
    </row>
    <row r="186" spans="3:3" x14ac:dyDescent="0.2">
      <c r="C186" t="s">
        <v>1474</v>
      </c>
    </row>
    <row r="187" spans="3:3" x14ac:dyDescent="0.2">
      <c r="C187" t="s">
        <v>1475</v>
      </c>
    </row>
    <row r="188" spans="3:3" x14ac:dyDescent="0.2">
      <c r="C188" t="s">
        <v>1476</v>
      </c>
    </row>
    <row r="189" spans="3:3" x14ac:dyDescent="0.2">
      <c r="C189" t="s">
        <v>1477</v>
      </c>
    </row>
    <row r="190" spans="3:3" x14ac:dyDescent="0.2">
      <c r="C190" t="s">
        <v>1478</v>
      </c>
    </row>
    <row r="191" spans="3:3" x14ac:dyDescent="0.2">
      <c r="C191" t="s">
        <v>1479</v>
      </c>
    </row>
    <row r="192" spans="3:3" x14ac:dyDescent="0.2">
      <c r="C192" t="s">
        <v>1480</v>
      </c>
    </row>
    <row r="193" spans="3:3" x14ac:dyDescent="0.2">
      <c r="C193" t="s">
        <v>1481</v>
      </c>
    </row>
    <row r="194" spans="3:3" x14ac:dyDescent="0.2">
      <c r="C194" t="s">
        <v>1482</v>
      </c>
    </row>
    <row r="195" spans="3:3" x14ac:dyDescent="0.2">
      <c r="C195" t="s">
        <v>1483</v>
      </c>
    </row>
    <row r="196" spans="3:3" x14ac:dyDescent="0.2">
      <c r="C196" t="s">
        <v>1484</v>
      </c>
    </row>
    <row r="197" spans="3:3" x14ac:dyDescent="0.2">
      <c r="C197" t="s">
        <v>1485</v>
      </c>
    </row>
    <row r="198" spans="3:3" x14ac:dyDescent="0.2">
      <c r="C198" t="s">
        <v>1486</v>
      </c>
    </row>
    <row r="199" spans="3:3" x14ac:dyDescent="0.2">
      <c r="C199" t="s">
        <v>1487</v>
      </c>
    </row>
    <row r="200" spans="3:3" x14ac:dyDescent="0.2">
      <c r="C200" t="s">
        <v>1488</v>
      </c>
    </row>
    <row r="201" spans="3:3" x14ac:dyDescent="0.2">
      <c r="C201" t="s">
        <v>1489</v>
      </c>
    </row>
    <row r="202" spans="3:3" x14ac:dyDescent="0.2">
      <c r="C202" t="s">
        <v>1490</v>
      </c>
    </row>
    <row r="203" spans="3:3" x14ac:dyDescent="0.2">
      <c r="C203" t="s">
        <v>1491</v>
      </c>
    </row>
    <row r="204" spans="3:3" x14ac:dyDescent="0.2">
      <c r="C204" t="s">
        <v>1492</v>
      </c>
    </row>
    <row r="205" spans="3:3" x14ac:dyDescent="0.2">
      <c r="C205" t="s">
        <v>1493</v>
      </c>
    </row>
    <row r="206" spans="3:3" x14ac:dyDescent="0.2">
      <c r="C206" t="s">
        <v>1494</v>
      </c>
    </row>
    <row r="207" spans="3:3" x14ac:dyDescent="0.2">
      <c r="C207" t="s">
        <v>1495</v>
      </c>
    </row>
    <row r="208" spans="3:3" x14ac:dyDescent="0.2">
      <c r="C208" t="s">
        <v>1496</v>
      </c>
    </row>
    <row r="209" spans="3:3" x14ac:dyDescent="0.2">
      <c r="C209" t="s">
        <v>1497</v>
      </c>
    </row>
    <row r="210" spans="3:3" x14ac:dyDescent="0.2">
      <c r="C210" t="s">
        <v>1498</v>
      </c>
    </row>
    <row r="211" spans="3:3" x14ac:dyDescent="0.2">
      <c r="C211" t="s">
        <v>1499</v>
      </c>
    </row>
    <row r="212" spans="3:3" x14ac:dyDescent="0.2">
      <c r="C212" t="s">
        <v>1500</v>
      </c>
    </row>
    <row r="213" spans="3:3" x14ac:dyDescent="0.2">
      <c r="C213" t="s">
        <v>1501</v>
      </c>
    </row>
    <row r="214" spans="3:3" x14ac:dyDescent="0.2">
      <c r="C214" t="s">
        <v>1502</v>
      </c>
    </row>
    <row r="215" spans="3:3" x14ac:dyDescent="0.2">
      <c r="C215" t="s">
        <v>1503</v>
      </c>
    </row>
    <row r="216" spans="3:3" x14ac:dyDescent="0.2">
      <c r="C216" t="s">
        <v>1504</v>
      </c>
    </row>
    <row r="217" spans="3:3" x14ac:dyDescent="0.2">
      <c r="C217" t="s">
        <v>1505</v>
      </c>
    </row>
    <row r="218" spans="3:3" x14ac:dyDescent="0.2">
      <c r="C218" t="s">
        <v>1506</v>
      </c>
    </row>
    <row r="219" spans="3:3" x14ac:dyDescent="0.2">
      <c r="C219" t="s">
        <v>1507</v>
      </c>
    </row>
    <row r="220" spans="3:3" x14ac:dyDescent="0.2">
      <c r="C220" t="s">
        <v>1508</v>
      </c>
    </row>
    <row r="221" spans="3:3" x14ac:dyDescent="0.2">
      <c r="C221" t="s">
        <v>1509</v>
      </c>
    </row>
    <row r="222" spans="3:3" x14ac:dyDescent="0.2">
      <c r="C222" t="s">
        <v>1510</v>
      </c>
    </row>
    <row r="223" spans="3:3" x14ac:dyDescent="0.2">
      <c r="C223" t="s">
        <v>1511</v>
      </c>
    </row>
    <row r="224" spans="3:3" x14ac:dyDescent="0.2">
      <c r="C224" t="s">
        <v>1512</v>
      </c>
    </row>
    <row r="225" spans="3:3" x14ac:dyDescent="0.2">
      <c r="C225" t="s">
        <v>1513</v>
      </c>
    </row>
    <row r="226" spans="3:3" x14ac:dyDescent="0.2">
      <c r="C226" t="s">
        <v>1514</v>
      </c>
    </row>
    <row r="227" spans="3:3" x14ac:dyDescent="0.2">
      <c r="C227" t="s">
        <v>1515</v>
      </c>
    </row>
    <row r="228" spans="3:3" x14ac:dyDescent="0.2">
      <c r="C228" t="s">
        <v>1516</v>
      </c>
    </row>
    <row r="229" spans="3:3" x14ac:dyDescent="0.2">
      <c r="C229" t="s">
        <v>1517</v>
      </c>
    </row>
    <row r="230" spans="3:3" x14ac:dyDescent="0.2">
      <c r="C230" t="s">
        <v>1518</v>
      </c>
    </row>
    <row r="231" spans="3:3" x14ac:dyDescent="0.2">
      <c r="C231" t="s">
        <v>1519</v>
      </c>
    </row>
    <row r="232" spans="3:3" x14ac:dyDescent="0.2">
      <c r="C232" t="s">
        <v>1520</v>
      </c>
    </row>
    <row r="233" spans="3:3" x14ac:dyDescent="0.2">
      <c r="C233" t="s">
        <v>1521</v>
      </c>
    </row>
    <row r="234" spans="3:3" x14ac:dyDescent="0.2">
      <c r="C234" t="s">
        <v>1522</v>
      </c>
    </row>
    <row r="235" spans="3:3" x14ac:dyDescent="0.2">
      <c r="C235" t="s">
        <v>1523</v>
      </c>
    </row>
    <row r="236" spans="3:3" x14ac:dyDescent="0.2">
      <c r="C236" t="s">
        <v>1524</v>
      </c>
    </row>
    <row r="237" spans="3:3" x14ac:dyDescent="0.2">
      <c r="C237" t="s">
        <v>1525</v>
      </c>
    </row>
    <row r="238" spans="3:3" x14ac:dyDescent="0.2">
      <c r="C238" t="s">
        <v>1526</v>
      </c>
    </row>
    <row r="239" spans="3:3" x14ac:dyDescent="0.2">
      <c r="C239" t="s">
        <v>1527</v>
      </c>
    </row>
    <row r="240" spans="3:3" x14ac:dyDescent="0.2">
      <c r="C240" t="s">
        <v>1528</v>
      </c>
    </row>
    <row r="241" spans="3:3" x14ac:dyDescent="0.2">
      <c r="C241" t="s">
        <v>1529</v>
      </c>
    </row>
    <row r="242" spans="3:3" x14ac:dyDescent="0.2">
      <c r="C242" t="s">
        <v>1530</v>
      </c>
    </row>
    <row r="243" spans="3:3" x14ac:dyDescent="0.2">
      <c r="C243" t="s">
        <v>1531</v>
      </c>
    </row>
    <row r="244" spans="3:3" x14ac:dyDescent="0.2">
      <c r="C244" t="s">
        <v>1532</v>
      </c>
    </row>
    <row r="245" spans="3:3" x14ac:dyDescent="0.2">
      <c r="C245" t="s">
        <v>1533</v>
      </c>
    </row>
    <row r="246" spans="3:3" x14ac:dyDescent="0.2">
      <c r="C246" t="s">
        <v>1534</v>
      </c>
    </row>
    <row r="247" spans="3:3" x14ac:dyDescent="0.2">
      <c r="C247" t="s">
        <v>1535</v>
      </c>
    </row>
    <row r="248" spans="3:3" x14ac:dyDescent="0.2">
      <c r="C248" t="s">
        <v>1536</v>
      </c>
    </row>
    <row r="249" spans="3:3" x14ac:dyDescent="0.2">
      <c r="C249" t="s">
        <v>1537</v>
      </c>
    </row>
    <row r="250" spans="3:3" x14ac:dyDescent="0.2">
      <c r="C250" t="s">
        <v>1538</v>
      </c>
    </row>
    <row r="251" spans="3:3" x14ac:dyDescent="0.2">
      <c r="C251" t="s">
        <v>1539</v>
      </c>
    </row>
    <row r="252" spans="3:3" x14ac:dyDescent="0.2">
      <c r="C252" t="s">
        <v>1540</v>
      </c>
    </row>
    <row r="253" spans="3:3" x14ac:dyDescent="0.2">
      <c r="C253" t="s">
        <v>1541</v>
      </c>
    </row>
    <row r="254" spans="3:3" x14ac:dyDescent="0.2">
      <c r="C254" t="s">
        <v>1542</v>
      </c>
    </row>
    <row r="255" spans="3:3" x14ac:dyDescent="0.2">
      <c r="C255" t="s">
        <v>1543</v>
      </c>
    </row>
    <row r="256" spans="3:3" x14ac:dyDescent="0.2">
      <c r="C256" t="s">
        <v>1544</v>
      </c>
    </row>
    <row r="257" spans="3:3" x14ac:dyDescent="0.2">
      <c r="C257" t="s">
        <v>1545</v>
      </c>
    </row>
    <row r="258" spans="3:3" x14ac:dyDescent="0.2">
      <c r="C258" t="s">
        <v>1546</v>
      </c>
    </row>
    <row r="259" spans="3:3" x14ac:dyDescent="0.2">
      <c r="C259" t="s">
        <v>1547</v>
      </c>
    </row>
    <row r="260" spans="3:3" x14ac:dyDescent="0.2">
      <c r="C260" t="s">
        <v>1548</v>
      </c>
    </row>
    <row r="261" spans="3:3" x14ac:dyDescent="0.2">
      <c r="C261" t="s">
        <v>1549</v>
      </c>
    </row>
    <row r="262" spans="3:3" x14ac:dyDescent="0.2">
      <c r="C262" t="s">
        <v>1550</v>
      </c>
    </row>
    <row r="263" spans="3:3" x14ac:dyDescent="0.2">
      <c r="C263" t="s">
        <v>1551</v>
      </c>
    </row>
    <row r="264" spans="3:3" x14ac:dyDescent="0.2">
      <c r="C264" t="s">
        <v>1552</v>
      </c>
    </row>
    <row r="265" spans="3:3" x14ac:dyDescent="0.2">
      <c r="C265" t="s">
        <v>1553</v>
      </c>
    </row>
    <row r="266" spans="3:3" x14ac:dyDescent="0.2">
      <c r="C266" t="s">
        <v>1554</v>
      </c>
    </row>
    <row r="267" spans="3:3" x14ac:dyDescent="0.2">
      <c r="C267" t="s">
        <v>1555</v>
      </c>
    </row>
    <row r="268" spans="3:3" x14ac:dyDescent="0.2">
      <c r="C268" t="s">
        <v>1556</v>
      </c>
    </row>
    <row r="269" spans="3:3" x14ac:dyDescent="0.2">
      <c r="C269" t="s">
        <v>1557</v>
      </c>
    </row>
    <row r="270" spans="3:3" x14ac:dyDescent="0.2">
      <c r="C270" t="s">
        <v>1558</v>
      </c>
    </row>
    <row r="271" spans="3:3" x14ac:dyDescent="0.2">
      <c r="C271" t="s">
        <v>1559</v>
      </c>
    </row>
    <row r="272" spans="3:3" x14ac:dyDescent="0.2">
      <c r="C272" t="s">
        <v>1560</v>
      </c>
    </row>
    <row r="273" spans="3:3" x14ac:dyDescent="0.2">
      <c r="C273" t="s">
        <v>1561</v>
      </c>
    </row>
    <row r="274" spans="3:3" x14ac:dyDescent="0.2">
      <c r="C274" t="s">
        <v>1562</v>
      </c>
    </row>
    <row r="275" spans="3:3" x14ac:dyDescent="0.2">
      <c r="C275" t="s">
        <v>1563</v>
      </c>
    </row>
    <row r="276" spans="3:3" x14ac:dyDescent="0.2">
      <c r="C276" t="s">
        <v>1564</v>
      </c>
    </row>
    <row r="277" spans="3:3" x14ac:dyDescent="0.2">
      <c r="C277" t="s">
        <v>1565</v>
      </c>
    </row>
    <row r="278" spans="3:3" x14ac:dyDescent="0.2">
      <c r="C278" t="s">
        <v>1566</v>
      </c>
    </row>
    <row r="279" spans="3:3" x14ac:dyDescent="0.2">
      <c r="C279" t="s">
        <v>1567</v>
      </c>
    </row>
    <row r="280" spans="3:3" x14ac:dyDescent="0.2">
      <c r="C280" t="s">
        <v>1568</v>
      </c>
    </row>
    <row r="281" spans="3:3" x14ac:dyDescent="0.2">
      <c r="C281" t="s">
        <v>1569</v>
      </c>
    </row>
    <row r="282" spans="3:3" x14ac:dyDescent="0.2">
      <c r="C282" t="s">
        <v>1570</v>
      </c>
    </row>
    <row r="283" spans="3:3" x14ac:dyDescent="0.2">
      <c r="C283" t="s">
        <v>1571</v>
      </c>
    </row>
    <row r="284" spans="3:3" x14ac:dyDescent="0.2">
      <c r="C284" t="s">
        <v>1572</v>
      </c>
    </row>
    <row r="285" spans="3:3" x14ac:dyDescent="0.2">
      <c r="C285" t="s">
        <v>1573</v>
      </c>
    </row>
    <row r="286" spans="3:3" x14ac:dyDescent="0.2">
      <c r="C286" t="s">
        <v>1574</v>
      </c>
    </row>
    <row r="287" spans="3:3" x14ac:dyDescent="0.2">
      <c r="C287" t="s">
        <v>1575</v>
      </c>
    </row>
    <row r="288" spans="3:3" x14ac:dyDescent="0.2">
      <c r="C288" t="s">
        <v>1576</v>
      </c>
    </row>
    <row r="289" spans="1:3" x14ac:dyDescent="0.2">
      <c r="C289" t="s">
        <v>1577</v>
      </c>
    </row>
    <row r="290" spans="1:3" x14ac:dyDescent="0.2">
      <c r="C290" t="s">
        <v>1578</v>
      </c>
    </row>
    <row r="291" spans="1:3" x14ac:dyDescent="0.2">
      <c r="C291" t="s">
        <v>1579</v>
      </c>
    </row>
    <row r="292" spans="1:3" x14ac:dyDescent="0.2">
      <c r="A292" t="s">
        <v>1609</v>
      </c>
      <c r="B292" t="s">
        <v>15</v>
      </c>
      <c r="C292" t="s">
        <v>1307</v>
      </c>
    </row>
    <row r="293" spans="1:3" x14ac:dyDescent="0.2">
      <c r="C293" t="s">
        <v>1610</v>
      </c>
    </row>
    <row r="294" spans="1:3" x14ac:dyDescent="0.2">
      <c r="A294" t="s">
        <v>1631</v>
      </c>
      <c r="B294" t="s">
        <v>15</v>
      </c>
      <c r="C294" t="s">
        <v>1632</v>
      </c>
    </row>
    <row r="295" spans="1:3" x14ac:dyDescent="0.2">
      <c r="C295" t="s">
        <v>1633</v>
      </c>
    </row>
    <row r="296" spans="1:3" x14ac:dyDescent="0.2">
      <c r="A296" t="s">
        <v>2174</v>
      </c>
      <c r="B296" t="s">
        <v>15</v>
      </c>
      <c r="C296" t="s">
        <v>2172</v>
      </c>
    </row>
    <row r="297" spans="1:3" x14ac:dyDescent="0.2">
      <c r="C297" t="s">
        <v>2173</v>
      </c>
    </row>
    <row r="298" spans="1:3" x14ac:dyDescent="0.2">
      <c r="A298" t="s">
        <v>2238</v>
      </c>
      <c r="B298" t="s">
        <v>15</v>
      </c>
      <c r="C298" t="s">
        <v>2172</v>
      </c>
    </row>
    <row r="299" spans="1:3" x14ac:dyDescent="0.2">
      <c r="A299" t="s">
        <v>2239</v>
      </c>
      <c r="B299" t="s">
        <v>15</v>
      </c>
      <c r="C299" t="s">
        <v>2173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28"/>
  <sheetViews>
    <sheetView workbookViewId="0">
      <selection activeCell="D32" sqref="D32"/>
    </sheetView>
  </sheetViews>
  <sheetFormatPr baseColWidth="10" defaultColWidth="8.83203125" defaultRowHeight="15" x14ac:dyDescent="0.2"/>
  <cols>
    <col min="1" max="1" width="17.33203125" customWidth="1"/>
    <col min="2" max="2" width="23" customWidth="1"/>
    <col min="3" max="3" width="31.33203125" customWidth="1"/>
    <col min="4" max="4" width="20" customWidth="1"/>
    <col min="5" max="5" width="38.33203125" customWidth="1"/>
    <col min="6" max="6" width="10.6640625" customWidth="1"/>
    <col min="7" max="7" width="26.1640625" customWidth="1"/>
    <col min="8" max="8" width="27.5" customWidth="1"/>
    <col min="9" max="9" width="14.33203125" customWidth="1"/>
    <col min="10" max="10" width="50" customWidth="1"/>
  </cols>
  <sheetData>
    <row r="1" spans="1:10" ht="19" x14ac:dyDescent="0.25">
      <c r="A1" s="61" t="s">
        <v>74</v>
      </c>
      <c r="B1" s="61"/>
      <c r="C1" s="61"/>
      <c r="D1" s="61"/>
      <c r="E1" s="61"/>
      <c r="F1" s="61"/>
      <c r="G1" s="61"/>
      <c r="H1" s="61"/>
      <c r="I1" s="61"/>
      <c r="J1" s="61"/>
    </row>
    <row r="2" spans="1:10" ht="19" x14ac:dyDescent="0.25">
      <c r="A2" s="1" t="s">
        <v>1</v>
      </c>
      <c r="B2" s="62" t="s">
        <v>2</v>
      </c>
      <c r="C2" s="62"/>
      <c r="D2" s="62"/>
      <c r="E2" s="62"/>
      <c r="F2" s="62"/>
      <c r="G2" s="62"/>
      <c r="H2" s="62"/>
      <c r="I2" s="62"/>
      <c r="J2" s="62"/>
    </row>
    <row r="3" spans="1:10" ht="19" x14ac:dyDescent="0.25">
      <c r="A3" s="1" t="s">
        <v>3</v>
      </c>
      <c r="B3" s="62" t="s">
        <v>4</v>
      </c>
      <c r="C3" s="62"/>
      <c r="D3" s="62"/>
      <c r="E3" s="62"/>
      <c r="F3" s="62"/>
      <c r="G3" s="62"/>
      <c r="H3" s="62"/>
      <c r="I3" s="62"/>
      <c r="J3" s="62"/>
    </row>
    <row r="4" spans="1:10" ht="19" x14ac:dyDescent="0.25">
      <c r="A4" s="2" t="s">
        <v>5</v>
      </c>
      <c r="B4" s="2" t="s">
        <v>6</v>
      </c>
      <c r="C4" s="2" t="s">
        <v>7</v>
      </c>
      <c r="D4" s="2" t="s">
        <v>8</v>
      </c>
      <c r="E4" s="2" t="s">
        <v>9</v>
      </c>
      <c r="F4" s="2" t="s">
        <v>10</v>
      </c>
      <c r="G4" s="2" t="s">
        <v>11</v>
      </c>
      <c r="H4" s="2" t="s">
        <v>12</v>
      </c>
      <c r="I4" s="2" t="s">
        <v>13</v>
      </c>
      <c r="J4" s="2" t="s">
        <v>14</v>
      </c>
    </row>
    <row r="5" spans="1:10" ht="16" x14ac:dyDescent="0.2">
      <c r="A5" s="3" t="s">
        <v>15</v>
      </c>
      <c r="B5" s="3" t="s">
        <v>16</v>
      </c>
      <c r="C5" s="3" t="s">
        <v>2</v>
      </c>
      <c r="D5" s="3" t="s">
        <v>17</v>
      </c>
      <c r="E5" s="3" t="s">
        <v>18</v>
      </c>
      <c r="F5" s="3" t="s">
        <v>15</v>
      </c>
      <c r="G5" s="3" t="s">
        <v>19</v>
      </c>
      <c r="H5" s="3" t="s">
        <v>2</v>
      </c>
      <c r="I5" s="3" t="s">
        <v>2</v>
      </c>
      <c r="J5" s="3" t="s">
        <v>20</v>
      </c>
    </row>
    <row r="6" spans="1:10" ht="16" x14ac:dyDescent="0.2">
      <c r="A6" s="3" t="s">
        <v>21</v>
      </c>
      <c r="B6" s="3" t="s">
        <v>22</v>
      </c>
      <c r="C6" t="s">
        <v>75</v>
      </c>
      <c r="D6" s="3"/>
      <c r="E6" s="3" t="s">
        <v>75</v>
      </c>
      <c r="F6" s="3" t="s">
        <v>21</v>
      </c>
      <c r="G6" s="3" t="s">
        <v>76</v>
      </c>
      <c r="H6" s="3" t="s">
        <v>2</v>
      </c>
      <c r="I6" s="3" t="s">
        <v>2</v>
      </c>
      <c r="J6" s="3" t="s">
        <v>24</v>
      </c>
    </row>
    <row r="7" spans="1:10" ht="16" x14ac:dyDescent="0.2">
      <c r="A7" s="3" t="s">
        <v>15</v>
      </c>
      <c r="B7" s="3" t="s">
        <v>25</v>
      </c>
      <c r="C7" s="3" t="s">
        <v>2</v>
      </c>
      <c r="D7" s="3"/>
      <c r="E7" s="3" t="s">
        <v>26</v>
      </c>
      <c r="F7" s="3" t="s">
        <v>15</v>
      </c>
      <c r="G7" s="3" t="s">
        <v>2</v>
      </c>
      <c r="H7" s="3" t="s">
        <v>2</v>
      </c>
      <c r="I7" s="3" t="s">
        <v>2</v>
      </c>
      <c r="J7" s="3" t="s">
        <v>27</v>
      </c>
    </row>
    <row r="8" spans="1:10" ht="16" x14ac:dyDescent="0.2">
      <c r="A8" s="3" t="s">
        <v>21</v>
      </c>
      <c r="B8" s="3" t="s">
        <v>16</v>
      </c>
      <c r="C8" s="3" t="s">
        <v>2</v>
      </c>
      <c r="D8" s="3"/>
      <c r="E8" s="3" t="s">
        <v>28</v>
      </c>
      <c r="F8" s="3" t="s">
        <v>15</v>
      </c>
      <c r="G8" s="3" t="s">
        <v>19</v>
      </c>
      <c r="H8" s="3" t="s">
        <v>2</v>
      </c>
      <c r="I8" s="3" t="s">
        <v>2</v>
      </c>
      <c r="J8" s="3" t="s">
        <v>29</v>
      </c>
    </row>
    <row r="9" spans="1:10" ht="16" x14ac:dyDescent="0.2">
      <c r="A9" s="3" t="s">
        <v>21</v>
      </c>
      <c r="B9" s="3" t="s">
        <v>16</v>
      </c>
      <c r="C9" s="3" t="s">
        <v>2</v>
      </c>
      <c r="D9" s="3"/>
      <c r="E9" s="3" t="s">
        <v>30</v>
      </c>
      <c r="F9" s="3" t="s">
        <v>15</v>
      </c>
      <c r="G9" s="3" t="s">
        <v>19</v>
      </c>
      <c r="H9" s="3" t="s">
        <v>2</v>
      </c>
      <c r="I9" s="3" t="s">
        <v>2</v>
      </c>
      <c r="J9" s="3" t="s">
        <v>31</v>
      </c>
    </row>
    <row r="10" spans="1:10" ht="16" x14ac:dyDescent="0.2">
      <c r="A10" s="3" t="s">
        <v>15</v>
      </c>
      <c r="B10" s="3" t="s">
        <v>16</v>
      </c>
      <c r="C10" s="3" t="s">
        <v>2</v>
      </c>
      <c r="D10" s="3"/>
      <c r="E10" s="3" t="s">
        <v>32</v>
      </c>
      <c r="F10" s="3" t="s">
        <v>15</v>
      </c>
      <c r="G10" s="3" t="s">
        <v>19</v>
      </c>
      <c r="H10" s="3" t="s">
        <v>2</v>
      </c>
      <c r="I10" s="3" t="s">
        <v>2</v>
      </c>
      <c r="J10" s="3" t="s">
        <v>33</v>
      </c>
    </row>
    <row r="11" spans="1:10" ht="16" x14ac:dyDescent="0.2">
      <c r="A11" s="3" t="s">
        <v>21</v>
      </c>
      <c r="B11" s="3" t="s">
        <v>16</v>
      </c>
      <c r="C11" s="3" t="s">
        <v>2</v>
      </c>
      <c r="D11" s="3"/>
      <c r="E11" s="3" t="s">
        <v>34</v>
      </c>
      <c r="F11" s="3" t="s">
        <v>15</v>
      </c>
      <c r="G11" s="3" t="s">
        <v>19</v>
      </c>
      <c r="H11" s="3" t="s">
        <v>2</v>
      </c>
      <c r="I11" s="3" t="s">
        <v>2</v>
      </c>
      <c r="J11" s="3" t="s">
        <v>35</v>
      </c>
    </row>
    <row r="12" spans="1:10" ht="16" x14ac:dyDescent="0.2">
      <c r="A12" s="3" t="s">
        <v>21</v>
      </c>
      <c r="B12" s="3" t="s">
        <v>16</v>
      </c>
      <c r="C12" s="3" t="s">
        <v>2</v>
      </c>
      <c r="D12" s="3"/>
      <c r="E12" s="3" t="s">
        <v>36</v>
      </c>
      <c r="F12" s="3" t="s">
        <v>15</v>
      </c>
      <c r="G12" s="3" t="s">
        <v>19</v>
      </c>
      <c r="H12" s="3" t="s">
        <v>2</v>
      </c>
      <c r="I12" s="3" t="s">
        <v>2</v>
      </c>
      <c r="J12" s="3" t="s">
        <v>37</v>
      </c>
    </row>
    <row r="13" spans="1:10" ht="16" x14ac:dyDescent="0.2">
      <c r="A13" s="3" t="s">
        <v>21</v>
      </c>
      <c r="B13" s="3" t="s">
        <v>16</v>
      </c>
      <c r="C13" s="3" t="s">
        <v>2</v>
      </c>
      <c r="D13" s="3"/>
      <c r="E13" s="3" t="s">
        <v>38</v>
      </c>
      <c r="F13" s="3" t="s">
        <v>15</v>
      </c>
      <c r="G13" s="3" t="s">
        <v>19</v>
      </c>
      <c r="H13" s="3" t="s">
        <v>2</v>
      </c>
      <c r="I13" s="3" t="s">
        <v>2</v>
      </c>
      <c r="J13" s="3" t="s">
        <v>39</v>
      </c>
    </row>
    <row r="14" spans="1:10" ht="16" x14ac:dyDescent="0.2">
      <c r="A14" s="3" t="s">
        <v>21</v>
      </c>
      <c r="B14" s="3" t="s">
        <v>16</v>
      </c>
      <c r="C14" s="3" t="s">
        <v>2</v>
      </c>
      <c r="D14" s="3"/>
      <c r="E14" s="3" t="s">
        <v>40</v>
      </c>
      <c r="F14" s="3" t="s">
        <v>15</v>
      </c>
      <c r="G14" s="3" t="s">
        <v>19</v>
      </c>
      <c r="H14" s="3" t="s">
        <v>2</v>
      </c>
      <c r="I14" s="3" t="s">
        <v>2</v>
      </c>
      <c r="J14" s="3" t="s">
        <v>41</v>
      </c>
    </row>
    <row r="15" spans="1:10" ht="16" x14ac:dyDescent="0.2">
      <c r="A15" s="3" t="s">
        <v>15</v>
      </c>
      <c r="B15" s="3" t="s">
        <v>16</v>
      </c>
      <c r="C15" s="3" t="s">
        <v>2</v>
      </c>
      <c r="D15" s="3"/>
      <c r="E15" s="3" t="s">
        <v>42</v>
      </c>
      <c r="F15" s="3" t="s">
        <v>15</v>
      </c>
      <c r="G15" s="3" t="s">
        <v>19</v>
      </c>
      <c r="H15" s="3" t="s">
        <v>2</v>
      </c>
      <c r="I15" s="3" t="s">
        <v>2</v>
      </c>
      <c r="J15" s="3" t="s">
        <v>43</v>
      </c>
    </row>
    <row r="16" spans="1:10" ht="16" x14ac:dyDescent="0.2">
      <c r="A16" s="3" t="s">
        <v>15</v>
      </c>
      <c r="B16" s="3" t="s">
        <v>44</v>
      </c>
      <c r="C16" s="3" t="s">
        <v>2</v>
      </c>
      <c r="D16" s="3"/>
      <c r="E16" s="3" t="s">
        <v>45</v>
      </c>
      <c r="F16" s="3" t="s">
        <v>15</v>
      </c>
      <c r="G16" s="3" t="s">
        <v>46</v>
      </c>
      <c r="H16" s="3" t="s">
        <v>2</v>
      </c>
      <c r="I16" s="3" t="s">
        <v>2</v>
      </c>
      <c r="J16" s="3" t="s">
        <v>47</v>
      </c>
    </row>
    <row r="17" spans="1:10" ht="16" x14ac:dyDescent="0.2">
      <c r="A17" s="3" t="s">
        <v>15</v>
      </c>
      <c r="B17" s="3" t="s">
        <v>48</v>
      </c>
      <c r="C17" s="3" t="s">
        <v>2</v>
      </c>
      <c r="D17" s="3"/>
      <c r="E17" s="3" t="s">
        <v>49</v>
      </c>
      <c r="F17" s="3" t="s">
        <v>15</v>
      </c>
      <c r="G17" s="3" t="s">
        <v>50</v>
      </c>
      <c r="H17" s="3" t="s">
        <v>2</v>
      </c>
      <c r="I17" s="3" t="s">
        <v>2</v>
      </c>
      <c r="J17" s="3" t="s">
        <v>51</v>
      </c>
    </row>
    <row r="18" spans="1:10" ht="16" x14ac:dyDescent="0.2">
      <c r="A18" s="3" t="s">
        <v>15</v>
      </c>
      <c r="B18" s="3" t="s">
        <v>25</v>
      </c>
      <c r="C18" s="3" t="s">
        <v>2</v>
      </c>
      <c r="D18" s="3"/>
      <c r="E18" s="3" t="s">
        <v>52</v>
      </c>
      <c r="F18" s="3" t="s">
        <v>15</v>
      </c>
      <c r="G18" s="3" t="s">
        <v>2</v>
      </c>
      <c r="H18" s="3" t="s">
        <v>2</v>
      </c>
      <c r="I18" s="3" t="s">
        <v>2</v>
      </c>
      <c r="J18" s="3" t="s">
        <v>53</v>
      </c>
    </row>
    <row r="19" spans="1:10" ht="16" x14ac:dyDescent="0.2">
      <c r="A19" s="3" t="s">
        <v>15</v>
      </c>
      <c r="B19" s="3" t="s">
        <v>16</v>
      </c>
      <c r="C19" s="3" t="s">
        <v>2</v>
      </c>
      <c r="D19" s="3"/>
      <c r="E19" s="3" t="s">
        <v>54</v>
      </c>
      <c r="F19" s="3" t="s">
        <v>15</v>
      </c>
      <c r="G19" s="3" t="s">
        <v>19</v>
      </c>
      <c r="H19" s="3" t="s">
        <v>2</v>
      </c>
      <c r="I19" s="3" t="s">
        <v>2</v>
      </c>
      <c r="J19" s="3" t="s">
        <v>55</v>
      </c>
    </row>
    <row r="20" spans="1:10" ht="16" x14ac:dyDescent="0.2">
      <c r="A20" s="3" t="s">
        <v>21</v>
      </c>
      <c r="B20" s="3" t="s">
        <v>16</v>
      </c>
      <c r="C20" s="3" t="s">
        <v>2</v>
      </c>
      <c r="D20" s="3"/>
      <c r="E20" s="3" t="s">
        <v>56</v>
      </c>
      <c r="F20" s="3" t="s">
        <v>15</v>
      </c>
      <c r="G20" s="3" t="s">
        <v>19</v>
      </c>
      <c r="H20" s="3" t="s">
        <v>2</v>
      </c>
      <c r="I20" s="3" t="s">
        <v>2</v>
      </c>
      <c r="J20" s="3" t="s">
        <v>57</v>
      </c>
    </row>
    <row r="21" spans="1:10" ht="16" x14ac:dyDescent="0.2">
      <c r="A21" s="3" t="s">
        <v>21</v>
      </c>
      <c r="B21" s="3" t="s">
        <v>16</v>
      </c>
      <c r="C21" s="3" t="s">
        <v>2</v>
      </c>
      <c r="D21" s="3"/>
      <c r="E21" s="3" t="s">
        <v>58</v>
      </c>
      <c r="F21" s="3" t="s">
        <v>15</v>
      </c>
      <c r="G21" s="3" t="s">
        <v>19</v>
      </c>
      <c r="H21" s="3" t="s">
        <v>2</v>
      </c>
      <c r="I21" s="3" t="s">
        <v>2</v>
      </c>
      <c r="J21" s="3" t="s">
        <v>59</v>
      </c>
    </row>
    <row r="22" spans="1:10" ht="16" x14ac:dyDescent="0.2">
      <c r="A22" s="3" t="s">
        <v>15</v>
      </c>
      <c r="B22" s="3" t="s">
        <v>16</v>
      </c>
      <c r="C22" s="3" t="s">
        <v>2</v>
      </c>
      <c r="D22" s="3"/>
      <c r="E22" s="3" t="s">
        <v>60</v>
      </c>
      <c r="F22" s="3" t="s">
        <v>15</v>
      </c>
      <c r="G22" s="3" t="s">
        <v>19</v>
      </c>
      <c r="H22" s="3" t="s">
        <v>2</v>
      </c>
      <c r="I22" s="3" t="s">
        <v>2</v>
      </c>
      <c r="J22" s="3" t="s">
        <v>61</v>
      </c>
    </row>
    <row r="23" spans="1:10" ht="16" x14ac:dyDescent="0.2">
      <c r="A23" s="3" t="s">
        <v>21</v>
      </c>
      <c r="B23" s="3" t="s">
        <v>16</v>
      </c>
      <c r="C23" s="3" t="s">
        <v>2</v>
      </c>
      <c r="D23" s="3"/>
      <c r="E23" s="3" t="s">
        <v>62</v>
      </c>
      <c r="F23" s="3" t="s">
        <v>15</v>
      </c>
      <c r="G23" s="3" t="s">
        <v>19</v>
      </c>
      <c r="H23" s="3" t="s">
        <v>2</v>
      </c>
      <c r="I23" s="3" t="s">
        <v>2</v>
      </c>
      <c r="J23" s="3" t="s">
        <v>63</v>
      </c>
    </row>
    <row r="24" spans="1:10" ht="16" x14ac:dyDescent="0.2">
      <c r="A24" s="3" t="s">
        <v>21</v>
      </c>
      <c r="B24" s="3" t="s">
        <v>16</v>
      </c>
      <c r="C24" s="3" t="s">
        <v>2</v>
      </c>
      <c r="D24" s="3"/>
      <c r="E24" s="3" t="s">
        <v>64</v>
      </c>
      <c r="F24" s="3" t="s">
        <v>15</v>
      </c>
      <c r="G24" s="3" t="s">
        <v>19</v>
      </c>
      <c r="H24" s="3" t="s">
        <v>2</v>
      </c>
      <c r="I24" s="3" t="s">
        <v>2</v>
      </c>
      <c r="J24" s="3" t="s">
        <v>65</v>
      </c>
    </row>
    <row r="25" spans="1:10" ht="16" x14ac:dyDescent="0.2">
      <c r="A25" s="3" t="s">
        <v>21</v>
      </c>
      <c r="B25" s="3" t="s">
        <v>16</v>
      </c>
      <c r="C25" s="3" t="s">
        <v>2</v>
      </c>
      <c r="D25" s="3"/>
      <c r="E25" s="3" t="s">
        <v>66</v>
      </c>
      <c r="F25" s="3" t="s">
        <v>15</v>
      </c>
      <c r="G25" s="3" t="s">
        <v>19</v>
      </c>
      <c r="H25" s="3" t="s">
        <v>2</v>
      </c>
      <c r="I25" s="3" t="s">
        <v>2</v>
      </c>
      <c r="J25" s="3" t="s">
        <v>67</v>
      </c>
    </row>
    <row r="26" spans="1:10" ht="16" x14ac:dyDescent="0.2">
      <c r="A26" s="3" t="s">
        <v>21</v>
      </c>
      <c r="B26" s="3" t="s">
        <v>16</v>
      </c>
      <c r="C26" s="3" t="s">
        <v>2</v>
      </c>
      <c r="D26" s="3"/>
      <c r="E26" s="3" t="s">
        <v>68</v>
      </c>
      <c r="F26" s="3" t="s">
        <v>15</v>
      </c>
      <c r="G26" s="3" t="s">
        <v>19</v>
      </c>
      <c r="H26" s="3" t="s">
        <v>2</v>
      </c>
      <c r="I26" s="3" t="s">
        <v>2</v>
      </c>
      <c r="J26" s="3" t="s">
        <v>69</v>
      </c>
    </row>
    <row r="27" spans="1:10" ht="16" x14ac:dyDescent="0.2">
      <c r="A27" s="3" t="s">
        <v>21</v>
      </c>
      <c r="B27" s="3" t="s">
        <v>16</v>
      </c>
      <c r="C27" s="3" t="s">
        <v>2</v>
      </c>
      <c r="D27" s="3"/>
      <c r="E27" s="3" t="s">
        <v>70</v>
      </c>
      <c r="F27" s="3" t="s">
        <v>15</v>
      </c>
      <c r="G27" s="3" t="s">
        <v>19</v>
      </c>
      <c r="H27" s="3" t="s">
        <v>2</v>
      </c>
      <c r="I27" s="3" t="s">
        <v>2</v>
      </c>
      <c r="J27" s="3" t="s">
        <v>71</v>
      </c>
    </row>
    <row r="28" spans="1:10" ht="16" x14ac:dyDescent="0.2">
      <c r="A28" s="3" t="s">
        <v>21</v>
      </c>
      <c r="B28" s="3" t="s">
        <v>44</v>
      </c>
      <c r="C28" s="3" t="s">
        <v>2</v>
      </c>
      <c r="D28" s="3"/>
      <c r="E28" s="3" t="s">
        <v>72</v>
      </c>
      <c r="F28" s="3" t="s">
        <v>15</v>
      </c>
      <c r="G28" s="3" t="s">
        <v>46</v>
      </c>
      <c r="H28" s="3" t="s">
        <v>2</v>
      </c>
      <c r="I28" s="3" t="s">
        <v>2</v>
      </c>
      <c r="J28" s="3" t="s">
        <v>73</v>
      </c>
    </row>
  </sheetData>
  <mergeCells count="3">
    <mergeCell ref="A1:J1"/>
    <mergeCell ref="B2:J2"/>
    <mergeCell ref="B3:J3"/>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8"/>
  <sheetViews>
    <sheetView topLeftCell="D1" workbookViewId="0">
      <selection activeCell="J5" sqref="J5"/>
    </sheetView>
  </sheetViews>
  <sheetFormatPr baseColWidth="10" defaultColWidth="8.83203125" defaultRowHeight="15" x14ac:dyDescent="0.2"/>
  <cols>
    <col min="1" max="1" width="20" customWidth="1"/>
    <col min="2" max="2" width="40" customWidth="1"/>
    <col min="3" max="3" width="20" customWidth="1"/>
    <col min="4" max="4" width="18.33203125" customWidth="1"/>
    <col min="5" max="5" width="70" customWidth="1"/>
    <col min="6" max="6" width="30" customWidth="1"/>
    <col min="7" max="7" width="24.83203125" customWidth="1"/>
    <col min="8" max="8" width="14.6640625" customWidth="1"/>
    <col min="9" max="9" width="16.33203125" customWidth="1"/>
    <col min="10" max="10" width="50" customWidth="1"/>
  </cols>
  <sheetData>
    <row r="1" spans="1:10" ht="19" x14ac:dyDescent="0.25">
      <c r="A1" s="61" t="s">
        <v>0</v>
      </c>
      <c r="B1" s="61"/>
      <c r="C1" s="61"/>
      <c r="D1" s="61"/>
      <c r="E1" s="61"/>
      <c r="F1" s="61"/>
      <c r="G1" s="61"/>
      <c r="H1" s="61"/>
      <c r="I1" s="61"/>
      <c r="J1" s="61"/>
    </row>
    <row r="2" spans="1:10" ht="19" x14ac:dyDescent="0.25">
      <c r="A2" s="1" t="s">
        <v>1</v>
      </c>
      <c r="B2" s="62" t="s">
        <v>2</v>
      </c>
      <c r="C2" s="62"/>
      <c r="D2" s="62"/>
      <c r="E2" s="62"/>
      <c r="F2" s="62"/>
      <c r="G2" s="62"/>
      <c r="H2" s="62"/>
      <c r="I2" s="62"/>
      <c r="J2" s="62"/>
    </row>
    <row r="3" spans="1:10" ht="19" x14ac:dyDescent="0.25">
      <c r="A3" s="1" t="s">
        <v>3</v>
      </c>
      <c r="B3" s="62" t="s">
        <v>4</v>
      </c>
      <c r="C3" s="62"/>
      <c r="D3" s="62"/>
      <c r="E3" s="62"/>
      <c r="F3" s="62"/>
      <c r="G3" s="62"/>
      <c r="H3" s="62"/>
      <c r="I3" s="62"/>
      <c r="J3" s="62"/>
    </row>
    <row r="4" spans="1:10" ht="19" x14ac:dyDescent="0.25">
      <c r="A4" s="2" t="s">
        <v>5</v>
      </c>
      <c r="B4" s="2" t="s">
        <v>6</v>
      </c>
      <c r="C4" s="2" t="s">
        <v>7</v>
      </c>
      <c r="D4" s="2" t="s">
        <v>8</v>
      </c>
      <c r="E4" s="2" t="s">
        <v>9</v>
      </c>
      <c r="F4" s="2" t="s">
        <v>10</v>
      </c>
      <c r="G4" s="2" t="s">
        <v>1311</v>
      </c>
      <c r="H4" s="2" t="s">
        <v>1201</v>
      </c>
      <c r="I4" s="2" t="s">
        <v>1312</v>
      </c>
      <c r="J4" s="2" t="s">
        <v>14</v>
      </c>
    </row>
    <row r="5" spans="1:10" ht="16" x14ac:dyDescent="0.2">
      <c r="A5" s="3" t="s">
        <v>15</v>
      </c>
      <c r="B5" s="3" t="s">
        <v>16</v>
      </c>
      <c r="C5" s="3" t="s">
        <v>2</v>
      </c>
      <c r="D5" s="3" t="s">
        <v>17</v>
      </c>
      <c r="E5" s="3" t="s">
        <v>18</v>
      </c>
      <c r="F5" s="3" t="s">
        <v>15</v>
      </c>
      <c r="G5" s="3" t="s">
        <v>19</v>
      </c>
      <c r="H5" s="3" t="s">
        <v>2</v>
      </c>
      <c r="I5" s="3" t="s">
        <v>2</v>
      </c>
      <c r="J5" s="3" t="s">
        <v>1208</v>
      </c>
    </row>
    <row r="6" spans="1:10" ht="16" x14ac:dyDescent="0.2">
      <c r="A6" s="3" t="s">
        <v>21</v>
      </c>
      <c r="B6" s="3" t="s">
        <v>22</v>
      </c>
      <c r="C6" t="s">
        <v>171</v>
      </c>
      <c r="D6" s="3"/>
      <c r="E6" s="3" t="s">
        <v>23</v>
      </c>
      <c r="F6" s="3" t="s">
        <v>15</v>
      </c>
      <c r="G6" s="3" t="s">
        <v>21</v>
      </c>
      <c r="H6" s="3" t="s">
        <v>2</v>
      </c>
      <c r="I6" s="3" t="s">
        <v>2</v>
      </c>
      <c r="J6" s="3" t="s">
        <v>1209</v>
      </c>
    </row>
    <row r="7" spans="1:10" ht="16" x14ac:dyDescent="0.2">
      <c r="A7" s="3" t="s">
        <v>15</v>
      </c>
      <c r="B7" s="3" t="s">
        <v>25</v>
      </c>
      <c r="C7" s="3" t="s">
        <v>2</v>
      </c>
      <c r="D7" s="3"/>
      <c r="E7" s="3" t="s">
        <v>26</v>
      </c>
      <c r="F7" s="3" t="s">
        <v>15</v>
      </c>
      <c r="G7" s="3" t="s">
        <v>2</v>
      </c>
      <c r="H7" s="3" t="s">
        <v>2</v>
      </c>
      <c r="I7" s="3" t="s">
        <v>2</v>
      </c>
      <c r="J7" s="3" t="s">
        <v>1210</v>
      </c>
    </row>
    <row r="8" spans="1:10" ht="16" x14ac:dyDescent="0.2">
      <c r="A8" s="3" t="s">
        <v>21</v>
      </c>
      <c r="B8" s="3" t="s">
        <v>16</v>
      </c>
      <c r="C8" s="3" t="s">
        <v>2</v>
      </c>
      <c r="D8" s="3"/>
      <c r="E8" s="3" t="s">
        <v>28</v>
      </c>
      <c r="F8" s="3" t="s">
        <v>15</v>
      </c>
      <c r="G8" s="3" t="s">
        <v>19</v>
      </c>
      <c r="H8" s="3" t="s">
        <v>2</v>
      </c>
      <c r="I8" s="3" t="s">
        <v>2</v>
      </c>
      <c r="J8" s="3" t="s">
        <v>2276</v>
      </c>
    </row>
    <row r="9" spans="1:10" ht="16" x14ac:dyDescent="0.2">
      <c r="A9" s="3" t="s">
        <v>21</v>
      </c>
      <c r="B9" s="3" t="s">
        <v>16</v>
      </c>
      <c r="C9" s="3" t="s">
        <v>2</v>
      </c>
      <c r="D9" s="3"/>
      <c r="E9" s="3" t="s">
        <v>30</v>
      </c>
      <c r="F9" s="3" t="s">
        <v>15</v>
      </c>
      <c r="G9" s="3" t="s">
        <v>19</v>
      </c>
      <c r="H9" s="3" t="s">
        <v>2</v>
      </c>
      <c r="I9" s="3" t="s">
        <v>2</v>
      </c>
      <c r="J9" s="3" t="s">
        <v>1212</v>
      </c>
    </row>
    <row r="10" spans="1:10" ht="16" x14ac:dyDescent="0.2">
      <c r="A10" s="3" t="s">
        <v>15</v>
      </c>
      <c r="B10" s="3" t="s">
        <v>16</v>
      </c>
      <c r="C10" s="3" t="s">
        <v>2</v>
      </c>
      <c r="D10" s="3"/>
      <c r="E10" s="3" t="s">
        <v>32</v>
      </c>
      <c r="F10" s="3" t="s">
        <v>15</v>
      </c>
      <c r="G10" s="3" t="s">
        <v>19</v>
      </c>
      <c r="H10" s="3" t="s">
        <v>2</v>
      </c>
      <c r="I10" s="3" t="s">
        <v>2</v>
      </c>
      <c r="J10" s="3" t="s">
        <v>1213</v>
      </c>
    </row>
    <row r="11" spans="1:10" ht="16" x14ac:dyDescent="0.2">
      <c r="A11" s="3" t="s">
        <v>21</v>
      </c>
      <c r="B11" s="3" t="s">
        <v>16</v>
      </c>
      <c r="C11" s="3" t="s">
        <v>2</v>
      </c>
      <c r="D11" s="3"/>
      <c r="E11" s="3" t="s">
        <v>34</v>
      </c>
      <c r="F11" s="3" t="s">
        <v>15</v>
      </c>
      <c r="G11" s="3" t="s">
        <v>19</v>
      </c>
      <c r="H11" s="3" t="s">
        <v>2</v>
      </c>
      <c r="I11" s="3" t="s">
        <v>2</v>
      </c>
      <c r="J11" s="3" t="s">
        <v>1214</v>
      </c>
    </row>
    <row r="12" spans="1:10" ht="16" x14ac:dyDescent="0.2">
      <c r="A12" s="3" t="s">
        <v>21</v>
      </c>
      <c r="B12" s="3" t="s">
        <v>16</v>
      </c>
      <c r="C12" s="3" t="s">
        <v>2</v>
      </c>
      <c r="D12" s="3"/>
      <c r="E12" s="3" t="s">
        <v>36</v>
      </c>
      <c r="F12" s="3" t="s">
        <v>15</v>
      </c>
      <c r="G12" s="3" t="s">
        <v>19</v>
      </c>
      <c r="H12" s="3" t="s">
        <v>2</v>
      </c>
      <c r="I12" s="3" t="s">
        <v>2</v>
      </c>
      <c r="J12" s="3" t="s">
        <v>1215</v>
      </c>
    </row>
    <row r="13" spans="1:10" ht="16" x14ac:dyDescent="0.2">
      <c r="A13" s="3" t="s">
        <v>21</v>
      </c>
      <c r="B13" s="3" t="s">
        <v>16</v>
      </c>
      <c r="C13" s="3" t="s">
        <v>2</v>
      </c>
      <c r="D13" s="3"/>
      <c r="E13" s="3" t="s">
        <v>38</v>
      </c>
      <c r="F13" s="3" t="s">
        <v>15</v>
      </c>
      <c r="G13" s="3" t="s">
        <v>19</v>
      </c>
      <c r="H13" s="3" t="s">
        <v>2</v>
      </c>
      <c r="I13" s="3" t="s">
        <v>2</v>
      </c>
      <c r="J13" s="3" t="s">
        <v>1216</v>
      </c>
    </row>
    <row r="14" spans="1:10" ht="16" x14ac:dyDescent="0.2">
      <c r="A14" s="3" t="s">
        <v>21</v>
      </c>
      <c r="B14" s="3" t="s">
        <v>16</v>
      </c>
      <c r="C14" s="3" t="s">
        <v>2</v>
      </c>
      <c r="D14" s="3"/>
      <c r="E14" s="3" t="s">
        <v>40</v>
      </c>
      <c r="F14" s="3" t="s">
        <v>15</v>
      </c>
      <c r="G14" s="3" t="s">
        <v>19</v>
      </c>
      <c r="H14" s="3" t="s">
        <v>2</v>
      </c>
      <c r="I14" s="3" t="s">
        <v>2</v>
      </c>
      <c r="J14" s="3" t="s">
        <v>1217</v>
      </c>
    </row>
    <row r="15" spans="1:10" ht="16" x14ac:dyDescent="0.2">
      <c r="A15" s="3" t="s">
        <v>15</v>
      </c>
      <c r="B15" s="3" t="s">
        <v>16</v>
      </c>
      <c r="C15" s="3" t="s">
        <v>2</v>
      </c>
      <c r="D15" s="3"/>
      <c r="E15" s="3" t="s">
        <v>42</v>
      </c>
      <c r="F15" s="3" t="s">
        <v>15</v>
      </c>
      <c r="G15" s="3" t="s">
        <v>19</v>
      </c>
      <c r="H15" s="3" t="s">
        <v>2</v>
      </c>
      <c r="I15" s="3" t="s">
        <v>2</v>
      </c>
      <c r="J15" s="3" t="s">
        <v>1218</v>
      </c>
    </row>
    <row r="16" spans="1:10" ht="16" x14ac:dyDescent="0.2">
      <c r="A16" s="3" t="s">
        <v>15</v>
      </c>
      <c r="B16" s="3" t="s">
        <v>44</v>
      </c>
      <c r="C16" s="3" t="s">
        <v>2</v>
      </c>
      <c r="D16" s="3"/>
      <c r="E16" s="3" t="s">
        <v>45</v>
      </c>
      <c r="F16" s="3" t="s">
        <v>15</v>
      </c>
      <c r="G16" s="3" t="s">
        <v>46</v>
      </c>
      <c r="H16" s="3" t="s">
        <v>2</v>
      </c>
      <c r="I16" s="3" t="s">
        <v>2</v>
      </c>
      <c r="J16" s="3" t="s">
        <v>1219</v>
      </c>
    </row>
    <row r="17" spans="1:10" ht="16" x14ac:dyDescent="0.2">
      <c r="A17" s="3" t="s">
        <v>15</v>
      </c>
      <c r="B17" s="3" t="s">
        <v>48</v>
      </c>
      <c r="C17" s="3" t="s">
        <v>2</v>
      </c>
      <c r="D17" s="3"/>
      <c r="E17" s="3" t="s">
        <v>49</v>
      </c>
      <c r="F17" s="3" t="s">
        <v>15</v>
      </c>
      <c r="G17" s="3" t="s">
        <v>50</v>
      </c>
      <c r="H17" s="3" t="s">
        <v>2</v>
      </c>
      <c r="I17" s="3" t="s">
        <v>2</v>
      </c>
      <c r="J17" s="3" t="s">
        <v>1220</v>
      </c>
    </row>
    <row r="18" spans="1:10" ht="16" x14ac:dyDescent="0.2">
      <c r="A18" s="3" t="s">
        <v>15</v>
      </c>
      <c r="B18" s="3" t="s">
        <v>25</v>
      </c>
      <c r="C18" s="3" t="s">
        <v>2</v>
      </c>
      <c r="D18" s="3"/>
      <c r="E18" s="3" t="s">
        <v>52</v>
      </c>
      <c r="F18" s="3" t="s">
        <v>15</v>
      </c>
      <c r="G18" s="3" t="s">
        <v>2</v>
      </c>
      <c r="H18" s="3" t="s">
        <v>2</v>
      </c>
      <c r="I18" s="3" t="s">
        <v>2</v>
      </c>
      <c r="J18" s="3" t="s">
        <v>1221</v>
      </c>
    </row>
    <row r="19" spans="1:10" ht="16" x14ac:dyDescent="0.2">
      <c r="A19" s="3" t="s">
        <v>15</v>
      </c>
      <c r="B19" s="3" t="s">
        <v>16</v>
      </c>
      <c r="C19" s="3" t="s">
        <v>2</v>
      </c>
      <c r="D19" s="3"/>
      <c r="E19" s="3" t="s">
        <v>54</v>
      </c>
      <c r="F19" s="3" t="s">
        <v>15</v>
      </c>
      <c r="G19" s="3" t="s">
        <v>19</v>
      </c>
      <c r="H19" s="3" t="s">
        <v>2</v>
      </c>
      <c r="I19" s="3" t="s">
        <v>2</v>
      </c>
      <c r="J19" s="3" t="s">
        <v>1222</v>
      </c>
    </row>
    <row r="20" spans="1:10" ht="16" x14ac:dyDescent="0.2">
      <c r="A20" s="3" t="s">
        <v>21</v>
      </c>
      <c r="B20" s="3" t="s">
        <v>16</v>
      </c>
      <c r="C20" s="3" t="s">
        <v>2</v>
      </c>
      <c r="D20" s="3"/>
      <c r="E20" s="3" t="s">
        <v>56</v>
      </c>
      <c r="F20" s="3" t="s">
        <v>15</v>
      </c>
      <c r="G20" s="3" t="s">
        <v>19</v>
      </c>
      <c r="H20" s="3" t="s">
        <v>2</v>
      </c>
      <c r="I20" s="3" t="s">
        <v>2</v>
      </c>
      <c r="J20" s="3" t="s">
        <v>1211</v>
      </c>
    </row>
    <row r="21" spans="1:10" ht="16" x14ac:dyDescent="0.2">
      <c r="A21" s="3" t="s">
        <v>21</v>
      </c>
      <c r="B21" s="3" t="s">
        <v>16</v>
      </c>
      <c r="C21" s="3" t="s">
        <v>2</v>
      </c>
      <c r="D21" s="3"/>
      <c r="E21" s="3" t="s">
        <v>58</v>
      </c>
      <c r="F21" s="3" t="s">
        <v>15</v>
      </c>
      <c r="G21" s="3" t="s">
        <v>19</v>
      </c>
      <c r="H21" s="3" t="s">
        <v>2</v>
      </c>
      <c r="I21" s="3" t="s">
        <v>2</v>
      </c>
      <c r="J21" s="3" t="s">
        <v>1224</v>
      </c>
    </row>
    <row r="22" spans="1:10" ht="16" x14ac:dyDescent="0.2">
      <c r="A22" s="3" t="s">
        <v>15</v>
      </c>
      <c r="B22" s="3" t="s">
        <v>16</v>
      </c>
      <c r="C22" s="3" t="s">
        <v>2</v>
      </c>
      <c r="D22" s="3"/>
      <c r="E22" s="3" t="s">
        <v>60</v>
      </c>
      <c r="F22" s="3" t="s">
        <v>15</v>
      </c>
      <c r="G22" s="3" t="s">
        <v>19</v>
      </c>
      <c r="H22" s="3" t="s">
        <v>2</v>
      </c>
      <c r="I22" s="3" t="s">
        <v>2</v>
      </c>
      <c r="J22" s="3" t="s">
        <v>1223</v>
      </c>
    </row>
    <row r="23" spans="1:10" ht="16" x14ac:dyDescent="0.2">
      <c r="A23" s="3" t="s">
        <v>21</v>
      </c>
      <c r="B23" s="3" t="s">
        <v>16</v>
      </c>
      <c r="C23" s="3" t="s">
        <v>2</v>
      </c>
      <c r="D23" s="3"/>
      <c r="E23" s="3" t="s">
        <v>62</v>
      </c>
      <c r="F23" s="3" t="s">
        <v>15</v>
      </c>
      <c r="G23" s="3" t="s">
        <v>19</v>
      </c>
      <c r="H23" s="3" t="s">
        <v>2</v>
      </c>
      <c r="I23" s="3" t="s">
        <v>2</v>
      </c>
      <c r="J23" s="3" t="s">
        <v>1225</v>
      </c>
    </row>
    <row r="24" spans="1:10" ht="16" x14ac:dyDescent="0.2">
      <c r="A24" s="3" t="s">
        <v>21</v>
      </c>
      <c r="B24" s="3" t="s">
        <v>16</v>
      </c>
      <c r="C24" s="3" t="s">
        <v>2</v>
      </c>
      <c r="D24" s="3"/>
      <c r="E24" s="3" t="s">
        <v>64</v>
      </c>
      <c r="F24" s="3" t="s">
        <v>15</v>
      </c>
      <c r="G24" s="3" t="s">
        <v>19</v>
      </c>
      <c r="H24" s="3" t="s">
        <v>2</v>
      </c>
      <c r="I24" s="3" t="s">
        <v>2</v>
      </c>
      <c r="J24" s="3" t="s">
        <v>1226</v>
      </c>
    </row>
    <row r="25" spans="1:10" ht="16" x14ac:dyDescent="0.2">
      <c r="A25" s="3" t="s">
        <v>21</v>
      </c>
      <c r="B25" s="3" t="s">
        <v>16</v>
      </c>
      <c r="C25" s="3" t="s">
        <v>2</v>
      </c>
      <c r="D25" s="3"/>
      <c r="E25" s="3" t="s">
        <v>66</v>
      </c>
      <c r="F25" s="3" t="s">
        <v>15</v>
      </c>
      <c r="G25" s="3" t="s">
        <v>19</v>
      </c>
      <c r="H25" s="3" t="s">
        <v>2</v>
      </c>
      <c r="I25" s="3" t="s">
        <v>2</v>
      </c>
      <c r="J25" s="3" t="s">
        <v>1228</v>
      </c>
    </row>
    <row r="26" spans="1:10" ht="16" x14ac:dyDescent="0.2">
      <c r="A26" s="3" t="s">
        <v>21</v>
      </c>
      <c r="B26" s="3" t="s">
        <v>16</v>
      </c>
      <c r="C26" s="3" t="s">
        <v>2</v>
      </c>
      <c r="D26" s="3"/>
      <c r="E26" s="3" t="s">
        <v>68</v>
      </c>
      <c r="F26" s="3" t="s">
        <v>15</v>
      </c>
      <c r="G26" s="3" t="s">
        <v>19</v>
      </c>
      <c r="H26" s="3" t="s">
        <v>2</v>
      </c>
      <c r="I26" s="3" t="s">
        <v>2</v>
      </c>
      <c r="J26" s="3" t="s">
        <v>1229</v>
      </c>
    </row>
    <row r="27" spans="1:10" ht="16" x14ac:dyDescent="0.2">
      <c r="A27" s="3" t="s">
        <v>21</v>
      </c>
      <c r="B27" s="3" t="s">
        <v>16</v>
      </c>
      <c r="C27" s="3" t="s">
        <v>2</v>
      </c>
      <c r="D27" s="3"/>
      <c r="E27" s="3" t="s">
        <v>70</v>
      </c>
      <c r="F27" s="3" t="s">
        <v>15</v>
      </c>
      <c r="G27" s="3" t="s">
        <v>19</v>
      </c>
      <c r="H27" s="3" t="s">
        <v>2</v>
      </c>
      <c r="I27" s="3" t="s">
        <v>2</v>
      </c>
      <c r="J27" s="3" t="s">
        <v>1227</v>
      </c>
    </row>
    <row r="28" spans="1:10" ht="16" x14ac:dyDescent="0.2">
      <c r="A28" s="3" t="s">
        <v>21</v>
      </c>
      <c r="B28" s="3" t="s">
        <v>44</v>
      </c>
      <c r="C28" s="3" t="s">
        <v>2</v>
      </c>
      <c r="D28" s="3"/>
      <c r="E28" s="3" t="s">
        <v>72</v>
      </c>
      <c r="F28" s="3" t="s">
        <v>15</v>
      </c>
      <c r="G28" s="3" t="s">
        <v>46</v>
      </c>
      <c r="H28" s="3" t="s">
        <v>2</v>
      </c>
      <c r="I28" s="3" t="s">
        <v>2</v>
      </c>
      <c r="J28" s="3" t="s">
        <v>1230</v>
      </c>
    </row>
  </sheetData>
  <mergeCells count="3">
    <mergeCell ref="A1:J1"/>
    <mergeCell ref="B2:J2"/>
    <mergeCell ref="B3:J3"/>
  </mergeCells>
  <dataValidations count="1">
    <dataValidation type="list" allowBlank="1" sqref="G6:I6" xr:uid="{00000000-0002-0000-0000-000000000000}">
      <formula1>#REF!</formula1>
    </dataValidation>
  </dataValidation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850"/>
  <sheetViews>
    <sheetView tabSelected="1" workbookViewId="0">
      <selection activeCell="D17" sqref="D17"/>
    </sheetView>
  </sheetViews>
  <sheetFormatPr baseColWidth="10" defaultColWidth="8.83203125" defaultRowHeight="15" outlineLevelRow="6" x14ac:dyDescent="0.2"/>
  <cols>
    <col min="1" max="1" width="17" customWidth="1"/>
    <col min="2" max="2" width="15.1640625" customWidth="1"/>
    <col min="3" max="3" width="29.33203125" customWidth="1"/>
    <col min="4" max="4" width="19" customWidth="1"/>
    <col min="5" max="5" width="66.1640625" style="16" customWidth="1"/>
    <col min="6" max="6" width="44.5" customWidth="1"/>
    <col min="7" max="7" width="26" customWidth="1"/>
    <col min="8" max="8" width="54.5" customWidth="1"/>
    <col min="9" max="9" width="13.1640625" customWidth="1"/>
    <col min="10" max="10" width="17.6640625" customWidth="1"/>
    <col min="12" max="12" width="29" customWidth="1"/>
  </cols>
  <sheetData>
    <row r="1" spans="1:12" ht="20" customHeight="1" x14ac:dyDescent="0.25">
      <c r="A1" s="64" t="s">
        <v>928</v>
      </c>
      <c r="B1" s="63"/>
      <c r="C1" s="63"/>
      <c r="D1" s="63"/>
      <c r="E1" s="63"/>
      <c r="F1" s="63"/>
      <c r="G1" s="63"/>
      <c r="H1" s="63"/>
      <c r="I1" s="63"/>
      <c r="J1" s="63"/>
      <c r="L1" s="63"/>
    </row>
    <row r="2" spans="1:12" ht="20" customHeight="1" x14ac:dyDescent="0.25">
      <c r="A2" s="1" t="s">
        <v>1</v>
      </c>
      <c r="B2" s="24" t="s">
        <v>2</v>
      </c>
      <c r="C2" s="25"/>
      <c r="D2" s="26"/>
      <c r="E2" s="25"/>
      <c r="F2" s="25"/>
      <c r="G2" s="25"/>
      <c r="H2" s="25"/>
      <c r="I2" s="25"/>
      <c r="J2" s="25"/>
      <c r="L2" s="30"/>
    </row>
    <row r="3" spans="1:12" ht="20" customHeight="1" x14ac:dyDescent="0.25">
      <c r="A3" s="1" t="s">
        <v>3</v>
      </c>
      <c r="B3" s="24" t="s">
        <v>4</v>
      </c>
      <c r="C3" s="25"/>
      <c r="E3" s="25"/>
      <c r="F3" s="25"/>
      <c r="G3" s="25"/>
      <c r="H3" s="25"/>
      <c r="I3" s="25"/>
      <c r="J3" s="25"/>
    </row>
    <row r="4" spans="1:12" ht="20" customHeight="1" x14ac:dyDescent="0.25">
      <c r="A4" s="2" t="s">
        <v>5</v>
      </c>
      <c r="B4" s="2" t="s">
        <v>6</v>
      </c>
      <c r="C4" s="2" t="s">
        <v>7</v>
      </c>
      <c r="D4" s="2" t="s">
        <v>14</v>
      </c>
      <c r="E4" s="9" t="s">
        <v>1</v>
      </c>
      <c r="F4" s="2" t="s">
        <v>8</v>
      </c>
      <c r="G4" s="2" t="s">
        <v>10</v>
      </c>
      <c r="H4" s="2" t="s">
        <v>1311</v>
      </c>
      <c r="I4" s="2" t="s">
        <v>1201</v>
      </c>
      <c r="J4" s="2" t="s">
        <v>1312</v>
      </c>
      <c r="L4" s="2" t="s">
        <v>2240</v>
      </c>
    </row>
    <row r="5" spans="1:12" ht="16" x14ac:dyDescent="0.2">
      <c r="A5" s="3" t="s">
        <v>21</v>
      </c>
      <c r="B5" s="3" t="s">
        <v>16</v>
      </c>
      <c r="C5" s="3" t="s">
        <v>2</v>
      </c>
      <c r="D5" s="3" t="s">
        <v>79</v>
      </c>
      <c r="E5" s="10" t="s">
        <v>78</v>
      </c>
      <c r="F5" s="3"/>
      <c r="G5" s="3" t="s">
        <v>15</v>
      </c>
      <c r="H5" s="3" t="s">
        <v>19</v>
      </c>
      <c r="I5" s="3" t="s">
        <v>2</v>
      </c>
      <c r="J5" s="3" t="s">
        <v>2</v>
      </c>
      <c r="L5" s="3" t="s">
        <v>79</v>
      </c>
    </row>
    <row r="6" spans="1:12" ht="16" x14ac:dyDescent="0.2">
      <c r="A6" s="3" t="s">
        <v>21</v>
      </c>
      <c r="B6" s="3" t="s">
        <v>16</v>
      </c>
      <c r="C6" s="3" t="s">
        <v>2</v>
      </c>
      <c r="D6" s="3" t="s">
        <v>81</v>
      </c>
      <c r="E6" s="10" t="s">
        <v>80</v>
      </c>
      <c r="F6" s="3"/>
      <c r="G6" s="3" t="s">
        <v>15</v>
      </c>
      <c r="H6" s="3" t="s">
        <v>814</v>
      </c>
      <c r="I6" s="3" t="s">
        <v>2</v>
      </c>
      <c r="J6" s="3" t="s">
        <v>2</v>
      </c>
      <c r="L6" s="3" t="s">
        <v>81</v>
      </c>
    </row>
    <row r="7" spans="1:12" ht="16" x14ac:dyDescent="0.2">
      <c r="A7" s="3" t="s">
        <v>21</v>
      </c>
      <c r="B7" s="3" t="s">
        <v>22</v>
      </c>
      <c r="C7" t="s">
        <v>1313</v>
      </c>
      <c r="D7" s="3" t="s">
        <v>84</v>
      </c>
      <c r="E7" s="10" t="s">
        <v>559</v>
      </c>
      <c r="F7" s="3"/>
      <c r="G7" s="3" t="s">
        <v>15</v>
      </c>
      <c r="H7" s="3" t="s">
        <v>83</v>
      </c>
      <c r="I7" s="3" t="s">
        <v>2</v>
      </c>
      <c r="J7" s="3" t="s">
        <v>2</v>
      </c>
      <c r="L7" s="3" t="s">
        <v>84</v>
      </c>
    </row>
    <row r="8" spans="1:12" ht="16" x14ac:dyDescent="0.2">
      <c r="A8" s="3" t="s">
        <v>15</v>
      </c>
      <c r="B8" t="s">
        <v>1178</v>
      </c>
      <c r="C8" s="3" t="s">
        <v>1323</v>
      </c>
      <c r="D8" s="3" t="s">
        <v>1325</v>
      </c>
      <c r="E8" s="10" t="s">
        <v>929</v>
      </c>
      <c r="F8" s="3" t="b">
        <f>EXACT(H7,"VCS v4.4")</f>
        <v>1</v>
      </c>
      <c r="G8" s="3" t="s">
        <v>15</v>
      </c>
      <c r="H8" s="3" t="s">
        <v>2</v>
      </c>
      <c r="I8" s="3" t="s">
        <v>2</v>
      </c>
      <c r="J8" s="3" t="s">
        <v>2</v>
      </c>
      <c r="L8" s="3" t="s">
        <v>2241</v>
      </c>
    </row>
    <row r="9" spans="1:12" ht="16" outlineLevel="1" x14ac:dyDescent="0.2">
      <c r="A9" s="5" t="s">
        <v>21</v>
      </c>
      <c r="B9" t="s">
        <v>1178</v>
      </c>
      <c r="C9" s="5" t="s">
        <v>930</v>
      </c>
      <c r="D9" s="5" t="s">
        <v>1593</v>
      </c>
      <c r="E9" s="11" t="s">
        <v>931</v>
      </c>
      <c r="F9" s="5"/>
      <c r="G9" s="5" t="s">
        <v>15</v>
      </c>
      <c r="H9" s="5" t="s">
        <v>2</v>
      </c>
      <c r="I9" s="5" t="s">
        <v>2</v>
      </c>
      <c r="J9" s="5" t="s">
        <v>2</v>
      </c>
      <c r="L9" s="5" t="s">
        <v>20</v>
      </c>
    </row>
    <row r="10" spans="1:12" ht="16" outlineLevel="2" collapsed="1" x14ac:dyDescent="0.2">
      <c r="A10" s="4" t="s">
        <v>21</v>
      </c>
      <c r="B10" s="4" t="s">
        <v>16</v>
      </c>
      <c r="C10" s="4" t="s">
        <v>2</v>
      </c>
      <c r="D10" s="4" t="s">
        <v>90</v>
      </c>
      <c r="E10" s="12" t="s">
        <v>89</v>
      </c>
      <c r="F10" s="4"/>
      <c r="G10" s="4" t="s">
        <v>15</v>
      </c>
      <c r="H10" s="4" t="s">
        <v>19</v>
      </c>
      <c r="I10" s="4" t="s">
        <v>2</v>
      </c>
      <c r="J10" s="4" t="s">
        <v>2</v>
      </c>
      <c r="L10" s="4" t="s">
        <v>24</v>
      </c>
    </row>
    <row r="11" spans="1:12" ht="16" outlineLevel="2" collapsed="1" x14ac:dyDescent="0.2">
      <c r="A11" s="4" t="s">
        <v>21</v>
      </c>
      <c r="B11" s="4" t="s">
        <v>48</v>
      </c>
      <c r="C11" s="4" t="s">
        <v>2</v>
      </c>
      <c r="D11" s="4" t="s">
        <v>933</v>
      </c>
      <c r="E11" s="12" t="s">
        <v>932</v>
      </c>
      <c r="F11" s="4"/>
      <c r="G11" s="4" t="s">
        <v>15</v>
      </c>
      <c r="H11" s="4" t="s">
        <v>50</v>
      </c>
      <c r="I11" s="4" t="s">
        <v>2</v>
      </c>
      <c r="J11" s="4" t="s">
        <v>2</v>
      </c>
      <c r="L11" s="4" t="s">
        <v>933</v>
      </c>
    </row>
    <row r="12" spans="1:12" ht="16" outlineLevel="2" collapsed="1" x14ac:dyDescent="0.2">
      <c r="A12" s="4" t="s">
        <v>21</v>
      </c>
      <c r="B12" s="4" t="s">
        <v>96</v>
      </c>
      <c r="C12" s="4" t="s">
        <v>2</v>
      </c>
      <c r="D12" s="4" t="s">
        <v>103</v>
      </c>
      <c r="E12" s="12" t="s">
        <v>934</v>
      </c>
      <c r="F12" s="4"/>
      <c r="G12" s="4" t="s">
        <v>15</v>
      </c>
      <c r="H12" s="4" t="s">
        <v>98</v>
      </c>
      <c r="I12" s="4" t="s">
        <v>2</v>
      </c>
      <c r="J12" s="4" t="s">
        <v>2</v>
      </c>
      <c r="L12" s="4" t="s">
        <v>103</v>
      </c>
    </row>
    <row r="13" spans="1:12" ht="16" outlineLevel="2" collapsed="1" x14ac:dyDescent="0.2">
      <c r="A13" s="4" t="s">
        <v>21</v>
      </c>
      <c r="B13" s="4" t="s">
        <v>96</v>
      </c>
      <c r="C13" s="4" t="s">
        <v>2</v>
      </c>
      <c r="D13" s="4" t="s">
        <v>105</v>
      </c>
      <c r="E13" s="12" t="s">
        <v>935</v>
      </c>
      <c r="F13" s="4"/>
      <c r="G13" s="4" t="s">
        <v>15</v>
      </c>
      <c r="H13" s="4" t="s">
        <v>98</v>
      </c>
      <c r="I13" s="4" t="s">
        <v>2</v>
      </c>
      <c r="J13" s="4" t="s">
        <v>2</v>
      </c>
      <c r="L13" s="4" t="s">
        <v>105</v>
      </c>
    </row>
    <row r="14" spans="1:12" ht="16" outlineLevel="2" collapsed="1" x14ac:dyDescent="0.2">
      <c r="A14" s="4" t="s">
        <v>21</v>
      </c>
      <c r="B14" s="4" t="s">
        <v>16</v>
      </c>
      <c r="C14" s="4" t="s">
        <v>2</v>
      </c>
      <c r="D14" s="4" t="s">
        <v>108</v>
      </c>
      <c r="E14" s="12" t="s">
        <v>106</v>
      </c>
      <c r="F14" s="4"/>
      <c r="G14" s="4" t="s">
        <v>15</v>
      </c>
      <c r="H14" s="4" t="s">
        <v>19</v>
      </c>
      <c r="I14" s="4" t="s">
        <v>2</v>
      </c>
      <c r="J14" s="4" t="s">
        <v>2</v>
      </c>
      <c r="L14" s="4" t="s">
        <v>108</v>
      </c>
    </row>
    <row r="15" spans="1:12" ht="16" outlineLevel="2" collapsed="1" x14ac:dyDescent="0.2">
      <c r="A15" s="4" t="s">
        <v>21</v>
      </c>
      <c r="B15" s="4" t="s">
        <v>22</v>
      </c>
      <c r="C15" t="s">
        <v>567</v>
      </c>
      <c r="D15" s="4" t="s">
        <v>1326</v>
      </c>
      <c r="E15" s="12" t="s">
        <v>567</v>
      </c>
      <c r="F15" s="4"/>
      <c r="G15" s="4" t="s">
        <v>15</v>
      </c>
      <c r="H15" s="4" t="s">
        <v>568</v>
      </c>
      <c r="I15" s="4" t="s">
        <v>2</v>
      </c>
      <c r="J15" s="4" t="s">
        <v>2</v>
      </c>
      <c r="L15" s="4" t="s">
        <v>37</v>
      </c>
    </row>
    <row r="16" spans="1:12" ht="16" outlineLevel="2" collapsed="1" x14ac:dyDescent="0.2">
      <c r="A16" s="4" t="s">
        <v>21</v>
      </c>
      <c r="B16" s="4" t="s">
        <v>16</v>
      </c>
      <c r="C16" s="4" t="s">
        <v>2</v>
      </c>
      <c r="D16" s="4" t="s">
        <v>1327</v>
      </c>
      <c r="E16" s="12" t="s">
        <v>112</v>
      </c>
      <c r="F16" s="4"/>
      <c r="G16" s="4" t="s">
        <v>15</v>
      </c>
      <c r="H16" s="4" t="s">
        <v>19</v>
      </c>
      <c r="I16" s="4" t="s">
        <v>2</v>
      </c>
      <c r="J16" s="4" t="s">
        <v>2</v>
      </c>
      <c r="L16" s="4" t="s">
        <v>39</v>
      </c>
    </row>
    <row r="17" spans="1:12" ht="16" outlineLevel="1" x14ac:dyDescent="0.2">
      <c r="A17" s="5" t="s">
        <v>21</v>
      </c>
      <c r="B17" t="s">
        <v>1178</v>
      </c>
      <c r="C17" t="s">
        <v>936</v>
      </c>
      <c r="D17" s="5" t="s">
        <v>1592</v>
      </c>
      <c r="E17" s="11" t="s">
        <v>936</v>
      </c>
      <c r="F17" s="5"/>
      <c r="G17" s="5" t="s">
        <v>15</v>
      </c>
      <c r="H17" s="5" t="s">
        <v>2</v>
      </c>
      <c r="I17" s="5" t="s">
        <v>2</v>
      </c>
      <c r="J17" s="5" t="s">
        <v>2</v>
      </c>
      <c r="L17" s="5" t="s">
        <v>41</v>
      </c>
    </row>
    <row r="18" spans="1:12" ht="16" outlineLevel="2" collapsed="1" x14ac:dyDescent="0.2">
      <c r="A18" s="4" t="s">
        <v>21</v>
      </c>
      <c r="B18" s="4" t="s">
        <v>16</v>
      </c>
      <c r="C18" s="4" t="s">
        <v>2</v>
      </c>
      <c r="D18" s="4" t="s">
        <v>778</v>
      </c>
      <c r="E18" s="12" t="s">
        <v>937</v>
      </c>
      <c r="F18" s="4"/>
      <c r="G18" s="4" t="s">
        <v>15</v>
      </c>
      <c r="H18" s="4" t="s">
        <v>19</v>
      </c>
      <c r="I18" s="4" t="s">
        <v>2</v>
      </c>
      <c r="J18" s="4" t="s">
        <v>2</v>
      </c>
      <c r="L18" s="4" t="s">
        <v>778</v>
      </c>
    </row>
    <row r="19" spans="1:12" ht="25" outlineLevel="2" collapsed="1" x14ac:dyDescent="0.2">
      <c r="A19" s="4" t="s">
        <v>15</v>
      </c>
      <c r="B19" s="4" t="s">
        <v>25</v>
      </c>
      <c r="C19" s="6" t="s">
        <v>365</v>
      </c>
      <c r="D19" s="4"/>
      <c r="E19" s="13" t="s">
        <v>938</v>
      </c>
      <c r="F19" s="4"/>
      <c r="G19" s="4" t="s">
        <v>15</v>
      </c>
      <c r="H19" s="4" t="s">
        <v>2</v>
      </c>
      <c r="I19" s="4" t="s">
        <v>2</v>
      </c>
      <c r="J19" s="4" t="s">
        <v>2</v>
      </c>
      <c r="L19" s="4" t="s">
        <v>29</v>
      </c>
    </row>
    <row r="20" spans="1:12" ht="16" outlineLevel="2" collapsed="1" x14ac:dyDescent="0.2">
      <c r="A20" s="4" t="s">
        <v>21</v>
      </c>
      <c r="B20" s="4" t="s">
        <v>22</v>
      </c>
      <c r="C20" t="s">
        <v>171</v>
      </c>
      <c r="D20" s="4" t="s">
        <v>2085</v>
      </c>
      <c r="E20" s="12" t="s">
        <v>939</v>
      </c>
      <c r="F20" s="4"/>
      <c r="G20" s="4" t="s">
        <v>15</v>
      </c>
      <c r="H20" s="4" t="s">
        <v>21</v>
      </c>
      <c r="I20" s="4" t="s">
        <v>2</v>
      </c>
      <c r="J20" s="4" t="s">
        <v>2</v>
      </c>
      <c r="L20" t="s">
        <v>31</v>
      </c>
    </row>
    <row r="21" spans="1:12" ht="16" outlineLevel="2" x14ac:dyDescent="0.2">
      <c r="A21" s="5" t="s">
        <v>15</v>
      </c>
      <c r="B21" t="s">
        <v>1178</v>
      </c>
      <c r="C21" t="s">
        <v>940</v>
      </c>
      <c r="D21" s="5" t="s">
        <v>121</v>
      </c>
      <c r="E21" s="11" t="s">
        <v>940</v>
      </c>
      <c r="F21" s="5" t="b">
        <f>EXACT(H20,"Yes")</f>
        <v>1</v>
      </c>
      <c r="G21" s="5" t="s">
        <v>21</v>
      </c>
      <c r="H21" s="5" t="s">
        <v>2</v>
      </c>
      <c r="I21" s="5" t="s">
        <v>2</v>
      </c>
      <c r="J21" s="5" t="s">
        <v>2</v>
      </c>
      <c r="L21" t="s">
        <v>33</v>
      </c>
    </row>
    <row r="22" spans="1:12" ht="16" outlineLevel="3" collapsed="1" x14ac:dyDescent="0.2">
      <c r="A22" s="4" t="s">
        <v>21</v>
      </c>
      <c r="B22" s="4" t="s">
        <v>22</v>
      </c>
      <c r="C22" s="4" t="s">
        <v>1321</v>
      </c>
      <c r="D22" s="4" t="s">
        <v>124</v>
      </c>
      <c r="E22" s="12" t="s">
        <v>122</v>
      </c>
      <c r="F22" s="4"/>
      <c r="G22" s="4" t="s">
        <v>15</v>
      </c>
      <c r="H22" s="4" t="s">
        <v>123</v>
      </c>
      <c r="I22" s="4" t="s">
        <v>2</v>
      </c>
      <c r="J22" s="4" t="s">
        <v>2</v>
      </c>
      <c r="L22" t="s">
        <v>20</v>
      </c>
    </row>
    <row r="23" spans="1:12" ht="16" outlineLevel="3" collapsed="1" x14ac:dyDescent="0.2">
      <c r="A23" s="4" t="s">
        <v>21</v>
      </c>
      <c r="B23" s="4" t="s">
        <v>96</v>
      </c>
      <c r="C23" s="4" t="s">
        <v>2</v>
      </c>
      <c r="D23" s="4" t="s">
        <v>126</v>
      </c>
      <c r="E23" s="12" t="s">
        <v>125</v>
      </c>
      <c r="F23" s="4"/>
      <c r="G23" s="4" t="s">
        <v>15</v>
      </c>
      <c r="H23" s="4" t="s">
        <v>98</v>
      </c>
      <c r="I23" s="4" t="s">
        <v>2</v>
      </c>
      <c r="J23" s="4" t="s">
        <v>2</v>
      </c>
      <c r="L23" t="s">
        <v>24</v>
      </c>
    </row>
    <row r="24" spans="1:12" ht="16" outlineLevel="3" collapsed="1" x14ac:dyDescent="0.2">
      <c r="A24" s="4" t="s">
        <v>21</v>
      </c>
      <c r="B24" s="4" t="s">
        <v>96</v>
      </c>
      <c r="C24" s="4" t="s">
        <v>2</v>
      </c>
      <c r="D24" s="4" t="s">
        <v>128</v>
      </c>
      <c r="E24" s="12" t="s">
        <v>127</v>
      </c>
      <c r="F24" s="4"/>
      <c r="G24" s="4" t="s">
        <v>15</v>
      </c>
      <c r="H24" s="4" t="s">
        <v>98</v>
      </c>
      <c r="I24" s="4" t="s">
        <v>2</v>
      </c>
      <c r="J24" s="4" t="s">
        <v>2</v>
      </c>
      <c r="L24" t="s">
        <v>27</v>
      </c>
    </row>
    <row r="25" spans="1:12" ht="16" outlineLevel="3" collapsed="1" x14ac:dyDescent="0.2">
      <c r="A25" s="4" t="s">
        <v>21</v>
      </c>
      <c r="B25" s="4" t="s">
        <v>138</v>
      </c>
      <c r="C25" s="4" t="s">
        <v>2</v>
      </c>
      <c r="D25" s="4" t="s">
        <v>140</v>
      </c>
      <c r="E25" s="12" t="s">
        <v>139</v>
      </c>
      <c r="F25" s="4"/>
      <c r="G25" s="4" t="s">
        <v>15</v>
      </c>
      <c r="H25" s="4">
        <v>1</v>
      </c>
      <c r="I25" s="4" t="s">
        <v>2</v>
      </c>
      <c r="J25" s="4" t="s">
        <v>2</v>
      </c>
      <c r="L25" t="s">
        <v>29</v>
      </c>
    </row>
    <row r="26" spans="1:12" ht="16" outlineLevel="3" collapsed="1" x14ac:dyDescent="0.2">
      <c r="A26" s="4" t="s">
        <v>21</v>
      </c>
      <c r="B26" s="4" t="s">
        <v>22</v>
      </c>
      <c r="C26" s="4" t="s">
        <v>1322</v>
      </c>
      <c r="D26" s="4" t="s">
        <v>131</v>
      </c>
      <c r="E26" s="12" t="s">
        <v>129</v>
      </c>
      <c r="F26" s="4"/>
      <c r="G26" s="4" t="s">
        <v>15</v>
      </c>
      <c r="H26" s="4" t="s">
        <v>130</v>
      </c>
      <c r="I26" s="4" t="s">
        <v>2</v>
      </c>
      <c r="J26" s="4" t="s">
        <v>2</v>
      </c>
      <c r="L26" t="s">
        <v>31</v>
      </c>
    </row>
    <row r="27" spans="1:12" ht="16" outlineLevel="3" collapsed="1" x14ac:dyDescent="0.2">
      <c r="A27" s="4" t="s">
        <v>21</v>
      </c>
      <c r="B27" s="4" t="s">
        <v>16</v>
      </c>
      <c r="C27" s="4" t="s">
        <v>2</v>
      </c>
      <c r="D27" s="4" t="s">
        <v>134</v>
      </c>
      <c r="E27" s="12" t="s">
        <v>132</v>
      </c>
      <c r="F27" s="4"/>
      <c r="G27" s="4" t="s">
        <v>15</v>
      </c>
      <c r="H27" s="4" t="s">
        <v>133</v>
      </c>
      <c r="I27" s="4" t="s">
        <v>2</v>
      </c>
      <c r="J27" s="4" t="s">
        <v>2</v>
      </c>
      <c r="L27" s="4" t="s">
        <v>33</v>
      </c>
    </row>
    <row r="28" spans="1:12" ht="16" outlineLevel="3" collapsed="1" x14ac:dyDescent="0.2">
      <c r="A28" s="4" t="s">
        <v>21</v>
      </c>
      <c r="B28" s="4" t="s">
        <v>16</v>
      </c>
      <c r="C28" s="4" t="s">
        <v>2</v>
      </c>
      <c r="D28" s="4" t="s">
        <v>2087</v>
      </c>
      <c r="E28" s="12" t="s">
        <v>135</v>
      </c>
      <c r="F28" s="4"/>
      <c r="G28" s="4" t="s">
        <v>15</v>
      </c>
      <c r="H28" s="4" t="s">
        <v>136</v>
      </c>
      <c r="I28" s="4" t="s">
        <v>2</v>
      </c>
      <c r="J28" s="4" t="s">
        <v>2</v>
      </c>
      <c r="L28" s="4" t="s">
        <v>35</v>
      </c>
    </row>
    <row r="29" spans="1:12" ht="25" outlineLevel="2" x14ac:dyDescent="0.2">
      <c r="A29" s="4" t="s">
        <v>15</v>
      </c>
      <c r="B29" s="4" t="s">
        <v>25</v>
      </c>
      <c r="C29" s="6" t="s">
        <v>365</v>
      </c>
      <c r="D29" s="4"/>
      <c r="E29" s="13" t="s">
        <v>941</v>
      </c>
      <c r="F29" s="4"/>
      <c r="G29" s="4" t="s">
        <v>15</v>
      </c>
      <c r="H29" s="4" t="s">
        <v>2</v>
      </c>
      <c r="I29" s="4" t="s">
        <v>2</v>
      </c>
      <c r="J29" s="4" t="s">
        <v>2</v>
      </c>
      <c r="L29" s="4" t="s">
        <v>51</v>
      </c>
    </row>
    <row r="30" spans="1:12" ht="16" outlineLevel="2" x14ac:dyDescent="0.2">
      <c r="A30" s="5" t="s">
        <v>15</v>
      </c>
      <c r="B30" t="s">
        <v>1178</v>
      </c>
      <c r="C30" s="5" t="s">
        <v>942</v>
      </c>
      <c r="D30" s="5" t="s">
        <v>2055</v>
      </c>
      <c r="E30" s="11" t="s">
        <v>942</v>
      </c>
      <c r="F30" s="5"/>
      <c r="G30" s="5" t="s">
        <v>21</v>
      </c>
      <c r="H30" s="5" t="s">
        <v>2</v>
      </c>
      <c r="I30" s="5" t="s">
        <v>2</v>
      </c>
      <c r="J30" s="5" t="s">
        <v>2</v>
      </c>
      <c r="L30" s="5" t="s">
        <v>63</v>
      </c>
    </row>
    <row r="31" spans="1:12" ht="48" outlineLevel="3" collapsed="1" x14ac:dyDescent="0.2">
      <c r="A31" s="4" t="s">
        <v>21</v>
      </c>
      <c r="B31" s="4" t="s">
        <v>16</v>
      </c>
      <c r="C31" s="4" t="s">
        <v>2</v>
      </c>
      <c r="D31" s="4" t="s">
        <v>145</v>
      </c>
      <c r="E31" s="12" t="s">
        <v>143</v>
      </c>
      <c r="F31" s="4"/>
      <c r="G31" s="4" t="s">
        <v>15</v>
      </c>
      <c r="H31" s="4" t="s">
        <v>1329</v>
      </c>
      <c r="I31" s="4" t="s">
        <v>1329</v>
      </c>
      <c r="J31" s="4" t="s">
        <v>2</v>
      </c>
      <c r="L31" s="4" t="s">
        <v>145</v>
      </c>
    </row>
    <row r="32" spans="1:12" ht="16" outlineLevel="3" collapsed="1" x14ac:dyDescent="0.2">
      <c r="A32" s="4" t="s">
        <v>21</v>
      </c>
      <c r="B32" s="4" t="s">
        <v>16</v>
      </c>
      <c r="C32" s="4" t="s">
        <v>2</v>
      </c>
      <c r="D32" s="4" t="s">
        <v>148</v>
      </c>
      <c r="E32" s="12" t="s">
        <v>146</v>
      </c>
      <c r="F32" s="4"/>
      <c r="G32" s="4" t="s">
        <v>15</v>
      </c>
      <c r="H32" s="4" t="s">
        <v>1330</v>
      </c>
      <c r="I32" s="4" t="s">
        <v>1330</v>
      </c>
      <c r="J32" s="4" t="s">
        <v>2</v>
      </c>
      <c r="L32" s="4" t="s">
        <v>148</v>
      </c>
    </row>
    <row r="33" spans="1:12" ht="25" outlineLevel="2" x14ac:dyDescent="0.2">
      <c r="A33" s="4" t="s">
        <v>15</v>
      </c>
      <c r="B33" s="4" t="s">
        <v>25</v>
      </c>
      <c r="C33" s="6" t="s">
        <v>365</v>
      </c>
      <c r="D33" s="4"/>
      <c r="E33" s="13" t="s">
        <v>943</v>
      </c>
      <c r="F33" s="4"/>
      <c r="G33" s="4" t="s">
        <v>15</v>
      </c>
      <c r="H33" s="4" t="s">
        <v>2</v>
      </c>
      <c r="I33" s="4" t="s">
        <v>2</v>
      </c>
      <c r="J33" s="4" t="s">
        <v>2</v>
      </c>
      <c r="L33" s="4" t="s">
        <v>71</v>
      </c>
    </row>
    <row r="34" spans="1:12" ht="16" outlineLevel="2" collapsed="1" x14ac:dyDescent="0.2">
      <c r="A34" s="4" t="s">
        <v>21</v>
      </c>
      <c r="B34" s="4" t="s">
        <v>16</v>
      </c>
      <c r="C34" s="4" t="s">
        <v>2</v>
      </c>
      <c r="D34" s="4" t="s">
        <v>606</v>
      </c>
      <c r="E34" s="12" t="s">
        <v>944</v>
      </c>
      <c r="F34" s="4"/>
      <c r="G34" s="4" t="s">
        <v>15</v>
      </c>
      <c r="H34" s="4" t="s">
        <v>19</v>
      </c>
      <c r="I34" s="4" t="s">
        <v>2</v>
      </c>
      <c r="J34" s="4" t="s">
        <v>2</v>
      </c>
      <c r="L34" s="4" t="s">
        <v>522</v>
      </c>
    </row>
    <row r="35" spans="1:12" ht="16" outlineLevel="2" x14ac:dyDescent="0.2">
      <c r="A35" s="4" t="s">
        <v>1334</v>
      </c>
      <c r="B35" s="4" t="s">
        <v>16</v>
      </c>
      <c r="C35" s="4"/>
      <c r="D35" s="4" t="s">
        <v>2056</v>
      </c>
      <c r="E35" s="12" t="s">
        <v>1331</v>
      </c>
      <c r="F35" s="4"/>
      <c r="G35" s="4" t="s">
        <v>15</v>
      </c>
      <c r="H35" s="4" t="s">
        <v>1332</v>
      </c>
      <c r="I35" s="4" t="s">
        <v>1332</v>
      </c>
      <c r="J35" s="4"/>
      <c r="L35" s="4" t="s">
        <v>2275</v>
      </c>
    </row>
    <row r="36" spans="1:12" ht="256" outlineLevel="2" x14ac:dyDescent="0.2">
      <c r="A36" s="4" t="s">
        <v>15</v>
      </c>
      <c r="B36" s="4" t="s">
        <v>16</v>
      </c>
      <c r="C36" s="4"/>
      <c r="D36" s="4" t="s">
        <v>2057</v>
      </c>
      <c r="E36" s="12" t="s">
        <v>1333</v>
      </c>
      <c r="F36" s="4"/>
      <c r="G36" s="4" t="s">
        <v>15</v>
      </c>
      <c r="H36" s="4"/>
      <c r="I36" s="4"/>
      <c r="J36" s="4" t="s">
        <v>1335</v>
      </c>
      <c r="L36" s="4" t="s">
        <v>533</v>
      </c>
    </row>
    <row r="37" spans="1:12" ht="16" outlineLevel="2" collapsed="1" x14ac:dyDescent="0.2">
      <c r="A37" s="4" t="s">
        <v>21</v>
      </c>
      <c r="B37" s="4" t="s">
        <v>16</v>
      </c>
      <c r="C37" s="4" t="s">
        <v>2</v>
      </c>
      <c r="D37" s="4" t="s">
        <v>1932</v>
      </c>
      <c r="E37" s="12" t="s">
        <v>935</v>
      </c>
      <c r="F37" s="4"/>
      <c r="G37" s="4" t="s">
        <v>15</v>
      </c>
      <c r="H37" s="4" t="s">
        <v>19</v>
      </c>
      <c r="I37" s="4" t="s">
        <v>2</v>
      </c>
      <c r="J37" s="4" t="s">
        <v>2</v>
      </c>
      <c r="L37" s="4" t="s">
        <v>2275</v>
      </c>
    </row>
    <row r="38" spans="1:12" ht="25" outlineLevel="2" collapsed="1" x14ac:dyDescent="0.2">
      <c r="A38" s="4" t="s">
        <v>15</v>
      </c>
      <c r="B38" s="4" t="s">
        <v>25</v>
      </c>
      <c r="C38" s="6" t="s">
        <v>365</v>
      </c>
      <c r="D38" s="4"/>
      <c r="E38" s="13" t="s">
        <v>945</v>
      </c>
      <c r="F38" s="4"/>
      <c r="G38" s="4" t="s">
        <v>15</v>
      </c>
      <c r="H38" s="4" t="s">
        <v>2</v>
      </c>
      <c r="I38" s="4" t="s">
        <v>2</v>
      </c>
      <c r="J38" s="4" t="s">
        <v>2</v>
      </c>
      <c r="L38" s="4" t="s">
        <v>488</v>
      </c>
    </row>
    <row r="39" spans="1:12" ht="16" outlineLevel="2" collapsed="1" x14ac:dyDescent="0.2">
      <c r="A39" s="4" t="s">
        <v>21</v>
      </c>
      <c r="B39" s="4" t="s">
        <v>22</v>
      </c>
      <c r="C39" t="s">
        <v>1314</v>
      </c>
      <c r="D39" s="4" t="s">
        <v>1595</v>
      </c>
      <c r="E39" s="12" t="s">
        <v>946</v>
      </c>
      <c r="F39" s="4"/>
      <c r="G39" s="4" t="s">
        <v>15</v>
      </c>
      <c r="H39" s="4" t="s">
        <v>1197</v>
      </c>
      <c r="I39" s="4" t="s">
        <v>2</v>
      </c>
      <c r="J39" s="4" t="s">
        <v>2</v>
      </c>
      <c r="L39" s="4" t="s">
        <v>827</v>
      </c>
    </row>
    <row r="40" spans="1:12" ht="16" outlineLevel="2" collapsed="1" x14ac:dyDescent="0.2">
      <c r="A40" s="4" t="s">
        <v>15</v>
      </c>
      <c r="B40" s="4" t="s">
        <v>16</v>
      </c>
      <c r="C40" s="4" t="s">
        <v>2</v>
      </c>
      <c r="D40" s="4" t="s">
        <v>2058</v>
      </c>
      <c r="E40" s="15" t="s">
        <v>948</v>
      </c>
      <c r="F40" s="4"/>
      <c r="G40" s="4" t="s">
        <v>15</v>
      </c>
      <c r="H40" s="4" t="s">
        <v>19</v>
      </c>
      <c r="I40" s="4" t="s">
        <v>2</v>
      </c>
      <c r="J40" s="4" t="s">
        <v>2</v>
      </c>
      <c r="L40" t="s">
        <v>503</v>
      </c>
    </row>
    <row r="41" spans="1:12" ht="25" outlineLevel="2" collapsed="1" x14ac:dyDescent="0.2">
      <c r="A41" s="4" t="s">
        <v>15</v>
      </c>
      <c r="B41" s="4" t="s">
        <v>25</v>
      </c>
      <c r="C41" s="6" t="s">
        <v>365</v>
      </c>
      <c r="D41" s="4"/>
      <c r="E41" s="13" t="s">
        <v>949</v>
      </c>
      <c r="F41" s="4"/>
      <c r="G41" s="4" t="s">
        <v>15</v>
      </c>
      <c r="H41" s="4" t="s">
        <v>2</v>
      </c>
      <c r="I41" s="4" t="s">
        <v>2</v>
      </c>
      <c r="J41" s="4" t="s">
        <v>2</v>
      </c>
      <c r="L41" s="4" t="s">
        <v>534</v>
      </c>
    </row>
    <row r="42" spans="1:12" ht="16" outlineLevel="2" x14ac:dyDescent="0.2">
      <c r="A42" s="5" t="s">
        <v>21</v>
      </c>
      <c r="B42" t="s">
        <v>1178</v>
      </c>
      <c r="C42" t="s">
        <v>2347</v>
      </c>
      <c r="D42" s="5" t="s">
        <v>153</v>
      </c>
      <c r="E42" t="s">
        <v>950</v>
      </c>
      <c r="F42" s="5"/>
      <c r="G42" s="5" t="s">
        <v>21</v>
      </c>
      <c r="H42" s="5" t="s">
        <v>2</v>
      </c>
      <c r="I42" s="5" t="s">
        <v>2</v>
      </c>
      <c r="J42" s="5" t="s">
        <v>2</v>
      </c>
      <c r="L42" s="5" t="s">
        <v>834</v>
      </c>
    </row>
    <row r="43" spans="1:12" ht="16" outlineLevel="3" collapsed="1" x14ac:dyDescent="0.2">
      <c r="A43" s="4" t="s">
        <v>21</v>
      </c>
      <c r="B43" s="4" t="s">
        <v>16</v>
      </c>
      <c r="C43" s="4" t="s">
        <v>2</v>
      </c>
      <c r="D43" s="4" t="s">
        <v>156</v>
      </c>
      <c r="E43" s="12" t="s">
        <v>154</v>
      </c>
      <c r="F43" s="4"/>
      <c r="G43" s="4" t="s">
        <v>15</v>
      </c>
      <c r="H43" s="4" t="s">
        <v>155</v>
      </c>
      <c r="I43" s="4" t="s">
        <v>2</v>
      </c>
      <c r="J43" s="4" t="s">
        <v>2</v>
      </c>
      <c r="L43" s="4" t="s">
        <v>156</v>
      </c>
    </row>
    <row r="44" spans="1:12" ht="16" outlineLevel="3" collapsed="1" x14ac:dyDescent="0.2">
      <c r="A44" s="4" t="s">
        <v>21</v>
      </c>
      <c r="B44" s="4" t="s">
        <v>16</v>
      </c>
      <c r="C44" s="4" t="s">
        <v>2</v>
      </c>
      <c r="D44" s="4" t="s">
        <v>159</v>
      </c>
      <c r="E44" s="12" t="s">
        <v>157</v>
      </c>
      <c r="F44" s="4"/>
      <c r="G44" s="4" t="s">
        <v>15</v>
      </c>
      <c r="H44" s="4" t="s">
        <v>158</v>
      </c>
      <c r="I44" s="4" t="s">
        <v>2</v>
      </c>
      <c r="J44" s="4" t="s">
        <v>2</v>
      </c>
      <c r="L44" s="4" t="s">
        <v>159</v>
      </c>
    </row>
    <row r="45" spans="1:12" ht="16" outlineLevel="3" collapsed="1" x14ac:dyDescent="0.2">
      <c r="A45" s="4" t="s">
        <v>21</v>
      </c>
      <c r="B45" s="4" t="s">
        <v>16</v>
      </c>
      <c r="C45" s="4" t="s">
        <v>2</v>
      </c>
      <c r="D45" s="4" t="s">
        <v>162</v>
      </c>
      <c r="E45" s="12" t="s">
        <v>160</v>
      </c>
      <c r="F45" s="4"/>
      <c r="G45" s="4" t="s">
        <v>15</v>
      </c>
      <c r="H45" s="4" t="s">
        <v>161</v>
      </c>
      <c r="I45" s="4" t="s">
        <v>2</v>
      </c>
      <c r="J45" s="4" t="s">
        <v>2</v>
      </c>
      <c r="L45" s="4" t="s">
        <v>162</v>
      </c>
    </row>
    <row r="46" spans="1:12" ht="16" outlineLevel="3" collapsed="1" x14ac:dyDescent="0.2">
      <c r="A46" s="4" t="s">
        <v>21</v>
      </c>
      <c r="B46" s="4" t="s">
        <v>16</v>
      </c>
      <c r="C46" s="4" t="s">
        <v>2</v>
      </c>
      <c r="D46" s="4" t="s">
        <v>165</v>
      </c>
      <c r="E46" s="12" t="s">
        <v>163</v>
      </c>
      <c r="F46" s="4"/>
      <c r="G46" s="4" t="s">
        <v>15</v>
      </c>
      <c r="H46" s="4" t="s">
        <v>164</v>
      </c>
      <c r="I46" s="4" t="s">
        <v>2</v>
      </c>
      <c r="J46" s="4" t="s">
        <v>2</v>
      </c>
      <c r="L46" s="4" t="s">
        <v>165</v>
      </c>
    </row>
    <row r="47" spans="1:12" ht="16" outlineLevel="3" collapsed="1" x14ac:dyDescent="0.2">
      <c r="A47" s="4" t="s">
        <v>21</v>
      </c>
      <c r="B47" s="4" t="s">
        <v>16</v>
      </c>
      <c r="C47" s="4" t="s">
        <v>2</v>
      </c>
      <c r="D47" s="4" t="s">
        <v>168</v>
      </c>
      <c r="E47" s="12" t="s">
        <v>166</v>
      </c>
      <c r="F47" s="4"/>
      <c r="G47" s="4" t="s">
        <v>15</v>
      </c>
      <c r="H47" s="4" t="s">
        <v>167</v>
      </c>
      <c r="I47" s="4" t="s">
        <v>2</v>
      </c>
      <c r="J47" s="4" t="s">
        <v>2</v>
      </c>
      <c r="L47" s="4" t="s">
        <v>168</v>
      </c>
    </row>
    <row r="48" spans="1:12" ht="16" outlineLevel="3" collapsed="1" x14ac:dyDescent="0.2">
      <c r="A48" s="4" t="s">
        <v>21</v>
      </c>
      <c r="B48" s="4" t="s">
        <v>44</v>
      </c>
      <c r="C48" s="4" t="s">
        <v>2</v>
      </c>
      <c r="D48" s="4" t="s">
        <v>170</v>
      </c>
      <c r="E48" s="12" t="s">
        <v>44</v>
      </c>
      <c r="F48" s="4"/>
      <c r="G48" s="4" t="s">
        <v>15</v>
      </c>
      <c r="H48" s="4" t="s">
        <v>169</v>
      </c>
      <c r="I48" s="4" t="s">
        <v>2</v>
      </c>
      <c r="J48" s="4" t="s">
        <v>2</v>
      </c>
      <c r="L48" s="4" t="s">
        <v>170</v>
      </c>
    </row>
    <row r="49" spans="1:12" ht="16" outlineLevel="3" collapsed="1" x14ac:dyDescent="0.2">
      <c r="A49" s="4" t="s">
        <v>21</v>
      </c>
      <c r="B49" s="4" t="s">
        <v>171</v>
      </c>
      <c r="C49" s="4" t="s">
        <v>2</v>
      </c>
      <c r="D49" s="4" t="s">
        <v>952</v>
      </c>
      <c r="E49" s="12" t="s">
        <v>951</v>
      </c>
      <c r="F49" s="4"/>
      <c r="G49" s="4" t="s">
        <v>15</v>
      </c>
      <c r="H49" s="4" t="b">
        <v>1</v>
      </c>
      <c r="I49" s="4" t="s">
        <v>2</v>
      </c>
      <c r="J49" s="4" t="s">
        <v>2</v>
      </c>
      <c r="L49" s="4" t="s">
        <v>952</v>
      </c>
    </row>
    <row r="50" spans="1:12" ht="16" outlineLevel="3" collapsed="1" x14ac:dyDescent="0.2">
      <c r="A50" s="4" t="s">
        <v>21</v>
      </c>
      <c r="B50" s="4" t="s">
        <v>16</v>
      </c>
      <c r="C50" s="4" t="s">
        <v>2</v>
      </c>
      <c r="D50" s="4" t="s">
        <v>954</v>
      </c>
      <c r="E50" s="12" t="s">
        <v>953</v>
      </c>
      <c r="F50" s="4"/>
      <c r="G50" s="4" t="s">
        <v>15</v>
      </c>
      <c r="H50" s="4" t="s">
        <v>150</v>
      </c>
      <c r="I50" s="4" t="s">
        <v>2</v>
      </c>
      <c r="J50" s="4" t="s">
        <v>2</v>
      </c>
      <c r="L50" s="4" t="s">
        <v>954</v>
      </c>
    </row>
    <row r="51" spans="1:12" ht="25" outlineLevel="2" x14ac:dyDescent="0.2">
      <c r="A51" s="4" t="s">
        <v>15</v>
      </c>
      <c r="B51" s="4" t="s">
        <v>25</v>
      </c>
      <c r="C51" s="6" t="s">
        <v>365</v>
      </c>
      <c r="D51" s="4"/>
      <c r="E51" s="13" t="s">
        <v>955</v>
      </c>
      <c r="F51" s="4"/>
      <c r="G51" s="4" t="s">
        <v>15</v>
      </c>
      <c r="H51" s="4" t="s">
        <v>2</v>
      </c>
      <c r="I51" s="4" t="s">
        <v>2</v>
      </c>
      <c r="J51" s="4" t="s">
        <v>2</v>
      </c>
      <c r="L51" s="4" t="s">
        <v>838</v>
      </c>
    </row>
    <row r="52" spans="1:12" ht="16" outlineLevel="2" x14ac:dyDescent="0.2">
      <c r="A52" s="5" t="s">
        <v>15</v>
      </c>
      <c r="B52" s="32" t="s">
        <v>1178</v>
      </c>
      <c r="C52" s="32" t="s">
        <v>1336</v>
      </c>
      <c r="D52" s="5" t="s">
        <v>2088</v>
      </c>
      <c r="E52" s="11" t="s">
        <v>1336</v>
      </c>
      <c r="F52" s="5"/>
      <c r="G52" s="5" t="s">
        <v>21</v>
      </c>
      <c r="H52" s="5" t="s">
        <v>2</v>
      </c>
      <c r="I52" s="5" t="s">
        <v>2</v>
      </c>
      <c r="J52" s="5" t="s">
        <v>2</v>
      </c>
      <c r="L52" s="5" t="s">
        <v>536</v>
      </c>
    </row>
    <row r="53" spans="1:12" ht="16" outlineLevel="3" collapsed="1" x14ac:dyDescent="0.2">
      <c r="A53" s="4" t="s">
        <v>21</v>
      </c>
      <c r="B53" s="4" t="s">
        <v>16</v>
      </c>
      <c r="C53" s="4" t="s">
        <v>2</v>
      </c>
      <c r="D53" s="4" t="s">
        <v>156</v>
      </c>
      <c r="E53" s="12" t="s">
        <v>154</v>
      </c>
      <c r="F53" s="4"/>
      <c r="G53" s="4" t="s">
        <v>15</v>
      </c>
      <c r="H53" s="4" t="s">
        <v>19</v>
      </c>
      <c r="I53" s="4" t="s">
        <v>2</v>
      </c>
      <c r="J53" s="4" t="s">
        <v>2</v>
      </c>
      <c r="L53" s="4" t="s">
        <v>156</v>
      </c>
    </row>
    <row r="54" spans="1:12" ht="16" outlineLevel="3" collapsed="1" x14ac:dyDescent="0.2">
      <c r="A54" s="4" t="s">
        <v>21</v>
      </c>
      <c r="B54" s="4" t="s">
        <v>16</v>
      </c>
      <c r="C54" s="4" t="s">
        <v>2</v>
      </c>
      <c r="D54" s="4" t="s">
        <v>956</v>
      </c>
      <c r="E54" s="12" t="s">
        <v>178</v>
      </c>
      <c r="F54" s="4"/>
      <c r="G54" s="4" t="s">
        <v>15</v>
      </c>
      <c r="H54" s="4" t="s">
        <v>19</v>
      </c>
      <c r="I54" s="4" t="s">
        <v>2</v>
      </c>
      <c r="J54" s="4" t="s">
        <v>2</v>
      </c>
      <c r="L54" s="4" t="s">
        <v>956</v>
      </c>
    </row>
    <row r="55" spans="1:12" ht="16" outlineLevel="3" collapsed="1" x14ac:dyDescent="0.2">
      <c r="A55" s="4" t="s">
        <v>21</v>
      </c>
      <c r="B55" s="4" t="s">
        <v>16</v>
      </c>
      <c r="C55" s="4" t="s">
        <v>2</v>
      </c>
      <c r="D55" s="4" t="s">
        <v>159</v>
      </c>
      <c r="E55" s="12" t="s">
        <v>157</v>
      </c>
      <c r="F55" s="4"/>
      <c r="G55" s="4" t="s">
        <v>15</v>
      </c>
      <c r="H55" s="4" t="s">
        <v>19</v>
      </c>
      <c r="I55" s="4" t="s">
        <v>2</v>
      </c>
      <c r="J55" s="4" t="s">
        <v>2</v>
      </c>
      <c r="L55" s="4" t="s">
        <v>159</v>
      </c>
    </row>
    <row r="56" spans="1:12" ht="16" outlineLevel="3" collapsed="1" x14ac:dyDescent="0.2">
      <c r="A56" s="4" t="s">
        <v>21</v>
      </c>
      <c r="B56" s="4" t="s">
        <v>16</v>
      </c>
      <c r="C56" s="4" t="s">
        <v>2</v>
      </c>
      <c r="D56" s="4" t="s">
        <v>162</v>
      </c>
      <c r="E56" s="12" t="s">
        <v>160</v>
      </c>
      <c r="F56" s="4"/>
      <c r="G56" s="4" t="s">
        <v>15</v>
      </c>
      <c r="H56" s="4" t="s">
        <v>19</v>
      </c>
      <c r="I56" s="4" t="s">
        <v>2</v>
      </c>
      <c r="J56" s="4" t="s">
        <v>2</v>
      </c>
      <c r="L56" s="4" t="s">
        <v>162</v>
      </c>
    </row>
    <row r="57" spans="1:12" ht="16" outlineLevel="3" collapsed="1" x14ac:dyDescent="0.2">
      <c r="A57" s="4" t="s">
        <v>21</v>
      </c>
      <c r="B57" s="4" t="s">
        <v>16</v>
      </c>
      <c r="C57" s="4" t="s">
        <v>2</v>
      </c>
      <c r="D57" s="4" t="s">
        <v>165</v>
      </c>
      <c r="E57" s="12" t="s">
        <v>957</v>
      </c>
      <c r="F57" s="4"/>
      <c r="G57" s="4" t="s">
        <v>15</v>
      </c>
      <c r="H57" s="4" t="s">
        <v>19</v>
      </c>
      <c r="I57" s="4" t="s">
        <v>2</v>
      </c>
      <c r="J57" s="4" t="s">
        <v>2</v>
      </c>
      <c r="L57" s="4" t="s">
        <v>165</v>
      </c>
    </row>
    <row r="58" spans="1:12" ht="16" outlineLevel="3" collapsed="1" x14ac:dyDescent="0.2">
      <c r="A58" s="4" t="s">
        <v>21</v>
      </c>
      <c r="B58" s="4" t="s">
        <v>16</v>
      </c>
      <c r="C58" s="4" t="s">
        <v>2</v>
      </c>
      <c r="D58" s="4" t="s">
        <v>168</v>
      </c>
      <c r="E58" s="12" t="s">
        <v>166</v>
      </c>
      <c r="F58" s="4"/>
      <c r="G58" s="4" t="s">
        <v>15</v>
      </c>
      <c r="H58" s="4" t="s">
        <v>958</v>
      </c>
      <c r="I58" s="4" t="s">
        <v>2</v>
      </c>
      <c r="J58" s="4" t="s">
        <v>2</v>
      </c>
      <c r="L58" s="4" t="s">
        <v>168</v>
      </c>
    </row>
    <row r="59" spans="1:12" ht="16" outlineLevel="3" collapsed="1" x14ac:dyDescent="0.2">
      <c r="A59" s="4" t="s">
        <v>21</v>
      </c>
      <c r="B59" s="4" t="s">
        <v>44</v>
      </c>
      <c r="C59" s="4" t="s">
        <v>2</v>
      </c>
      <c r="D59" s="4" t="s">
        <v>170</v>
      </c>
      <c r="E59" s="12" t="s">
        <v>44</v>
      </c>
      <c r="F59" s="4"/>
      <c r="G59" s="4" t="s">
        <v>15</v>
      </c>
      <c r="H59" s="4" t="s">
        <v>46</v>
      </c>
      <c r="I59" s="4" t="s">
        <v>2</v>
      </c>
      <c r="J59" s="4" t="s">
        <v>2</v>
      </c>
      <c r="L59" s="4" t="s">
        <v>170</v>
      </c>
    </row>
    <row r="60" spans="1:12" ht="16" outlineLevel="3" collapsed="1" x14ac:dyDescent="0.2">
      <c r="A60" s="4" t="s">
        <v>21</v>
      </c>
      <c r="B60" s="4" t="s">
        <v>171</v>
      </c>
      <c r="C60" s="4" t="s">
        <v>2</v>
      </c>
      <c r="D60" s="4" t="s">
        <v>952</v>
      </c>
      <c r="E60" s="12" t="s">
        <v>951</v>
      </c>
      <c r="F60" s="4"/>
      <c r="G60" s="4" t="s">
        <v>15</v>
      </c>
      <c r="H60" s="4" t="s">
        <v>21</v>
      </c>
      <c r="I60" s="4" t="s">
        <v>21</v>
      </c>
      <c r="J60" s="4" t="s">
        <v>2</v>
      </c>
      <c r="L60" s="4" t="s">
        <v>952</v>
      </c>
    </row>
    <row r="61" spans="1:12" ht="64" outlineLevel="2" x14ac:dyDescent="0.2">
      <c r="A61" s="4" t="s">
        <v>21</v>
      </c>
      <c r="B61" s="4" t="s">
        <v>16</v>
      </c>
      <c r="C61" s="4" t="s">
        <v>2</v>
      </c>
      <c r="D61" s="4" t="s">
        <v>960</v>
      </c>
      <c r="E61" s="12" t="s">
        <v>959</v>
      </c>
      <c r="F61" s="4"/>
      <c r="G61" s="4" t="s">
        <v>15</v>
      </c>
      <c r="H61" s="4" t="s">
        <v>19</v>
      </c>
      <c r="I61" s="4" t="s">
        <v>2</v>
      </c>
      <c r="J61" s="4" t="s">
        <v>1337</v>
      </c>
      <c r="L61" s="4" t="s">
        <v>960</v>
      </c>
    </row>
    <row r="62" spans="1:12" ht="25" outlineLevel="2" collapsed="1" x14ac:dyDescent="0.2">
      <c r="A62" s="4" t="s">
        <v>15</v>
      </c>
      <c r="B62" s="4" t="s">
        <v>25</v>
      </c>
      <c r="C62" s="6" t="s">
        <v>365</v>
      </c>
      <c r="D62" s="4"/>
      <c r="E62" s="13" t="s">
        <v>961</v>
      </c>
      <c r="F62" s="4"/>
      <c r="G62" s="4" t="s">
        <v>15</v>
      </c>
      <c r="H62" s="4" t="s">
        <v>2</v>
      </c>
      <c r="I62" s="4" t="s">
        <v>2</v>
      </c>
      <c r="J62" s="4" t="s">
        <v>2</v>
      </c>
      <c r="L62" s="4" t="s">
        <v>962</v>
      </c>
    </row>
    <row r="63" spans="1:12" ht="16" outlineLevel="2" collapsed="1" x14ac:dyDescent="0.2">
      <c r="A63" s="4" t="s">
        <v>21</v>
      </c>
      <c r="B63" s="4" t="s">
        <v>96</v>
      </c>
      <c r="C63" s="4" t="s">
        <v>2</v>
      </c>
      <c r="D63" s="4" t="s">
        <v>99</v>
      </c>
      <c r="E63" s="12" t="s">
        <v>182</v>
      </c>
      <c r="F63" s="4"/>
      <c r="G63" s="4" t="s">
        <v>15</v>
      </c>
      <c r="H63" s="4" t="s">
        <v>98</v>
      </c>
      <c r="I63" s="4" t="s">
        <v>2</v>
      </c>
      <c r="J63" s="4" t="s">
        <v>2</v>
      </c>
      <c r="L63" s="4" t="s">
        <v>99</v>
      </c>
    </row>
    <row r="64" spans="1:12" ht="80" outlineLevel="2" collapsed="1" x14ac:dyDescent="0.2">
      <c r="A64" s="4" t="s">
        <v>21</v>
      </c>
      <c r="B64" s="4" t="s">
        <v>16</v>
      </c>
      <c r="C64" s="4" t="s">
        <v>2</v>
      </c>
      <c r="D64" s="4" t="s">
        <v>963</v>
      </c>
      <c r="E64" s="12" t="s">
        <v>183</v>
      </c>
      <c r="F64" s="4"/>
      <c r="G64" s="4" t="s">
        <v>15</v>
      </c>
      <c r="H64" s="4" t="s">
        <v>19</v>
      </c>
      <c r="I64" s="4" t="s">
        <v>2</v>
      </c>
      <c r="J64" s="4" t="s">
        <v>1338</v>
      </c>
      <c r="L64" s="4" t="s">
        <v>963</v>
      </c>
    </row>
    <row r="65" spans="1:12" ht="25" outlineLevel="2" collapsed="1" x14ac:dyDescent="0.2">
      <c r="A65" s="4" t="s">
        <v>15</v>
      </c>
      <c r="B65" s="4" t="s">
        <v>25</v>
      </c>
      <c r="C65" s="6" t="s">
        <v>365</v>
      </c>
      <c r="D65" s="4"/>
      <c r="E65" s="13" t="s">
        <v>964</v>
      </c>
      <c r="F65" s="4"/>
      <c r="G65" s="4" t="s">
        <v>15</v>
      </c>
      <c r="H65" s="4" t="s">
        <v>2</v>
      </c>
      <c r="I65" s="4" t="s">
        <v>2</v>
      </c>
      <c r="J65" s="4" t="s">
        <v>2</v>
      </c>
      <c r="L65" s="4" t="s">
        <v>858</v>
      </c>
    </row>
    <row r="66" spans="1:12" ht="16" outlineLevel="2" collapsed="1" x14ac:dyDescent="0.2">
      <c r="A66" s="4" t="s">
        <v>21</v>
      </c>
      <c r="B66" s="4" t="s">
        <v>22</v>
      </c>
      <c r="C66" t="s">
        <v>566</v>
      </c>
      <c r="D66" s="4" t="s">
        <v>966</v>
      </c>
      <c r="E66" s="12" t="s">
        <v>187</v>
      </c>
      <c r="F66" s="4"/>
      <c r="G66" s="4" t="s">
        <v>15</v>
      </c>
      <c r="H66" s="4" t="s">
        <v>965</v>
      </c>
      <c r="I66" s="4" t="s">
        <v>2</v>
      </c>
      <c r="J66" s="4" t="s">
        <v>2</v>
      </c>
      <c r="L66" s="4" t="s">
        <v>966</v>
      </c>
    </row>
    <row r="67" spans="1:12" ht="25" outlineLevel="2" collapsed="1" x14ac:dyDescent="0.2">
      <c r="A67" s="4" t="s">
        <v>15</v>
      </c>
      <c r="B67" s="4" t="s">
        <v>25</v>
      </c>
      <c r="C67" s="6" t="s">
        <v>365</v>
      </c>
      <c r="D67" s="4"/>
      <c r="E67" s="13" t="s">
        <v>969</v>
      </c>
      <c r="F67" s="4"/>
      <c r="G67" s="4" t="s">
        <v>15</v>
      </c>
      <c r="H67" s="4" t="s">
        <v>2</v>
      </c>
      <c r="I67" s="4" t="s">
        <v>2</v>
      </c>
      <c r="J67" s="4" t="s">
        <v>2</v>
      </c>
      <c r="L67" s="4" t="s">
        <v>654</v>
      </c>
    </row>
    <row r="68" spans="1:12" ht="16" outlineLevel="2" collapsed="1" x14ac:dyDescent="0.2">
      <c r="A68" s="4" t="s">
        <v>21</v>
      </c>
      <c r="B68" s="4" t="s">
        <v>96</v>
      </c>
      <c r="C68" s="4" t="s">
        <v>2</v>
      </c>
      <c r="D68" s="4" t="s">
        <v>970</v>
      </c>
      <c r="E68" s="15" t="s">
        <v>97</v>
      </c>
      <c r="F68" s="4"/>
      <c r="G68" s="4" t="s">
        <v>15</v>
      </c>
      <c r="H68" s="4" t="s">
        <v>98</v>
      </c>
      <c r="I68" s="4" t="s">
        <v>2</v>
      </c>
      <c r="J68" s="4" t="s">
        <v>2</v>
      </c>
      <c r="L68" s="4" t="s">
        <v>970</v>
      </c>
    </row>
    <row r="69" spans="1:12" ht="16" outlineLevel="2" collapsed="1" x14ac:dyDescent="0.2">
      <c r="A69" s="4" t="s">
        <v>15</v>
      </c>
      <c r="B69" s="4" t="s">
        <v>96</v>
      </c>
      <c r="C69" s="4" t="s">
        <v>2</v>
      </c>
      <c r="D69" s="4" t="s">
        <v>971</v>
      </c>
      <c r="E69" s="12" t="s">
        <v>100</v>
      </c>
      <c r="F69" s="4" t="b">
        <f>EXACT(H66,"Other (state the selected crediting period and justify how it conforms with the VCS Program requirements)")</f>
        <v>0</v>
      </c>
      <c r="G69" s="4" t="s">
        <v>15</v>
      </c>
      <c r="H69" s="4" t="s">
        <v>98</v>
      </c>
      <c r="I69" s="4" t="s">
        <v>2</v>
      </c>
      <c r="J69" s="4" t="s">
        <v>2</v>
      </c>
      <c r="L69" s="4" t="s">
        <v>971</v>
      </c>
    </row>
    <row r="70" spans="1:12" ht="16" outlineLevel="2" collapsed="1" x14ac:dyDescent="0.2">
      <c r="A70" s="4" t="s">
        <v>21</v>
      </c>
      <c r="B70" s="4" t="s">
        <v>138</v>
      </c>
      <c r="C70" s="4" t="s">
        <v>2</v>
      </c>
      <c r="D70" s="4" t="s">
        <v>973</v>
      </c>
      <c r="E70" s="12" t="s">
        <v>972</v>
      </c>
      <c r="F70" s="4"/>
      <c r="G70" s="4" t="s">
        <v>15</v>
      </c>
      <c r="H70" s="4"/>
      <c r="I70" s="4" t="s">
        <v>2</v>
      </c>
      <c r="J70" s="4" t="s">
        <v>2</v>
      </c>
      <c r="L70" s="4" t="s">
        <v>973</v>
      </c>
    </row>
    <row r="71" spans="1:12" ht="16" outlineLevel="2" collapsed="1" x14ac:dyDescent="0.2">
      <c r="A71" s="4" t="s">
        <v>15</v>
      </c>
      <c r="B71" s="4" t="s">
        <v>16</v>
      </c>
      <c r="C71" s="4" t="s">
        <v>2</v>
      </c>
      <c r="D71" s="4" t="s">
        <v>968</v>
      </c>
      <c r="E71" s="12" t="s">
        <v>967</v>
      </c>
      <c r="F71" s="4" t="b">
        <f>EXACT(H64,"Other (state the selected crediting period and justify how it conforms with the VCS Program requirements)")</f>
        <v>0</v>
      </c>
      <c r="G71" s="4" t="s">
        <v>15</v>
      </c>
      <c r="H71" s="4" t="s">
        <v>19</v>
      </c>
      <c r="I71" s="4" t="s">
        <v>2</v>
      </c>
      <c r="J71" s="4" t="s">
        <v>2</v>
      </c>
      <c r="L71" s="4" t="s">
        <v>968</v>
      </c>
    </row>
    <row r="72" spans="1:12" ht="50" outlineLevel="2" collapsed="1" x14ac:dyDescent="0.2">
      <c r="A72" s="4" t="s">
        <v>15</v>
      </c>
      <c r="B72" s="4" t="s">
        <v>25</v>
      </c>
      <c r="C72" s="6" t="s">
        <v>365</v>
      </c>
      <c r="D72" s="4"/>
      <c r="E72" s="13" t="s">
        <v>974</v>
      </c>
      <c r="F72" s="4"/>
      <c r="G72" s="4" t="s">
        <v>15</v>
      </c>
      <c r="H72" s="4" t="s">
        <v>2</v>
      </c>
      <c r="I72" s="4" t="s">
        <v>2</v>
      </c>
      <c r="J72" s="4" t="s">
        <v>2</v>
      </c>
      <c r="L72" s="4" t="s">
        <v>506</v>
      </c>
    </row>
    <row r="73" spans="1:12" ht="32" outlineLevel="2" collapsed="1" x14ac:dyDescent="0.2">
      <c r="A73" s="4" t="s">
        <v>21</v>
      </c>
      <c r="B73" s="4" t="s">
        <v>22</v>
      </c>
      <c r="C73" t="s">
        <v>1315</v>
      </c>
      <c r="D73" s="4" t="s">
        <v>620</v>
      </c>
      <c r="E73" s="15" t="s">
        <v>975</v>
      </c>
      <c r="F73" s="4"/>
      <c r="G73" s="4" t="s">
        <v>15</v>
      </c>
      <c r="H73" s="4" t="s">
        <v>976</v>
      </c>
      <c r="I73" s="4" t="s">
        <v>2</v>
      </c>
      <c r="J73" s="4" t="s">
        <v>2</v>
      </c>
      <c r="L73" s="4" t="s">
        <v>620</v>
      </c>
    </row>
    <row r="74" spans="1:12" ht="16" outlineLevel="2" collapsed="1" x14ac:dyDescent="0.2">
      <c r="A74" s="4" t="s">
        <v>21</v>
      </c>
      <c r="B74" s="4" t="s">
        <v>16</v>
      </c>
      <c r="C74" s="4" t="s">
        <v>2</v>
      </c>
      <c r="D74" s="4" t="s">
        <v>978</v>
      </c>
      <c r="E74" s="12" t="s">
        <v>977</v>
      </c>
      <c r="F74" s="4"/>
      <c r="G74" s="4" t="s">
        <v>15</v>
      </c>
      <c r="H74" s="4" t="s">
        <v>19</v>
      </c>
      <c r="I74" s="4" t="s">
        <v>2</v>
      </c>
      <c r="J74" s="4" t="s">
        <v>2</v>
      </c>
      <c r="L74" s="4" t="s">
        <v>978</v>
      </c>
    </row>
    <row r="75" spans="1:12" ht="16" outlineLevel="2" x14ac:dyDescent="0.2">
      <c r="A75" s="5" t="s">
        <v>21</v>
      </c>
      <c r="B75" t="s">
        <v>1178</v>
      </c>
      <c r="C75" s="11" t="s">
        <v>979</v>
      </c>
      <c r="D75" s="5" t="s">
        <v>628</v>
      </c>
      <c r="E75" s="11" t="s">
        <v>979</v>
      </c>
      <c r="F75" s="5"/>
      <c r="G75" s="5" t="s">
        <v>21</v>
      </c>
      <c r="H75" s="5" t="s">
        <v>2</v>
      </c>
      <c r="I75" s="5" t="s">
        <v>2</v>
      </c>
      <c r="J75" s="5" t="s">
        <v>2</v>
      </c>
      <c r="L75" s="5" t="s">
        <v>628</v>
      </c>
    </row>
    <row r="76" spans="1:12" ht="16" outlineLevel="3" collapsed="1" x14ac:dyDescent="0.2">
      <c r="A76" s="4" t="s">
        <v>21</v>
      </c>
      <c r="B76" s="4" t="s">
        <v>16</v>
      </c>
      <c r="C76" s="4" t="s">
        <v>2</v>
      </c>
      <c r="D76" s="4" t="s">
        <v>194</v>
      </c>
      <c r="E76" s="12" t="s">
        <v>193</v>
      </c>
      <c r="F76" s="4"/>
      <c r="G76" s="4" t="s">
        <v>15</v>
      </c>
      <c r="H76" s="4" t="s">
        <v>19</v>
      </c>
      <c r="I76" s="4" t="s">
        <v>2</v>
      </c>
      <c r="J76" s="4" t="s">
        <v>2</v>
      </c>
      <c r="L76" s="4" t="s">
        <v>194</v>
      </c>
    </row>
    <row r="77" spans="1:12" ht="16" outlineLevel="3" collapsed="1" x14ac:dyDescent="0.2">
      <c r="A77" s="4" t="s">
        <v>21</v>
      </c>
      <c r="B77" s="4" t="s">
        <v>22</v>
      </c>
      <c r="C77" s="33" t="s">
        <v>2277</v>
      </c>
      <c r="D77" s="4" t="s">
        <v>197</v>
      </c>
      <c r="E77" s="12" t="s">
        <v>195</v>
      </c>
      <c r="F77" s="4"/>
      <c r="G77" s="4" t="s">
        <v>15</v>
      </c>
      <c r="H77" s="4" t="s">
        <v>19</v>
      </c>
      <c r="I77" s="4" t="s">
        <v>2</v>
      </c>
      <c r="J77" s="4" t="s">
        <v>2</v>
      </c>
      <c r="L77" s="4" t="s">
        <v>197</v>
      </c>
    </row>
    <row r="78" spans="1:12" ht="16" outlineLevel="3" collapsed="1" x14ac:dyDescent="0.2">
      <c r="A78" s="4" t="s">
        <v>21</v>
      </c>
      <c r="B78" s="4" t="s">
        <v>16</v>
      </c>
      <c r="C78" s="4" t="s">
        <v>2</v>
      </c>
      <c r="D78" s="4" t="s">
        <v>200</v>
      </c>
      <c r="E78" s="12" t="s">
        <v>198</v>
      </c>
      <c r="F78" s="4"/>
      <c r="G78" s="4" t="s">
        <v>15</v>
      </c>
      <c r="H78" s="4" t="s">
        <v>19</v>
      </c>
      <c r="I78" s="4" t="s">
        <v>2</v>
      </c>
      <c r="J78" s="4" t="s">
        <v>2</v>
      </c>
      <c r="L78" s="4" t="s">
        <v>200</v>
      </c>
    </row>
    <row r="79" spans="1:12" ht="16" outlineLevel="3" collapsed="1" x14ac:dyDescent="0.2">
      <c r="A79" s="4" t="s">
        <v>21</v>
      </c>
      <c r="B79" s="4" t="s">
        <v>16</v>
      </c>
      <c r="C79" s="4" t="s">
        <v>2</v>
      </c>
      <c r="D79" s="4" t="s">
        <v>203</v>
      </c>
      <c r="E79" s="12" t="s">
        <v>201</v>
      </c>
      <c r="F79" s="4"/>
      <c r="G79" s="4" t="s">
        <v>15</v>
      </c>
      <c r="H79" s="4" t="s">
        <v>19</v>
      </c>
      <c r="I79" s="4" t="s">
        <v>2</v>
      </c>
      <c r="J79" s="4" t="s">
        <v>2</v>
      </c>
      <c r="L79" s="4" t="s">
        <v>203</v>
      </c>
    </row>
    <row r="80" spans="1:12" ht="16" outlineLevel="3" collapsed="1" x14ac:dyDescent="0.2">
      <c r="A80" s="4" t="s">
        <v>21</v>
      </c>
      <c r="B80" s="4" t="s">
        <v>16</v>
      </c>
      <c r="C80" s="4" t="s">
        <v>2</v>
      </c>
      <c r="D80" s="4" t="s">
        <v>205</v>
      </c>
      <c r="E80" s="12" t="s">
        <v>204</v>
      </c>
      <c r="F80" s="4"/>
      <c r="G80" s="4" t="s">
        <v>15</v>
      </c>
      <c r="H80" s="4" t="s">
        <v>19</v>
      </c>
      <c r="I80" s="4" t="s">
        <v>2</v>
      </c>
      <c r="J80" s="4" t="s">
        <v>2</v>
      </c>
      <c r="L80" s="4" t="s">
        <v>205</v>
      </c>
    </row>
    <row r="81" spans="1:12" ht="16" outlineLevel="3" collapsed="1" x14ac:dyDescent="0.2">
      <c r="A81" s="4" t="s">
        <v>21</v>
      </c>
      <c r="B81" s="4" t="s">
        <v>22</v>
      </c>
      <c r="C81" t="s">
        <v>206</v>
      </c>
      <c r="D81" s="4" t="s">
        <v>208</v>
      </c>
      <c r="E81" s="12" t="s">
        <v>206</v>
      </c>
      <c r="F81" s="4"/>
      <c r="G81" s="4" t="s">
        <v>15</v>
      </c>
      <c r="H81" s="4" t="s">
        <v>207</v>
      </c>
      <c r="I81" s="4" t="s">
        <v>2</v>
      </c>
      <c r="J81" s="4" t="s">
        <v>2</v>
      </c>
      <c r="L81" s="4" t="s">
        <v>208</v>
      </c>
    </row>
    <row r="82" spans="1:12" ht="64" outlineLevel="3" collapsed="1" x14ac:dyDescent="0.2">
      <c r="A82" s="4" t="s">
        <v>15</v>
      </c>
      <c r="B82" s="4" t="s">
        <v>16</v>
      </c>
      <c r="C82" s="4" t="s">
        <v>2</v>
      </c>
      <c r="D82" s="4" t="s">
        <v>215</v>
      </c>
      <c r="E82" s="14" t="s">
        <v>213</v>
      </c>
      <c r="F82" s="4" t="b">
        <f>EXACT(H81,"Geodetic Point (Degrees Minutes Seconds)")</f>
        <v>0</v>
      </c>
      <c r="G82" s="4" t="s">
        <v>15</v>
      </c>
      <c r="H82" s="4" t="s">
        <v>980</v>
      </c>
      <c r="I82" s="4" t="s">
        <v>2</v>
      </c>
      <c r="J82" s="4" t="s">
        <v>2</v>
      </c>
      <c r="L82" s="4" t="s">
        <v>215</v>
      </c>
    </row>
    <row r="83" spans="1:12" ht="16" outlineLevel="3" collapsed="1" x14ac:dyDescent="0.2">
      <c r="A83" s="4" t="s">
        <v>15</v>
      </c>
      <c r="B83" s="4" t="s">
        <v>16</v>
      </c>
      <c r="C83" s="4" t="s">
        <v>2</v>
      </c>
      <c r="D83" s="4" t="s">
        <v>217</v>
      </c>
      <c r="E83" s="12" t="s">
        <v>216</v>
      </c>
      <c r="F83" s="4" t="b">
        <f>EXACT(H81,"Geodetic Point (Degrees Minutes Seconds)")</f>
        <v>0</v>
      </c>
      <c r="G83" s="4" t="s">
        <v>15</v>
      </c>
      <c r="H83" s="4" t="s">
        <v>980</v>
      </c>
      <c r="I83" s="4" t="s">
        <v>2</v>
      </c>
      <c r="J83" s="4" t="s">
        <v>2</v>
      </c>
      <c r="L83" s="4" t="s">
        <v>217</v>
      </c>
    </row>
    <row r="84" spans="1:12" ht="16" outlineLevel="3" collapsed="1" x14ac:dyDescent="0.2">
      <c r="A84" s="4" t="s">
        <v>15</v>
      </c>
      <c r="B84" s="4" t="s">
        <v>138</v>
      </c>
      <c r="C84" s="4" t="s">
        <v>2</v>
      </c>
      <c r="D84" s="4" t="s">
        <v>210</v>
      </c>
      <c r="E84" s="12" t="s">
        <v>209</v>
      </c>
      <c r="F84" s="4" t="b">
        <f>EXACT(H81,"Geodetic Point (Degrees Minutes Seconds)")</f>
        <v>0</v>
      </c>
      <c r="G84" s="4" t="s">
        <v>15</v>
      </c>
      <c r="H84" s="4">
        <v>1</v>
      </c>
      <c r="I84" s="4" t="s">
        <v>2</v>
      </c>
      <c r="J84" s="4" t="s">
        <v>2</v>
      </c>
      <c r="L84" s="4" t="s">
        <v>210</v>
      </c>
    </row>
    <row r="85" spans="1:12" ht="16" outlineLevel="3" collapsed="1" x14ac:dyDescent="0.2">
      <c r="A85" s="4" t="s">
        <v>15</v>
      </c>
      <c r="B85" s="4" t="s">
        <v>138</v>
      </c>
      <c r="C85" s="4" t="s">
        <v>2</v>
      </c>
      <c r="D85" s="4" t="s">
        <v>212</v>
      </c>
      <c r="E85" s="12" t="s">
        <v>211</v>
      </c>
      <c r="F85" s="4" t="b">
        <f>EXACT(H81,"Geodetic Point (Degrees Minutes Seconds)")</f>
        <v>0</v>
      </c>
      <c r="G85" s="4" t="s">
        <v>15</v>
      </c>
      <c r="H85" s="4">
        <v>1</v>
      </c>
      <c r="I85" s="4" t="s">
        <v>2</v>
      </c>
      <c r="J85" s="4" t="s">
        <v>2</v>
      </c>
      <c r="L85" s="4" t="s">
        <v>212</v>
      </c>
    </row>
    <row r="86" spans="1:12" ht="16" outlineLevel="3" collapsed="1" x14ac:dyDescent="0.2">
      <c r="A86" s="4" t="s">
        <v>21</v>
      </c>
      <c r="B86" s="4" t="s">
        <v>138</v>
      </c>
      <c r="C86" s="4" t="s">
        <v>2</v>
      </c>
      <c r="D86" s="4" t="s">
        <v>219</v>
      </c>
      <c r="E86" s="12" t="s">
        <v>218</v>
      </c>
      <c r="F86" s="4"/>
      <c r="G86" s="4" t="s">
        <v>15</v>
      </c>
      <c r="H86" s="4">
        <v>1</v>
      </c>
      <c r="I86" s="4" t="s">
        <v>2</v>
      </c>
      <c r="J86" s="4" t="s">
        <v>2</v>
      </c>
      <c r="L86" s="4" t="s">
        <v>219</v>
      </c>
    </row>
    <row r="87" spans="1:12" ht="16" outlineLevel="3" collapsed="1" x14ac:dyDescent="0.2">
      <c r="A87" s="4" t="s">
        <v>21</v>
      </c>
      <c r="B87" s="4" t="s">
        <v>22</v>
      </c>
      <c r="C87" t="s">
        <v>1316</v>
      </c>
      <c r="D87" s="4" t="s">
        <v>221</v>
      </c>
      <c r="E87" s="12" t="s">
        <v>218</v>
      </c>
      <c r="F87" s="4"/>
      <c r="G87" s="4" t="s">
        <v>15</v>
      </c>
      <c r="H87" s="4" t="s">
        <v>981</v>
      </c>
      <c r="I87" s="4" t="s">
        <v>2</v>
      </c>
      <c r="J87" s="4" t="s">
        <v>2</v>
      </c>
      <c r="L87" s="4" t="s">
        <v>221</v>
      </c>
    </row>
    <row r="88" spans="1:12" ht="22" customHeight="1" outlineLevel="2" x14ac:dyDescent="0.2">
      <c r="A88" s="4" t="s">
        <v>21</v>
      </c>
      <c r="B88" s="4" t="s">
        <v>520</v>
      </c>
      <c r="C88" s="4" t="s">
        <v>2</v>
      </c>
      <c r="D88" s="4" t="s">
        <v>983</v>
      </c>
      <c r="E88" s="4" t="s">
        <v>223</v>
      </c>
      <c r="F88" s="4"/>
      <c r="G88" s="4" t="s">
        <v>15</v>
      </c>
      <c r="H88" s="4" t="s">
        <v>982</v>
      </c>
      <c r="I88" s="4" t="s">
        <v>2</v>
      </c>
      <c r="J88" s="4" t="s">
        <v>2</v>
      </c>
      <c r="L88" s="4" t="s">
        <v>983</v>
      </c>
    </row>
    <row r="89" spans="1:12" ht="16" outlineLevel="2" collapsed="1" x14ac:dyDescent="0.2">
      <c r="A89" s="4" t="s">
        <v>21</v>
      </c>
      <c r="B89" s="4" t="s">
        <v>16</v>
      </c>
      <c r="C89" s="4" t="s">
        <v>2</v>
      </c>
      <c r="D89" s="4" t="s">
        <v>2081</v>
      </c>
      <c r="E89" s="12" t="s">
        <v>984</v>
      </c>
      <c r="F89" s="4"/>
      <c r="G89" s="4" t="s">
        <v>15</v>
      </c>
      <c r="H89" s="4" t="s">
        <v>19</v>
      </c>
      <c r="I89" s="4" t="s">
        <v>2</v>
      </c>
      <c r="J89" s="4" t="s">
        <v>2</v>
      </c>
      <c r="L89" s="4" t="s">
        <v>273</v>
      </c>
    </row>
    <row r="90" spans="1:12" ht="16" outlineLevel="2" collapsed="1" x14ac:dyDescent="0.2">
      <c r="A90" s="4" t="s">
        <v>21</v>
      </c>
      <c r="B90" s="4" t="s">
        <v>16</v>
      </c>
      <c r="C90" s="4" t="s">
        <v>2</v>
      </c>
      <c r="D90" s="4" t="s">
        <v>2059</v>
      </c>
      <c r="E90" s="12"/>
      <c r="F90" s="4"/>
      <c r="G90" s="4" t="s">
        <v>15</v>
      </c>
      <c r="H90" s="4" t="s">
        <v>19</v>
      </c>
      <c r="I90" s="4" t="s">
        <v>2</v>
      </c>
      <c r="J90" s="4" t="s">
        <v>2</v>
      </c>
      <c r="L90" s="4"/>
    </row>
    <row r="91" spans="1:12" ht="50" outlineLevel="2" collapsed="1" x14ac:dyDescent="0.2">
      <c r="A91" s="4" t="s">
        <v>15</v>
      </c>
      <c r="B91" s="4" t="s">
        <v>25</v>
      </c>
      <c r="C91" s="6" t="s">
        <v>365</v>
      </c>
      <c r="D91" s="4"/>
      <c r="E91" s="13" t="s">
        <v>985</v>
      </c>
      <c r="F91" s="4"/>
      <c r="G91" s="4" t="s">
        <v>15</v>
      </c>
      <c r="H91" s="4" t="s">
        <v>2</v>
      </c>
      <c r="I91" s="4" t="s">
        <v>2</v>
      </c>
      <c r="J91" s="4" t="s">
        <v>2</v>
      </c>
      <c r="L91" s="4" t="s">
        <v>2242</v>
      </c>
    </row>
    <row r="92" spans="1:12" ht="25" outlineLevel="2" collapsed="1" x14ac:dyDescent="0.2">
      <c r="A92" s="4" t="s">
        <v>15</v>
      </c>
      <c r="B92" s="4" t="s">
        <v>25</v>
      </c>
      <c r="C92" s="6" t="s">
        <v>365</v>
      </c>
      <c r="D92" s="4"/>
      <c r="E92" s="13" t="s">
        <v>986</v>
      </c>
      <c r="F92" s="4"/>
      <c r="G92" s="4" t="s">
        <v>15</v>
      </c>
      <c r="H92" s="4" t="s">
        <v>2</v>
      </c>
      <c r="I92" s="4" t="s">
        <v>2</v>
      </c>
      <c r="J92" s="4" t="s">
        <v>2</v>
      </c>
      <c r="L92" s="4" t="s">
        <v>2243</v>
      </c>
    </row>
    <row r="93" spans="1:12" ht="32" outlineLevel="2" collapsed="1" x14ac:dyDescent="0.2">
      <c r="A93" s="4" t="s">
        <v>21</v>
      </c>
      <c r="B93" s="4" t="s">
        <v>22</v>
      </c>
      <c r="C93" s="4" t="s">
        <v>171</v>
      </c>
      <c r="D93" s="4" t="s">
        <v>1580</v>
      </c>
      <c r="E93" s="12" t="s">
        <v>239</v>
      </c>
      <c r="F93" s="4"/>
      <c r="G93" s="4" t="s">
        <v>15</v>
      </c>
      <c r="H93" s="4" t="s">
        <v>21</v>
      </c>
      <c r="I93" s="4" t="s">
        <v>15</v>
      </c>
      <c r="J93" s="4" t="s">
        <v>2</v>
      </c>
      <c r="L93" s="4" t="s">
        <v>2244</v>
      </c>
    </row>
    <row r="94" spans="1:12" ht="32" outlineLevel="2" collapsed="1" x14ac:dyDescent="0.2">
      <c r="A94" s="4" t="s">
        <v>15</v>
      </c>
      <c r="B94" s="4" t="s">
        <v>16</v>
      </c>
      <c r="C94" s="4" t="s">
        <v>2</v>
      </c>
      <c r="D94" s="4" t="s">
        <v>243</v>
      </c>
      <c r="E94" s="12" t="s">
        <v>987</v>
      </c>
      <c r="F94" s="4" t="b">
        <f>EXACT(H93,"Yes")</f>
        <v>1</v>
      </c>
      <c r="G94" s="4" t="s">
        <v>15</v>
      </c>
      <c r="H94" s="4" t="s">
        <v>19</v>
      </c>
      <c r="I94" s="4" t="s">
        <v>15</v>
      </c>
      <c r="J94" s="4" t="s">
        <v>2</v>
      </c>
      <c r="L94" s="4" t="s">
        <v>243</v>
      </c>
    </row>
    <row r="95" spans="1:12" ht="25" outlineLevel="2" collapsed="1" x14ac:dyDescent="0.2">
      <c r="A95" s="4" t="s">
        <v>15</v>
      </c>
      <c r="B95" s="4" t="s">
        <v>25</v>
      </c>
      <c r="C95" s="6" t="s">
        <v>365</v>
      </c>
      <c r="D95" s="4"/>
      <c r="E95" s="13" t="s">
        <v>988</v>
      </c>
      <c r="F95" s="4"/>
      <c r="G95" s="4" t="s">
        <v>15</v>
      </c>
      <c r="H95" s="4" t="s">
        <v>2</v>
      </c>
      <c r="I95" s="4"/>
      <c r="J95" s="4" t="s">
        <v>2</v>
      </c>
      <c r="L95" s="4" t="s">
        <v>989</v>
      </c>
    </row>
    <row r="96" spans="1:12" ht="16" outlineLevel="2" collapsed="1" x14ac:dyDescent="0.2">
      <c r="A96" s="4" t="s">
        <v>21</v>
      </c>
      <c r="B96" s="4" t="s">
        <v>22</v>
      </c>
      <c r="C96" s="4" t="s">
        <v>171</v>
      </c>
      <c r="D96" s="4" t="s">
        <v>1581</v>
      </c>
      <c r="E96" s="12" t="s">
        <v>990</v>
      </c>
      <c r="F96" s="4"/>
      <c r="G96" s="4" t="s">
        <v>15</v>
      </c>
      <c r="H96" s="4" t="s">
        <v>21</v>
      </c>
      <c r="I96" s="4" t="s">
        <v>15</v>
      </c>
      <c r="J96" s="4" t="s">
        <v>2</v>
      </c>
      <c r="L96" s="4" t="s">
        <v>2245</v>
      </c>
    </row>
    <row r="97" spans="1:12" ht="32" outlineLevel="2" collapsed="1" x14ac:dyDescent="0.2">
      <c r="A97" s="4" t="s">
        <v>15</v>
      </c>
      <c r="B97" s="4" t="s">
        <v>16</v>
      </c>
      <c r="C97" s="4" t="s">
        <v>2</v>
      </c>
      <c r="D97" s="4" t="s">
        <v>992</v>
      </c>
      <c r="E97" s="12" t="s">
        <v>991</v>
      </c>
      <c r="F97" s="4" t="b">
        <f>EXACT(H96,"Yes")</f>
        <v>1</v>
      </c>
      <c r="G97" s="4" t="s">
        <v>15</v>
      </c>
      <c r="H97" s="4" t="s">
        <v>19</v>
      </c>
      <c r="I97" s="4" t="s">
        <v>2</v>
      </c>
      <c r="J97" s="4" t="s">
        <v>2</v>
      </c>
      <c r="L97" s="4" t="s">
        <v>992</v>
      </c>
    </row>
    <row r="98" spans="1:12" ht="16" outlineLevel="2" collapsed="1" x14ac:dyDescent="0.2">
      <c r="A98" s="4" t="s">
        <v>21</v>
      </c>
      <c r="B98" s="4" t="s">
        <v>22</v>
      </c>
      <c r="C98" s="4" t="s">
        <v>171</v>
      </c>
      <c r="D98" s="4" t="s">
        <v>1582</v>
      </c>
      <c r="E98" s="12" t="s">
        <v>993</v>
      </c>
      <c r="F98" s="4"/>
      <c r="G98" s="4" t="s">
        <v>15</v>
      </c>
      <c r="H98" s="4" t="s">
        <v>21</v>
      </c>
      <c r="I98" s="4" t="s">
        <v>2</v>
      </c>
      <c r="J98" s="4" t="s">
        <v>2</v>
      </c>
      <c r="L98" s="4" t="s">
        <v>2246</v>
      </c>
    </row>
    <row r="99" spans="1:12" ht="32" outlineLevel="2" collapsed="1" x14ac:dyDescent="0.2">
      <c r="A99" s="4" t="s">
        <v>15</v>
      </c>
      <c r="B99" s="4" t="s">
        <v>16</v>
      </c>
      <c r="C99" s="4" t="s">
        <v>2</v>
      </c>
      <c r="D99" s="4" t="s">
        <v>995</v>
      </c>
      <c r="E99" s="12" t="s">
        <v>994</v>
      </c>
      <c r="F99" s="4" t="b">
        <f>EXACT(H98,"Yes")</f>
        <v>1</v>
      </c>
      <c r="G99" s="4" t="s">
        <v>15</v>
      </c>
      <c r="H99" s="4" t="s">
        <v>19</v>
      </c>
      <c r="I99" s="4" t="s">
        <v>2</v>
      </c>
      <c r="J99" s="4" t="s">
        <v>2</v>
      </c>
      <c r="L99" s="4" t="s">
        <v>995</v>
      </c>
    </row>
    <row r="100" spans="1:12" ht="25" outlineLevel="2" collapsed="1" x14ac:dyDescent="0.2">
      <c r="A100" s="4" t="s">
        <v>15</v>
      </c>
      <c r="B100" s="4" t="s">
        <v>25</v>
      </c>
      <c r="C100" s="6" t="s">
        <v>365</v>
      </c>
      <c r="D100" s="4"/>
      <c r="E100" s="13" t="s">
        <v>996</v>
      </c>
      <c r="F100" s="4"/>
      <c r="G100" s="4" t="s">
        <v>15</v>
      </c>
      <c r="H100" s="4" t="s">
        <v>2</v>
      </c>
      <c r="I100" s="4" t="s">
        <v>2</v>
      </c>
      <c r="J100" s="4" t="s">
        <v>2</v>
      </c>
      <c r="L100" s="4" t="s">
        <v>2247</v>
      </c>
    </row>
    <row r="101" spans="1:12" ht="16" outlineLevel="2" collapsed="1" x14ac:dyDescent="0.2">
      <c r="A101" s="4" t="s">
        <v>21</v>
      </c>
      <c r="B101" s="4" t="s">
        <v>22</v>
      </c>
      <c r="C101" s="4" t="s">
        <v>171</v>
      </c>
      <c r="D101" s="4" t="s">
        <v>1583</v>
      </c>
      <c r="E101" s="12" t="s">
        <v>997</v>
      </c>
      <c r="F101" s="4"/>
      <c r="G101" s="4" t="s">
        <v>15</v>
      </c>
      <c r="H101" s="4" t="s">
        <v>21</v>
      </c>
      <c r="I101" s="4" t="s">
        <v>2</v>
      </c>
      <c r="J101" s="4" t="s">
        <v>2</v>
      </c>
      <c r="L101" s="4" t="s">
        <v>2248</v>
      </c>
    </row>
    <row r="102" spans="1:12" ht="32" outlineLevel="2" collapsed="1" x14ac:dyDescent="0.2">
      <c r="A102" s="4" t="s">
        <v>15</v>
      </c>
      <c r="B102" s="4" t="s">
        <v>16</v>
      </c>
      <c r="C102" s="4" t="s">
        <v>2</v>
      </c>
      <c r="D102" s="4" t="s">
        <v>999</v>
      </c>
      <c r="E102" s="12" t="s">
        <v>998</v>
      </c>
      <c r="F102" s="4" t="b">
        <f>EXACT(H101,"Yes")</f>
        <v>1</v>
      </c>
      <c r="G102" s="4" t="s">
        <v>15</v>
      </c>
      <c r="H102" s="4" t="s">
        <v>19</v>
      </c>
      <c r="I102" s="4" t="s">
        <v>2</v>
      </c>
      <c r="J102" s="4" t="s">
        <v>2</v>
      </c>
      <c r="L102" s="4" t="s">
        <v>999</v>
      </c>
    </row>
    <row r="103" spans="1:12" ht="50" outlineLevel="2" collapsed="1" x14ac:dyDescent="0.2">
      <c r="A103" s="4" t="s">
        <v>15</v>
      </c>
      <c r="B103" s="4" t="s">
        <v>25</v>
      </c>
      <c r="C103" s="6" t="s">
        <v>365</v>
      </c>
      <c r="D103" s="4"/>
      <c r="E103" s="13" t="s">
        <v>1000</v>
      </c>
      <c r="F103" s="4"/>
      <c r="G103" s="4" t="s">
        <v>15</v>
      </c>
      <c r="H103" s="4" t="s">
        <v>2</v>
      </c>
      <c r="I103" s="4" t="s">
        <v>2</v>
      </c>
      <c r="J103" s="4" t="s">
        <v>2</v>
      </c>
      <c r="L103" s="4" t="s">
        <v>2249</v>
      </c>
    </row>
    <row r="104" spans="1:12" ht="50" outlineLevel="2" collapsed="1" x14ac:dyDescent="0.2">
      <c r="A104" s="4" t="s">
        <v>15</v>
      </c>
      <c r="B104" s="4" t="s">
        <v>25</v>
      </c>
      <c r="C104" s="6" t="s">
        <v>365</v>
      </c>
      <c r="D104" s="4"/>
      <c r="E104" s="13" t="s">
        <v>1001</v>
      </c>
      <c r="F104" s="4"/>
      <c r="G104" s="4" t="s">
        <v>15</v>
      </c>
      <c r="H104" s="4" t="s">
        <v>2</v>
      </c>
      <c r="I104" s="4" t="s">
        <v>2</v>
      </c>
      <c r="J104" s="4" t="s">
        <v>2</v>
      </c>
      <c r="L104" s="4" t="s">
        <v>2250</v>
      </c>
    </row>
    <row r="105" spans="1:12" ht="48" outlineLevel="2" collapsed="1" x14ac:dyDescent="0.2">
      <c r="A105" s="4" t="s">
        <v>21</v>
      </c>
      <c r="B105" s="4" t="s">
        <v>22</v>
      </c>
      <c r="C105" s="4" t="s">
        <v>171</v>
      </c>
      <c r="D105" s="4" t="s">
        <v>1584</v>
      </c>
      <c r="E105" s="12" t="s">
        <v>1002</v>
      </c>
      <c r="F105" s="4"/>
      <c r="G105" s="4" t="s">
        <v>15</v>
      </c>
      <c r="H105" s="4" t="s">
        <v>21</v>
      </c>
      <c r="I105" s="4" t="s">
        <v>2</v>
      </c>
      <c r="J105" s="4" t="s">
        <v>2</v>
      </c>
      <c r="L105" s="4" t="s">
        <v>2251</v>
      </c>
    </row>
    <row r="106" spans="1:12" ht="32" outlineLevel="2" collapsed="1" x14ac:dyDescent="0.2">
      <c r="A106" s="4" t="s">
        <v>15</v>
      </c>
      <c r="B106" s="4" t="s">
        <v>16</v>
      </c>
      <c r="C106" s="4" t="s">
        <v>2</v>
      </c>
      <c r="D106" s="4" t="s">
        <v>1004</v>
      </c>
      <c r="E106" s="12" t="s">
        <v>1003</v>
      </c>
      <c r="F106" s="4" t="b">
        <f>EXACT(H105,"Yes")</f>
        <v>1</v>
      </c>
      <c r="G106" s="4" t="s">
        <v>15</v>
      </c>
      <c r="H106" s="4" t="s">
        <v>19</v>
      </c>
      <c r="I106" s="4" t="s">
        <v>2</v>
      </c>
      <c r="J106" s="4" t="s">
        <v>2</v>
      </c>
      <c r="L106" s="4" t="s">
        <v>1004</v>
      </c>
    </row>
    <row r="107" spans="1:12" ht="50" outlineLevel="2" collapsed="1" x14ac:dyDescent="0.2">
      <c r="A107" s="4" t="s">
        <v>15</v>
      </c>
      <c r="B107" s="4" t="s">
        <v>25</v>
      </c>
      <c r="C107" s="6" t="s">
        <v>365</v>
      </c>
      <c r="D107" s="4"/>
      <c r="E107" s="13" t="s">
        <v>1005</v>
      </c>
      <c r="F107" s="4"/>
      <c r="G107" s="4" t="s">
        <v>15</v>
      </c>
      <c r="H107" s="4" t="s">
        <v>2</v>
      </c>
      <c r="I107" s="4" t="s">
        <v>2</v>
      </c>
      <c r="J107" s="4" t="s">
        <v>2</v>
      </c>
      <c r="L107" s="4" t="s">
        <v>493</v>
      </c>
    </row>
    <row r="108" spans="1:12" ht="48" outlineLevel="2" collapsed="1" x14ac:dyDescent="0.2">
      <c r="A108" s="4" t="s">
        <v>21</v>
      </c>
      <c r="B108" s="4" t="s">
        <v>22</v>
      </c>
      <c r="C108" s="4" t="s">
        <v>171</v>
      </c>
      <c r="D108" s="4" t="s">
        <v>1585</v>
      </c>
      <c r="E108" s="12" t="s">
        <v>1006</v>
      </c>
      <c r="F108" s="4"/>
      <c r="G108" s="4" t="s">
        <v>15</v>
      </c>
      <c r="H108" s="4" t="s">
        <v>21</v>
      </c>
      <c r="I108" s="4" t="s">
        <v>2</v>
      </c>
      <c r="J108" s="4" t="s">
        <v>2</v>
      </c>
      <c r="L108" s="4" t="s">
        <v>2252</v>
      </c>
    </row>
    <row r="109" spans="1:12" ht="32" outlineLevel="2" collapsed="1" x14ac:dyDescent="0.2">
      <c r="A109" s="4" t="s">
        <v>15</v>
      </c>
      <c r="B109" s="4" t="s">
        <v>16</v>
      </c>
      <c r="C109" s="4" t="s">
        <v>2</v>
      </c>
      <c r="D109" s="4" t="s">
        <v>1007</v>
      </c>
      <c r="E109" s="12" t="s">
        <v>1003</v>
      </c>
      <c r="F109" s="4" t="b">
        <f>EXACT(H108,"Yes")</f>
        <v>1</v>
      </c>
      <c r="G109" s="4" t="s">
        <v>15</v>
      </c>
      <c r="H109" s="4" t="s">
        <v>19</v>
      </c>
      <c r="I109" s="4" t="s">
        <v>2</v>
      </c>
      <c r="J109" s="4" t="s">
        <v>2</v>
      </c>
      <c r="L109" s="4" t="s">
        <v>1007</v>
      </c>
    </row>
    <row r="110" spans="1:12" ht="25" outlineLevel="2" collapsed="1" x14ac:dyDescent="0.2">
      <c r="A110" s="4" t="s">
        <v>15</v>
      </c>
      <c r="B110" s="4" t="s">
        <v>25</v>
      </c>
      <c r="C110" s="6" t="s">
        <v>365</v>
      </c>
      <c r="D110" s="4"/>
      <c r="E110" s="13" t="s">
        <v>1008</v>
      </c>
      <c r="F110" s="4"/>
      <c r="G110" s="4" t="s">
        <v>15</v>
      </c>
      <c r="H110" s="4" t="s">
        <v>2</v>
      </c>
      <c r="I110" s="4" t="s">
        <v>2</v>
      </c>
      <c r="J110" s="4" t="s">
        <v>2</v>
      </c>
      <c r="L110" s="4" t="s">
        <v>2253</v>
      </c>
    </row>
    <row r="111" spans="1:12" ht="32" outlineLevel="2" collapsed="1" x14ac:dyDescent="0.2">
      <c r="A111" s="4" t="s">
        <v>21</v>
      </c>
      <c r="B111" s="4" t="s">
        <v>22</v>
      </c>
      <c r="C111" s="4" t="s">
        <v>171</v>
      </c>
      <c r="D111" s="4" t="s">
        <v>1586</v>
      </c>
      <c r="E111" s="12" t="s">
        <v>1009</v>
      </c>
      <c r="F111" s="4"/>
      <c r="G111" s="4" t="s">
        <v>15</v>
      </c>
      <c r="H111" s="4" t="s">
        <v>21</v>
      </c>
      <c r="I111" s="4" t="s">
        <v>2</v>
      </c>
      <c r="J111" s="4" t="s">
        <v>2</v>
      </c>
      <c r="L111" s="4" t="s">
        <v>2254</v>
      </c>
    </row>
    <row r="112" spans="1:12" ht="32" outlineLevel="2" x14ac:dyDescent="0.2">
      <c r="A112" s="5" t="s">
        <v>15</v>
      </c>
      <c r="B112" t="s">
        <v>22</v>
      </c>
      <c r="C112" s="5" t="s">
        <v>171</v>
      </c>
      <c r="D112" s="5" t="s">
        <v>1587</v>
      </c>
      <c r="E112" s="11" t="s">
        <v>270</v>
      </c>
      <c r="F112" s="5" t="b">
        <f>EXACT(H111,"Yes")</f>
        <v>1</v>
      </c>
      <c r="G112" s="5" t="s">
        <v>15</v>
      </c>
      <c r="H112" s="5" t="s">
        <v>21</v>
      </c>
      <c r="I112" s="5" t="s">
        <v>2</v>
      </c>
      <c r="J112" s="5" t="s">
        <v>2</v>
      </c>
      <c r="L112" s="5" t="s">
        <v>2255</v>
      </c>
    </row>
    <row r="113" spans="1:12" ht="96" outlineLevel="2" collapsed="1" x14ac:dyDescent="0.2">
      <c r="A113" s="4" t="s">
        <v>15</v>
      </c>
      <c r="B113" s="4" t="s">
        <v>22</v>
      </c>
      <c r="C113" s="4" t="s">
        <v>171</v>
      </c>
      <c r="D113" s="4" t="s">
        <v>1588</v>
      </c>
      <c r="E113" s="12" t="s">
        <v>1010</v>
      </c>
      <c r="F113" s="4" t="b">
        <f>EXACT(H112,"Yes")</f>
        <v>1</v>
      </c>
      <c r="G113" s="4" t="s">
        <v>15</v>
      </c>
      <c r="H113" s="4" t="s">
        <v>21</v>
      </c>
      <c r="I113" s="4" t="s">
        <v>2</v>
      </c>
      <c r="J113" s="4" t="s">
        <v>2</v>
      </c>
      <c r="L113" s="4" t="s">
        <v>24</v>
      </c>
    </row>
    <row r="114" spans="1:12" ht="32" outlineLevel="2" collapsed="1" x14ac:dyDescent="0.2">
      <c r="A114" s="4" t="s">
        <v>15</v>
      </c>
      <c r="B114" s="4" t="s">
        <v>16</v>
      </c>
      <c r="C114" s="4" t="s">
        <v>2</v>
      </c>
      <c r="D114" s="4" t="s">
        <v>2089</v>
      </c>
      <c r="E114" s="12" t="s">
        <v>1011</v>
      </c>
      <c r="F114" s="4" t="b">
        <f>EXACT(H113,"Yes")</f>
        <v>1</v>
      </c>
      <c r="G114" s="4" t="s">
        <v>15</v>
      </c>
      <c r="H114" s="4" t="s">
        <v>19</v>
      </c>
      <c r="I114" s="4" t="s">
        <v>2</v>
      </c>
      <c r="J114" s="4" t="s">
        <v>2</v>
      </c>
      <c r="L114" t="s">
        <v>24</v>
      </c>
    </row>
    <row r="115" spans="1:12" ht="25" outlineLevel="2" collapsed="1" x14ac:dyDescent="0.2">
      <c r="A115" s="4" t="s">
        <v>15</v>
      </c>
      <c r="B115" s="4" t="s">
        <v>25</v>
      </c>
      <c r="C115" s="6" t="s">
        <v>365</v>
      </c>
      <c r="D115" s="4"/>
      <c r="E115" s="13" t="s">
        <v>1012</v>
      </c>
      <c r="F115" s="4"/>
      <c r="G115" s="4" t="s">
        <v>15</v>
      </c>
      <c r="H115" s="4" t="s">
        <v>2</v>
      </c>
      <c r="I115" s="4" t="s">
        <v>2</v>
      </c>
      <c r="J115" s="4" t="s">
        <v>2</v>
      </c>
      <c r="L115" s="4" t="s">
        <v>279</v>
      </c>
    </row>
    <row r="116" spans="1:12" ht="129" customHeight="1" outlineLevel="2" x14ac:dyDescent="0.2">
      <c r="A116" s="4" t="s">
        <v>21</v>
      </c>
      <c r="B116" s="4" t="s">
        <v>16</v>
      </c>
      <c r="C116" s="4" t="s">
        <v>2</v>
      </c>
      <c r="D116" s="4" t="s">
        <v>279</v>
      </c>
      <c r="E116" s="12" t="s">
        <v>1596</v>
      </c>
      <c r="F116" s="4"/>
      <c r="G116" s="4" t="s">
        <v>15</v>
      </c>
      <c r="H116" s="4" t="s">
        <v>19</v>
      </c>
      <c r="I116" s="4" t="s">
        <v>2</v>
      </c>
      <c r="J116" s="4" t="s">
        <v>2</v>
      </c>
      <c r="L116" s="4" t="s">
        <v>2275</v>
      </c>
    </row>
    <row r="117" spans="1:12" ht="25" outlineLevel="2" collapsed="1" x14ac:dyDescent="0.2">
      <c r="A117" s="4" t="s">
        <v>15</v>
      </c>
      <c r="B117" s="4" t="s">
        <v>25</v>
      </c>
      <c r="C117" s="6" t="s">
        <v>365</v>
      </c>
      <c r="D117" s="4"/>
      <c r="E117" s="13" t="s">
        <v>1013</v>
      </c>
      <c r="F117" s="4"/>
      <c r="G117" s="4" t="s">
        <v>15</v>
      </c>
      <c r="H117" s="4" t="s">
        <v>2</v>
      </c>
      <c r="I117" s="4" t="s">
        <v>2</v>
      </c>
      <c r="J117" s="4" t="s">
        <v>2</v>
      </c>
      <c r="L117" s="4" t="s">
        <v>353</v>
      </c>
    </row>
    <row r="118" spans="1:12" ht="16" outlineLevel="2" collapsed="1" x14ac:dyDescent="0.2">
      <c r="A118" s="4" t="s">
        <v>21</v>
      </c>
      <c r="B118" s="4" t="s">
        <v>16</v>
      </c>
      <c r="C118" s="4" t="s">
        <v>2</v>
      </c>
      <c r="D118" s="4" t="s">
        <v>1598</v>
      </c>
      <c r="E118" s="12" t="s">
        <v>1014</v>
      </c>
      <c r="F118" s="4"/>
      <c r="G118" s="4" t="s">
        <v>15</v>
      </c>
      <c r="H118" s="4" t="s">
        <v>19</v>
      </c>
      <c r="I118" s="4" t="s">
        <v>2</v>
      </c>
      <c r="J118" s="4" t="s">
        <v>2</v>
      </c>
      <c r="L118" s="4" t="s">
        <v>2256</v>
      </c>
    </row>
    <row r="119" spans="1:12" ht="16" outlineLevel="2" collapsed="1" x14ac:dyDescent="0.2">
      <c r="A119" s="4" t="s">
        <v>21</v>
      </c>
      <c r="B119" s="4" t="s">
        <v>16</v>
      </c>
      <c r="C119" s="4" t="s">
        <v>2</v>
      </c>
      <c r="D119" s="4" t="s">
        <v>1597</v>
      </c>
      <c r="E119" s="12" t="s">
        <v>1015</v>
      </c>
      <c r="F119" s="4"/>
      <c r="G119" s="4" t="s">
        <v>15</v>
      </c>
      <c r="H119" s="4" t="s">
        <v>19</v>
      </c>
      <c r="I119" s="4" t="s">
        <v>2</v>
      </c>
      <c r="J119" s="4" t="s">
        <v>2</v>
      </c>
      <c r="L119" s="4" t="s">
        <v>362</v>
      </c>
    </row>
    <row r="120" spans="1:12" ht="16" outlineLevel="2" collapsed="1" x14ac:dyDescent="0.2">
      <c r="A120" s="4" t="s">
        <v>21</v>
      </c>
      <c r="B120" s="4" t="s">
        <v>16</v>
      </c>
      <c r="C120" s="4" t="s">
        <v>2</v>
      </c>
      <c r="D120" s="4" t="s">
        <v>1017</v>
      </c>
      <c r="E120" s="12" t="s">
        <v>1016</v>
      </c>
      <c r="F120" s="4"/>
      <c r="G120" s="4" t="s">
        <v>15</v>
      </c>
      <c r="H120" s="4" t="s">
        <v>19</v>
      </c>
      <c r="I120" s="4" t="s">
        <v>2</v>
      </c>
      <c r="J120" s="4" t="s">
        <v>2</v>
      </c>
      <c r="L120" s="4" t="s">
        <v>1017</v>
      </c>
    </row>
    <row r="121" spans="1:12" ht="32" outlineLevel="1" x14ac:dyDescent="0.2">
      <c r="A121" s="5" t="s">
        <v>21</v>
      </c>
      <c r="B121" t="s">
        <v>1178</v>
      </c>
      <c r="C121" s="5" t="s">
        <v>1594</v>
      </c>
      <c r="D121" s="5" t="s">
        <v>1589</v>
      </c>
      <c r="E121" s="11" t="s">
        <v>1018</v>
      </c>
      <c r="F121" s="5"/>
      <c r="G121" s="5" t="s">
        <v>15</v>
      </c>
      <c r="H121" s="5" t="s">
        <v>2</v>
      </c>
      <c r="I121" s="5" t="s">
        <v>2</v>
      </c>
      <c r="J121" s="5" t="s">
        <v>2</v>
      </c>
      <c r="L121" s="5" t="s">
        <v>903</v>
      </c>
    </row>
    <row r="122" spans="1:12" ht="25" outlineLevel="2" collapsed="1" x14ac:dyDescent="0.2">
      <c r="A122" s="4" t="s">
        <v>15</v>
      </c>
      <c r="B122" s="4" t="s">
        <v>25</v>
      </c>
      <c r="C122" s="6" t="s">
        <v>365</v>
      </c>
      <c r="D122" s="4"/>
      <c r="E122" s="13" t="s">
        <v>1019</v>
      </c>
      <c r="F122" s="4"/>
      <c r="G122" s="4" t="s">
        <v>15</v>
      </c>
      <c r="H122" s="4" t="s">
        <v>2</v>
      </c>
      <c r="I122" s="4" t="s">
        <v>2</v>
      </c>
      <c r="J122" s="4" t="s">
        <v>2</v>
      </c>
      <c r="L122" s="4" t="s">
        <v>20</v>
      </c>
    </row>
    <row r="123" spans="1:12" ht="100" outlineLevel="2" collapsed="1" x14ac:dyDescent="0.2">
      <c r="A123" s="4" t="s">
        <v>15</v>
      </c>
      <c r="B123" s="4" t="s">
        <v>25</v>
      </c>
      <c r="C123" s="6" t="s">
        <v>365</v>
      </c>
      <c r="D123" s="4"/>
      <c r="E123" s="13" t="s">
        <v>1020</v>
      </c>
      <c r="F123" s="4"/>
      <c r="G123" s="4" t="s">
        <v>15</v>
      </c>
      <c r="H123" s="4" t="s">
        <v>2</v>
      </c>
      <c r="I123" s="4" t="s">
        <v>2</v>
      </c>
      <c r="J123" s="4" t="s">
        <v>2</v>
      </c>
      <c r="L123" s="4" t="s">
        <v>24</v>
      </c>
    </row>
    <row r="124" spans="1:12" ht="25" outlineLevel="2" collapsed="1" x14ac:dyDescent="0.2">
      <c r="A124" s="4" t="s">
        <v>15</v>
      </c>
      <c r="B124" s="4" t="s">
        <v>25</v>
      </c>
      <c r="C124" s="6" t="s">
        <v>365</v>
      </c>
      <c r="D124" s="4"/>
      <c r="E124" s="13" t="s">
        <v>302</v>
      </c>
      <c r="F124" s="4"/>
      <c r="G124" s="4" t="s">
        <v>15</v>
      </c>
      <c r="H124" s="4" t="s">
        <v>2</v>
      </c>
      <c r="I124" s="4" t="s">
        <v>2</v>
      </c>
      <c r="J124" s="4" t="s">
        <v>2</v>
      </c>
      <c r="L124" s="4" t="s">
        <v>27</v>
      </c>
    </row>
    <row r="125" spans="1:12" ht="75" outlineLevel="2" collapsed="1" x14ac:dyDescent="0.2">
      <c r="A125" s="4" t="s">
        <v>15</v>
      </c>
      <c r="B125" s="4" t="s">
        <v>25</v>
      </c>
      <c r="C125" s="6" t="s">
        <v>365</v>
      </c>
      <c r="D125" s="4"/>
      <c r="E125" s="13" t="s">
        <v>1021</v>
      </c>
      <c r="F125" s="4"/>
      <c r="G125" s="4" t="s">
        <v>15</v>
      </c>
      <c r="H125" s="4" t="s">
        <v>2</v>
      </c>
      <c r="I125" s="4" t="s">
        <v>2</v>
      </c>
      <c r="J125" s="4" t="s">
        <v>2</v>
      </c>
      <c r="L125" s="4" t="s">
        <v>29</v>
      </c>
    </row>
    <row r="126" spans="1:12" ht="16" outlineLevel="2" collapsed="1" x14ac:dyDescent="0.2">
      <c r="A126" s="4" t="s">
        <v>21</v>
      </c>
      <c r="B126" s="4" t="s">
        <v>16</v>
      </c>
      <c r="C126" s="4" t="s">
        <v>2</v>
      </c>
      <c r="D126" s="4" t="s">
        <v>647</v>
      </c>
      <c r="E126" s="12" t="s">
        <v>304</v>
      </c>
      <c r="F126" s="4"/>
      <c r="G126" s="4" t="s">
        <v>15</v>
      </c>
      <c r="H126" s="4" t="s">
        <v>19</v>
      </c>
      <c r="I126" s="4" t="s">
        <v>2</v>
      </c>
      <c r="J126" s="4" t="s">
        <v>2</v>
      </c>
      <c r="L126" t="s">
        <v>31</v>
      </c>
    </row>
    <row r="127" spans="1:12" ht="125" outlineLevel="2" collapsed="1" x14ac:dyDescent="0.2">
      <c r="A127" s="4" t="s">
        <v>15</v>
      </c>
      <c r="B127" s="4" t="s">
        <v>25</v>
      </c>
      <c r="C127" s="6" t="s">
        <v>365</v>
      </c>
      <c r="D127" s="4"/>
      <c r="E127" s="13" t="s">
        <v>1022</v>
      </c>
      <c r="F127" s="4"/>
      <c r="G127" s="4" t="s">
        <v>15</v>
      </c>
      <c r="H127" s="4" t="s">
        <v>2</v>
      </c>
      <c r="I127" s="4" t="s">
        <v>2</v>
      </c>
      <c r="J127" s="4" t="s">
        <v>2</v>
      </c>
      <c r="L127" s="4" t="s">
        <v>33</v>
      </c>
    </row>
    <row r="128" spans="1:12" ht="16" outlineLevel="2" collapsed="1" x14ac:dyDescent="0.2">
      <c r="A128" s="4" t="s">
        <v>21</v>
      </c>
      <c r="B128" s="4" t="s">
        <v>16</v>
      </c>
      <c r="C128" s="4" t="s">
        <v>2</v>
      </c>
      <c r="D128" s="4" t="s">
        <v>1949</v>
      </c>
      <c r="E128" s="12" t="s">
        <v>306</v>
      </c>
      <c r="F128" s="4"/>
      <c r="G128" s="4" t="s">
        <v>15</v>
      </c>
      <c r="H128" s="4" t="s">
        <v>19</v>
      </c>
      <c r="I128" s="4" t="s">
        <v>2</v>
      </c>
      <c r="J128" s="4" t="s">
        <v>2</v>
      </c>
      <c r="L128" t="s">
        <v>35</v>
      </c>
    </row>
    <row r="129" spans="1:12" ht="125" outlineLevel="2" collapsed="1" x14ac:dyDescent="0.2">
      <c r="A129" s="4" t="s">
        <v>15</v>
      </c>
      <c r="B129" s="4" t="s">
        <v>25</v>
      </c>
      <c r="C129" s="6" t="s">
        <v>365</v>
      </c>
      <c r="D129" s="4"/>
      <c r="E129" s="13" t="s">
        <v>1023</v>
      </c>
      <c r="F129" s="4"/>
      <c r="G129" s="4" t="s">
        <v>15</v>
      </c>
      <c r="H129" s="4" t="s">
        <v>2</v>
      </c>
      <c r="I129" s="4" t="s">
        <v>2</v>
      </c>
      <c r="J129" s="4" t="s">
        <v>2</v>
      </c>
      <c r="L129" s="4" t="s">
        <v>37</v>
      </c>
    </row>
    <row r="130" spans="1:12" ht="16" outlineLevel="2" collapsed="1" x14ac:dyDescent="0.2">
      <c r="A130" s="4" t="s">
        <v>21</v>
      </c>
      <c r="B130" s="4" t="s">
        <v>16</v>
      </c>
      <c r="C130" s="4" t="s">
        <v>2</v>
      </c>
      <c r="D130" s="4" t="s">
        <v>1950</v>
      </c>
      <c r="E130" s="12" t="s">
        <v>308</v>
      </c>
      <c r="F130" s="4"/>
      <c r="G130" s="4" t="s">
        <v>15</v>
      </c>
      <c r="H130" s="4" t="s">
        <v>19</v>
      </c>
      <c r="I130" s="4" t="s">
        <v>2</v>
      </c>
      <c r="J130" s="4" t="s">
        <v>2</v>
      </c>
      <c r="L130" t="s">
        <v>39</v>
      </c>
    </row>
    <row r="131" spans="1:12" ht="100" outlineLevel="2" collapsed="1" x14ac:dyDescent="0.2">
      <c r="A131" s="4" t="s">
        <v>15</v>
      </c>
      <c r="B131" s="4" t="s">
        <v>25</v>
      </c>
      <c r="C131" s="6" t="s">
        <v>365</v>
      </c>
      <c r="D131" s="4"/>
      <c r="E131" s="13" t="s">
        <v>1024</v>
      </c>
      <c r="F131" s="4"/>
      <c r="G131" s="4" t="s">
        <v>15</v>
      </c>
      <c r="H131" s="4" t="s">
        <v>2</v>
      </c>
      <c r="I131" s="4" t="s">
        <v>2</v>
      </c>
      <c r="J131" s="4" t="s">
        <v>2</v>
      </c>
      <c r="L131" s="4" t="s">
        <v>41</v>
      </c>
    </row>
    <row r="132" spans="1:12" ht="16" outlineLevel="2" collapsed="1" x14ac:dyDescent="0.2">
      <c r="A132" s="4" t="s">
        <v>21</v>
      </c>
      <c r="B132" s="4" t="s">
        <v>16</v>
      </c>
      <c r="C132" s="4" t="s">
        <v>2</v>
      </c>
      <c r="D132" s="4" t="s">
        <v>1951</v>
      </c>
      <c r="E132" s="12" t="s">
        <v>310</v>
      </c>
      <c r="F132" s="4"/>
      <c r="G132" s="4" t="s">
        <v>15</v>
      </c>
      <c r="H132" s="4" t="s">
        <v>19</v>
      </c>
      <c r="I132" s="4" t="s">
        <v>2</v>
      </c>
      <c r="J132" s="4" t="s">
        <v>2</v>
      </c>
      <c r="L132" t="s">
        <v>43</v>
      </c>
    </row>
    <row r="133" spans="1:12" ht="100" outlineLevel="2" collapsed="1" x14ac:dyDescent="0.2">
      <c r="A133" s="4" t="s">
        <v>15</v>
      </c>
      <c r="B133" s="4" t="s">
        <v>25</v>
      </c>
      <c r="C133" s="6" t="s">
        <v>365</v>
      </c>
      <c r="D133" s="4"/>
      <c r="E133" s="13" t="s">
        <v>1025</v>
      </c>
      <c r="F133" s="4"/>
      <c r="G133" s="4" t="s">
        <v>15</v>
      </c>
      <c r="H133" s="4" t="s">
        <v>2</v>
      </c>
      <c r="I133" s="4" t="s">
        <v>2</v>
      </c>
      <c r="J133" s="4" t="s">
        <v>2</v>
      </c>
      <c r="L133" s="4" t="s">
        <v>47</v>
      </c>
    </row>
    <row r="134" spans="1:12" ht="16" outlineLevel="2" collapsed="1" x14ac:dyDescent="0.2">
      <c r="A134" s="4" t="s">
        <v>21</v>
      </c>
      <c r="B134" s="4" t="s">
        <v>16</v>
      </c>
      <c r="C134" s="4" t="s">
        <v>2</v>
      </c>
      <c r="D134" s="4" t="s">
        <v>651</v>
      </c>
      <c r="E134" s="12" t="s">
        <v>312</v>
      </c>
      <c r="F134" s="4"/>
      <c r="G134" s="4" t="s">
        <v>15</v>
      </c>
      <c r="H134" s="4" t="s">
        <v>19</v>
      </c>
      <c r="I134" s="4" t="s">
        <v>2</v>
      </c>
      <c r="J134" s="4" t="s">
        <v>2</v>
      </c>
      <c r="L134" t="s">
        <v>51</v>
      </c>
    </row>
    <row r="135" spans="1:12" ht="75" outlineLevel="2" collapsed="1" x14ac:dyDescent="0.2">
      <c r="A135" s="4" t="s">
        <v>15</v>
      </c>
      <c r="B135" s="4" t="s">
        <v>25</v>
      </c>
      <c r="C135" s="6" t="s">
        <v>365</v>
      </c>
      <c r="D135" s="4"/>
      <c r="E135" s="13" t="s">
        <v>1026</v>
      </c>
      <c r="F135" s="4"/>
      <c r="G135" s="4" t="s">
        <v>15</v>
      </c>
      <c r="H135" s="4" t="s">
        <v>2</v>
      </c>
      <c r="I135" s="4" t="s">
        <v>2</v>
      </c>
      <c r="J135" s="4" t="s">
        <v>2</v>
      </c>
      <c r="L135" s="4" t="s">
        <v>53</v>
      </c>
    </row>
    <row r="136" spans="1:12" ht="16" outlineLevel="2" collapsed="1" x14ac:dyDescent="0.2">
      <c r="A136" s="4" t="s">
        <v>21</v>
      </c>
      <c r="B136" s="4" t="s">
        <v>16</v>
      </c>
      <c r="C136" s="4" t="s">
        <v>2</v>
      </c>
      <c r="D136" s="4" t="s">
        <v>652</v>
      </c>
      <c r="E136" s="12" t="s">
        <v>314</v>
      </c>
      <c r="F136" s="4"/>
      <c r="G136" s="4" t="s">
        <v>15</v>
      </c>
      <c r="H136" s="4" t="s">
        <v>19</v>
      </c>
      <c r="I136" s="4" t="s">
        <v>2</v>
      </c>
      <c r="J136" s="4" t="s">
        <v>2</v>
      </c>
      <c r="L136" t="s">
        <v>55</v>
      </c>
    </row>
    <row r="137" spans="1:12" ht="75" outlineLevel="2" collapsed="1" x14ac:dyDescent="0.2">
      <c r="A137" s="4" t="s">
        <v>15</v>
      </c>
      <c r="B137" s="4" t="s">
        <v>25</v>
      </c>
      <c r="C137" s="6" t="s">
        <v>365</v>
      </c>
      <c r="D137" s="4"/>
      <c r="E137" s="13" t="s">
        <v>1027</v>
      </c>
      <c r="F137" s="4"/>
      <c r="G137" s="4" t="s">
        <v>15</v>
      </c>
      <c r="H137" s="4" t="s">
        <v>2</v>
      </c>
      <c r="I137" s="4" t="s">
        <v>2</v>
      </c>
      <c r="J137" s="4" t="s">
        <v>2</v>
      </c>
      <c r="L137" s="4" t="s">
        <v>57</v>
      </c>
    </row>
    <row r="138" spans="1:12" ht="50" outlineLevel="2" collapsed="1" x14ac:dyDescent="0.2">
      <c r="A138" s="4" t="s">
        <v>15</v>
      </c>
      <c r="B138" s="4" t="s">
        <v>25</v>
      </c>
      <c r="C138" s="6" t="s">
        <v>365</v>
      </c>
      <c r="D138" s="4"/>
      <c r="E138" s="13" t="s">
        <v>316</v>
      </c>
      <c r="F138" s="4"/>
      <c r="G138" s="4" t="s">
        <v>15</v>
      </c>
      <c r="H138" s="4" t="s">
        <v>2</v>
      </c>
      <c r="I138" s="4" t="s">
        <v>2</v>
      </c>
      <c r="J138" s="4" t="s">
        <v>2</v>
      </c>
      <c r="L138" s="4" t="s">
        <v>59</v>
      </c>
    </row>
    <row r="139" spans="1:12" ht="16" outlineLevel="2" collapsed="1" x14ac:dyDescent="0.2">
      <c r="A139" s="4" t="s">
        <v>21</v>
      </c>
      <c r="B139" s="4" t="s">
        <v>96</v>
      </c>
      <c r="C139" s="4" t="s">
        <v>2</v>
      </c>
      <c r="D139" s="4" t="s">
        <v>2060</v>
      </c>
      <c r="E139" s="12" t="s">
        <v>1028</v>
      </c>
      <c r="F139" s="4"/>
      <c r="G139" s="4" t="s">
        <v>15</v>
      </c>
      <c r="H139" s="4" t="s">
        <v>98</v>
      </c>
      <c r="I139" s="4" t="s">
        <v>2</v>
      </c>
      <c r="J139" s="4" t="s">
        <v>2</v>
      </c>
      <c r="L139" t="s">
        <v>61</v>
      </c>
    </row>
    <row r="140" spans="1:12" ht="125" outlineLevel="2" collapsed="1" x14ac:dyDescent="0.2">
      <c r="A140" s="4" t="s">
        <v>15</v>
      </c>
      <c r="B140" s="4" t="s">
        <v>25</v>
      </c>
      <c r="C140" s="6" t="s">
        <v>365</v>
      </c>
      <c r="D140" s="4"/>
      <c r="E140" s="13" t="s">
        <v>1029</v>
      </c>
      <c r="F140" s="4"/>
      <c r="G140" s="4" t="s">
        <v>15</v>
      </c>
      <c r="H140" s="4" t="s">
        <v>2</v>
      </c>
      <c r="I140" s="4" t="s">
        <v>2</v>
      </c>
      <c r="J140" s="4" t="s">
        <v>2</v>
      </c>
      <c r="L140" s="4" t="s">
        <v>63</v>
      </c>
    </row>
    <row r="141" spans="1:12" ht="16" outlineLevel="2" collapsed="1" x14ac:dyDescent="0.2">
      <c r="A141" s="4" t="s">
        <v>21</v>
      </c>
      <c r="B141" s="4" t="s">
        <v>16</v>
      </c>
      <c r="C141" s="4" t="s">
        <v>2</v>
      </c>
      <c r="D141" s="4" t="s">
        <v>656</v>
      </c>
      <c r="E141" s="12" t="s">
        <v>655</v>
      </c>
      <c r="F141" s="4"/>
      <c r="G141" s="4" t="s">
        <v>15</v>
      </c>
      <c r="H141" s="4" t="s">
        <v>19</v>
      </c>
      <c r="I141" s="4" t="s">
        <v>2</v>
      </c>
      <c r="J141" s="4" t="s">
        <v>2</v>
      </c>
      <c r="L141" t="s">
        <v>65</v>
      </c>
    </row>
    <row r="142" spans="1:12" ht="150" outlineLevel="2" collapsed="1" x14ac:dyDescent="0.2">
      <c r="A142" s="4" t="s">
        <v>15</v>
      </c>
      <c r="B142" s="4" t="s">
        <v>25</v>
      </c>
      <c r="C142" s="6" t="s">
        <v>365</v>
      </c>
      <c r="D142" s="4"/>
      <c r="E142" s="13" t="s">
        <v>1030</v>
      </c>
      <c r="F142" s="4"/>
      <c r="G142" s="4" t="s">
        <v>15</v>
      </c>
      <c r="H142" s="4" t="s">
        <v>2</v>
      </c>
      <c r="I142" s="4" t="s">
        <v>2</v>
      </c>
      <c r="J142" s="4" t="s">
        <v>2</v>
      </c>
      <c r="L142" s="4" t="s">
        <v>67</v>
      </c>
    </row>
    <row r="143" spans="1:12" ht="16" outlineLevel="2" collapsed="1" x14ac:dyDescent="0.2">
      <c r="A143" s="4" t="s">
        <v>21</v>
      </c>
      <c r="B143" s="4" t="s">
        <v>16</v>
      </c>
      <c r="C143" s="4" t="s">
        <v>2</v>
      </c>
      <c r="D143" s="4" t="s">
        <v>658</v>
      </c>
      <c r="E143" s="12" t="s">
        <v>657</v>
      </c>
      <c r="F143" s="4"/>
      <c r="G143" s="4" t="s">
        <v>15</v>
      </c>
      <c r="H143" s="4" t="s">
        <v>19</v>
      </c>
      <c r="I143" s="4" t="s">
        <v>2</v>
      </c>
      <c r="J143" s="4" t="s">
        <v>2</v>
      </c>
      <c r="L143" t="s">
        <v>69</v>
      </c>
    </row>
    <row r="144" spans="1:12" ht="50" outlineLevel="2" collapsed="1" x14ac:dyDescent="0.2">
      <c r="A144" s="4" t="s">
        <v>15</v>
      </c>
      <c r="B144" s="4" t="s">
        <v>25</v>
      </c>
      <c r="C144" s="6" t="s">
        <v>365</v>
      </c>
      <c r="D144" s="4"/>
      <c r="E144" s="13" t="s">
        <v>1031</v>
      </c>
      <c r="F144" s="4"/>
      <c r="G144" s="4" t="s">
        <v>15</v>
      </c>
      <c r="H144" s="4" t="s">
        <v>2</v>
      </c>
      <c r="I144" s="4" t="s">
        <v>2</v>
      </c>
      <c r="J144" s="4" t="s">
        <v>2</v>
      </c>
      <c r="L144" s="4" t="s">
        <v>71</v>
      </c>
    </row>
    <row r="145" spans="1:12" ht="16" outlineLevel="2" collapsed="1" x14ac:dyDescent="0.2">
      <c r="A145" s="4" t="s">
        <v>21</v>
      </c>
      <c r="B145" s="4" t="s">
        <v>16</v>
      </c>
      <c r="C145" s="4" t="s">
        <v>2</v>
      </c>
      <c r="D145" s="4" t="s">
        <v>660</v>
      </c>
      <c r="E145" s="12" t="s">
        <v>659</v>
      </c>
      <c r="F145" s="4"/>
      <c r="G145" s="4" t="s">
        <v>15</v>
      </c>
      <c r="H145" s="4" t="s">
        <v>19</v>
      </c>
      <c r="I145" s="4" t="s">
        <v>2</v>
      </c>
      <c r="J145" s="4" t="s">
        <v>2</v>
      </c>
      <c r="L145" t="s">
        <v>73</v>
      </c>
    </row>
    <row r="146" spans="1:12" ht="100" outlineLevel="2" collapsed="1" x14ac:dyDescent="0.2">
      <c r="A146" s="4" t="s">
        <v>15</v>
      </c>
      <c r="B146" s="4" t="s">
        <v>25</v>
      </c>
      <c r="C146" s="6" t="s">
        <v>365</v>
      </c>
      <c r="D146" s="4"/>
      <c r="E146" s="13" t="s">
        <v>1032</v>
      </c>
      <c r="F146" s="4"/>
      <c r="G146" s="4" t="s">
        <v>15</v>
      </c>
      <c r="H146" s="4" t="s">
        <v>2</v>
      </c>
      <c r="I146" s="4" t="s">
        <v>2</v>
      </c>
      <c r="J146" s="4" t="s">
        <v>2</v>
      </c>
      <c r="L146" s="4" t="s">
        <v>522</v>
      </c>
    </row>
    <row r="147" spans="1:12" ht="16" outlineLevel="2" collapsed="1" x14ac:dyDescent="0.2">
      <c r="A147" s="4" t="s">
        <v>21</v>
      </c>
      <c r="B147" s="4" t="s">
        <v>16</v>
      </c>
      <c r="C147" s="4" t="s">
        <v>2</v>
      </c>
      <c r="D147" s="4" t="s">
        <v>661</v>
      </c>
      <c r="E147" s="12" t="s">
        <v>329</v>
      </c>
      <c r="F147" s="4"/>
      <c r="G147" s="4" t="s">
        <v>15</v>
      </c>
      <c r="H147" s="4" t="s">
        <v>19</v>
      </c>
      <c r="I147" s="4" t="s">
        <v>2</v>
      </c>
      <c r="J147" s="4" t="s">
        <v>2</v>
      </c>
      <c r="L147" t="s">
        <v>823</v>
      </c>
    </row>
    <row r="148" spans="1:12" ht="75" outlineLevel="2" collapsed="1" x14ac:dyDescent="0.2">
      <c r="A148" s="4" t="s">
        <v>15</v>
      </c>
      <c r="B148" s="4" t="s">
        <v>25</v>
      </c>
      <c r="C148" s="6" t="s">
        <v>365</v>
      </c>
      <c r="D148" s="4"/>
      <c r="E148" s="13" t="s">
        <v>1033</v>
      </c>
      <c r="F148" s="4"/>
      <c r="G148" s="4" t="s">
        <v>15</v>
      </c>
      <c r="H148" s="4" t="s">
        <v>2</v>
      </c>
      <c r="I148" s="4" t="s">
        <v>2</v>
      </c>
      <c r="J148" s="4" t="s">
        <v>2</v>
      </c>
      <c r="L148" s="4" t="s">
        <v>531</v>
      </c>
    </row>
    <row r="149" spans="1:12" ht="25" outlineLevel="2" collapsed="1" x14ac:dyDescent="0.2">
      <c r="A149" s="4" t="s">
        <v>15</v>
      </c>
      <c r="B149" s="4" t="s">
        <v>25</v>
      </c>
      <c r="C149" s="6" t="s">
        <v>365</v>
      </c>
      <c r="D149" s="4"/>
      <c r="E149" s="13" t="s">
        <v>1034</v>
      </c>
      <c r="F149" s="4"/>
      <c r="G149" s="4" t="s">
        <v>15</v>
      </c>
      <c r="H149" s="4" t="s">
        <v>2</v>
      </c>
      <c r="I149" s="4" t="s">
        <v>2</v>
      </c>
      <c r="J149" s="4" t="s">
        <v>2</v>
      </c>
      <c r="L149" s="4" t="s">
        <v>532</v>
      </c>
    </row>
    <row r="150" spans="1:12" ht="200" outlineLevel="2" collapsed="1" x14ac:dyDescent="0.2">
      <c r="A150" s="4" t="s">
        <v>15</v>
      </c>
      <c r="B150" s="4" t="s">
        <v>25</v>
      </c>
      <c r="C150" s="6" t="s">
        <v>365</v>
      </c>
      <c r="D150" s="4"/>
      <c r="E150" s="13" t="s">
        <v>1035</v>
      </c>
      <c r="F150" s="4"/>
      <c r="G150" s="4" t="s">
        <v>15</v>
      </c>
      <c r="H150" s="4" t="s">
        <v>2</v>
      </c>
      <c r="I150" s="4" t="s">
        <v>2</v>
      </c>
      <c r="J150" s="4" t="s">
        <v>2</v>
      </c>
      <c r="L150" s="4" t="s">
        <v>533</v>
      </c>
    </row>
    <row r="151" spans="1:12" ht="16" outlineLevel="2" collapsed="1" x14ac:dyDescent="0.2">
      <c r="A151" s="4" t="s">
        <v>21</v>
      </c>
      <c r="B151" s="4" t="s">
        <v>16</v>
      </c>
      <c r="C151" s="4" t="s">
        <v>2</v>
      </c>
      <c r="D151" s="4" t="s">
        <v>2061</v>
      </c>
      <c r="E151" s="12" t="s">
        <v>1036</v>
      </c>
      <c r="F151" s="4"/>
      <c r="G151" s="4" t="s">
        <v>15</v>
      </c>
      <c r="H151" s="4" t="s">
        <v>19</v>
      </c>
      <c r="I151" s="4" t="s">
        <v>2</v>
      </c>
      <c r="J151" s="4" t="s">
        <v>2</v>
      </c>
      <c r="L151" t="s">
        <v>488</v>
      </c>
    </row>
    <row r="152" spans="1:12" ht="200" outlineLevel="2" collapsed="1" x14ac:dyDescent="0.2">
      <c r="A152" s="4" t="s">
        <v>15</v>
      </c>
      <c r="B152" s="4" t="s">
        <v>25</v>
      </c>
      <c r="C152" s="6" t="s">
        <v>365</v>
      </c>
      <c r="D152" s="4"/>
      <c r="E152" s="13" t="s">
        <v>1037</v>
      </c>
      <c r="F152" s="4"/>
      <c r="G152" s="4" t="s">
        <v>15</v>
      </c>
      <c r="H152" s="4" t="s">
        <v>2</v>
      </c>
      <c r="I152" s="4" t="s">
        <v>2</v>
      </c>
      <c r="J152" s="4" t="s">
        <v>2</v>
      </c>
      <c r="L152" s="4" t="s">
        <v>827</v>
      </c>
    </row>
    <row r="153" spans="1:12" ht="16" outlineLevel="2" collapsed="1" x14ac:dyDescent="0.2">
      <c r="A153" s="4" t="s">
        <v>21</v>
      </c>
      <c r="B153" s="4" t="s">
        <v>16</v>
      </c>
      <c r="C153" s="4" t="s">
        <v>2</v>
      </c>
      <c r="D153" s="4" t="s">
        <v>2062</v>
      </c>
      <c r="E153" s="12" t="s">
        <v>339</v>
      </c>
      <c r="F153" s="4"/>
      <c r="G153" s="4" t="s">
        <v>15</v>
      </c>
      <c r="H153" s="4" t="s">
        <v>19</v>
      </c>
      <c r="I153" s="4" t="s">
        <v>2</v>
      </c>
      <c r="J153" s="4" t="s">
        <v>2</v>
      </c>
      <c r="L153" t="s">
        <v>829</v>
      </c>
    </row>
    <row r="154" spans="1:12" ht="25" outlineLevel="2" collapsed="1" x14ac:dyDescent="0.2">
      <c r="A154" s="4" t="s">
        <v>15</v>
      </c>
      <c r="B154" s="4" t="s">
        <v>25</v>
      </c>
      <c r="C154" s="6" t="s">
        <v>365</v>
      </c>
      <c r="D154" s="4"/>
      <c r="E154" s="13" t="s">
        <v>344</v>
      </c>
      <c r="F154" s="4"/>
      <c r="G154" s="4" t="s">
        <v>15</v>
      </c>
      <c r="H154" s="4" t="s">
        <v>2</v>
      </c>
      <c r="I154" s="4" t="s">
        <v>2</v>
      </c>
      <c r="J154" s="4" t="s">
        <v>2</v>
      </c>
      <c r="L154" s="4" t="s">
        <v>503</v>
      </c>
    </row>
    <row r="155" spans="1:12" ht="150" outlineLevel="2" collapsed="1" x14ac:dyDescent="0.2">
      <c r="A155" s="4" t="s">
        <v>15</v>
      </c>
      <c r="B155" s="4" t="s">
        <v>25</v>
      </c>
      <c r="C155" s="6" t="s">
        <v>365</v>
      </c>
      <c r="D155" s="4"/>
      <c r="E155" s="13" t="s">
        <v>1038</v>
      </c>
      <c r="F155" s="4"/>
      <c r="G155" s="4" t="s">
        <v>15</v>
      </c>
      <c r="H155" s="4" t="s">
        <v>2</v>
      </c>
      <c r="I155" s="4" t="s">
        <v>2</v>
      </c>
      <c r="J155" s="4" t="s">
        <v>2</v>
      </c>
      <c r="L155" s="4" t="s">
        <v>534</v>
      </c>
    </row>
    <row r="156" spans="1:12" ht="16" outlineLevel="2" collapsed="1" x14ac:dyDescent="0.2">
      <c r="A156" s="4" t="s">
        <v>21</v>
      </c>
      <c r="B156" s="4" t="s">
        <v>16</v>
      </c>
      <c r="C156" s="4" t="s">
        <v>2</v>
      </c>
      <c r="D156" s="4" t="s">
        <v>669</v>
      </c>
      <c r="E156" s="12" t="s">
        <v>1039</v>
      </c>
      <c r="F156" s="4"/>
      <c r="G156" s="4" t="s">
        <v>15</v>
      </c>
      <c r="H156" s="4" t="s">
        <v>19</v>
      </c>
      <c r="I156" s="4" t="s">
        <v>2</v>
      </c>
      <c r="J156" s="4" t="s">
        <v>2</v>
      </c>
      <c r="L156" t="s">
        <v>832</v>
      </c>
    </row>
    <row r="157" spans="1:12" ht="50" outlineLevel="2" collapsed="1" x14ac:dyDescent="0.2">
      <c r="A157" s="4" t="s">
        <v>15</v>
      </c>
      <c r="B157" s="4" t="s">
        <v>25</v>
      </c>
      <c r="C157" s="6" t="s">
        <v>365</v>
      </c>
      <c r="D157" s="4"/>
      <c r="E157" s="13" t="s">
        <v>1040</v>
      </c>
      <c r="F157" s="4"/>
      <c r="G157" s="4" t="s">
        <v>15</v>
      </c>
      <c r="H157" s="4" t="s">
        <v>2</v>
      </c>
      <c r="I157" s="4" t="s">
        <v>2</v>
      </c>
      <c r="J157" s="4" t="s">
        <v>2</v>
      </c>
      <c r="L157" s="4" t="s">
        <v>834</v>
      </c>
    </row>
    <row r="158" spans="1:12" ht="16" outlineLevel="2" collapsed="1" x14ac:dyDescent="0.2">
      <c r="A158" s="4" t="s">
        <v>21</v>
      </c>
      <c r="B158" s="4" t="s">
        <v>16</v>
      </c>
      <c r="C158" s="4" t="s">
        <v>2</v>
      </c>
      <c r="D158" s="4" t="s">
        <v>1958</v>
      </c>
      <c r="E158" s="12" t="s">
        <v>670</v>
      </c>
      <c r="F158" s="4"/>
      <c r="G158" s="4" t="s">
        <v>15</v>
      </c>
      <c r="H158" s="4" t="s">
        <v>19</v>
      </c>
      <c r="I158" s="4" t="s">
        <v>2</v>
      </c>
      <c r="J158" s="4" t="s">
        <v>2</v>
      </c>
      <c r="L158" t="s">
        <v>535</v>
      </c>
    </row>
    <row r="159" spans="1:12" ht="16" outlineLevel="2" x14ac:dyDescent="0.2">
      <c r="A159" s="5" t="s">
        <v>21</v>
      </c>
      <c r="B159" t="s">
        <v>1178</v>
      </c>
      <c r="C159" s="5" t="s">
        <v>673</v>
      </c>
      <c r="D159" s="5" t="s">
        <v>675</v>
      </c>
      <c r="E159" s="11" t="s">
        <v>352</v>
      </c>
      <c r="F159" s="5"/>
      <c r="G159" s="5" t="s">
        <v>21</v>
      </c>
      <c r="H159" s="5" t="s">
        <v>2</v>
      </c>
      <c r="I159" s="5" t="s">
        <v>2</v>
      </c>
      <c r="J159" s="5" t="s">
        <v>2</v>
      </c>
      <c r="L159" t="s">
        <v>836</v>
      </c>
    </row>
    <row r="160" spans="1:12" ht="16" outlineLevel="3" collapsed="1" x14ac:dyDescent="0.2">
      <c r="A160" s="4" t="s">
        <v>15</v>
      </c>
      <c r="B160" s="4" t="s">
        <v>25</v>
      </c>
      <c r="C160" s="4" t="s">
        <v>2</v>
      </c>
      <c r="D160" s="4"/>
      <c r="E160" s="12" t="s">
        <v>354</v>
      </c>
      <c r="F160" s="4"/>
      <c r="G160" s="4" t="s">
        <v>15</v>
      </c>
      <c r="H160" s="4" t="s">
        <v>2</v>
      </c>
      <c r="I160" s="4" t="s">
        <v>2</v>
      </c>
      <c r="J160" s="4" t="s">
        <v>2</v>
      </c>
      <c r="L160" s="4" t="s">
        <v>20</v>
      </c>
    </row>
    <row r="161" spans="1:12" ht="16" outlineLevel="3" collapsed="1" x14ac:dyDescent="0.2">
      <c r="A161" s="4" t="s">
        <v>21</v>
      </c>
      <c r="B161" s="4" t="s">
        <v>16</v>
      </c>
      <c r="C161" s="4" t="s">
        <v>2</v>
      </c>
      <c r="D161" s="4" t="s">
        <v>2063</v>
      </c>
      <c r="E161" s="12" t="s">
        <v>1041</v>
      </c>
      <c r="F161" s="4"/>
      <c r="G161" s="4" t="s">
        <v>15</v>
      </c>
      <c r="H161" s="4" t="s">
        <v>19</v>
      </c>
      <c r="I161" s="4" t="s">
        <v>2</v>
      </c>
      <c r="J161" s="4" t="s">
        <v>2</v>
      </c>
      <c r="L161" t="s">
        <v>24</v>
      </c>
    </row>
    <row r="162" spans="1:12" ht="32" outlineLevel="3" collapsed="1" x14ac:dyDescent="0.2">
      <c r="A162" s="4" t="s">
        <v>15</v>
      </c>
      <c r="B162" s="4" t="s">
        <v>25</v>
      </c>
      <c r="C162" s="4" t="s">
        <v>2</v>
      </c>
      <c r="D162" s="4"/>
      <c r="E162" s="12" t="s">
        <v>1042</v>
      </c>
      <c r="F162" s="4"/>
      <c r="G162" s="4" t="s">
        <v>15</v>
      </c>
      <c r="H162" s="4" t="s">
        <v>2</v>
      </c>
      <c r="I162" s="4" t="s">
        <v>2</v>
      </c>
      <c r="J162" s="4" t="s">
        <v>2</v>
      </c>
      <c r="L162" s="4" t="s">
        <v>27</v>
      </c>
    </row>
    <row r="163" spans="1:12" ht="16" outlineLevel="3" collapsed="1" x14ac:dyDescent="0.2">
      <c r="A163" s="4" t="s">
        <v>21</v>
      </c>
      <c r="B163" s="4" t="s">
        <v>16</v>
      </c>
      <c r="C163" s="4" t="s">
        <v>2</v>
      </c>
      <c r="D163" s="4" t="s">
        <v>2064</v>
      </c>
      <c r="E163" s="12" t="s">
        <v>356</v>
      </c>
      <c r="F163" s="4"/>
      <c r="G163" s="4" t="s">
        <v>15</v>
      </c>
      <c r="H163" s="4" t="s">
        <v>19</v>
      </c>
      <c r="I163" s="4" t="s">
        <v>2</v>
      </c>
      <c r="J163" s="4" t="s">
        <v>2</v>
      </c>
      <c r="L163" t="s">
        <v>29</v>
      </c>
    </row>
    <row r="164" spans="1:12" ht="25" outlineLevel="2" x14ac:dyDescent="0.2">
      <c r="A164" s="4" t="s">
        <v>15</v>
      </c>
      <c r="B164" s="4" t="s">
        <v>25</v>
      </c>
      <c r="C164" s="6" t="s">
        <v>365</v>
      </c>
      <c r="D164" s="4"/>
      <c r="E164" s="13" t="s">
        <v>358</v>
      </c>
      <c r="F164" s="4"/>
      <c r="G164" s="4" t="s">
        <v>15</v>
      </c>
      <c r="H164" s="4" t="s">
        <v>2</v>
      </c>
      <c r="I164" s="4" t="s">
        <v>2</v>
      </c>
      <c r="J164" s="4" t="s">
        <v>2</v>
      </c>
      <c r="L164" s="4" t="s">
        <v>837</v>
      </c>
    </row>
    <row r="165" spans="1:12" ht="175" outlineLevel="2" collapsed="1" x14ac:dyDescent="0.2">
      <c r="A165" s="4" t="s">
        <v>15</v>
      </c>
      <c r="B165" s="4" t="s">
        <v>25</v>
      </c>
      <c r="C165" s="6" t="s">
        <v>365</v>
      </c>
      <c r="D165" s="4"/>
      <c r="E165" s="13" t="s">
        <v>1043</v>
      </c>
      <c r="F165" s="4"/>
      <c r="G165" s="4" t="s">
        <v>15</v>
      </c>
      <c r="H165" s="4" t="s">
        <v>2</v>
      </c>
      <c r="I165" s="4" t="s">
        <v>2</v>
      </c>
      <c r="J165" s="4" t="s">
        <v>2</v>
      </c>
      <c r="L165" s="4" t="s">
        <v>838</v>
      </c>
    </row>
    <row r="166" spans="1:12" ht="16" outlineLevel="2" collapsed="1" x14ac:dyDescent="0.2">
      <c r="A166" s="4" t="s">
        <v>15</v>
      </c>
      <c r="B166" s="4" t="s">
        <v>16</v>
      </c>
      <c r="C166" s="4" t="s">
        <v>2</v>
      </c>
      <c r="D166" s="4" t="s">
        <v>687</v>
      </c>
      <c r="E166" s="12" t="s">
        <v>360</v>
      </c>
      <c r="F166" s="4"/>
      <c r="G166" s="4" t="s">
        <v>15</v>
      </c>
      <c r="H166" s="4" t="s">
        <v>19</v>
      </c>
      <c r="I166" s="4" t="s">
        <v>2</v>
      </c>
      <c r="J166" s="4" t="s">
        <v>2</v>
      </c>
      <c r="L166" t="s">
        <v>840</v>
      </c>
    </row>
    <row r="167" spans="1:12" ht="25" outlineLevel="2" collapsed="1" x14ac:dyDescent="0.2">
      <c r="A167" s="4" t="s">
        <v>15</v>
      </c>
      <c r="B167" s="4" t="s">
        <v>25</v>
      </c>
      <c r="C167" s="6" t="s">
        <v>365</v>
      </c>
      <c r="D167" s="4"/>
      <c r="E167" s="13" t="s">
        <v>363</v>
      </c>
      <c r="F167" s="4"/>
      <c r="G167" s="4" t="s">
        <v>15</v>
      </c>
      <c r="H167" s="4" t="s">
        <v>2</v>
      </c>
      <c r="I167" s="4" t="s">
        <v>2</v>
      </c>
      <c r="J167" s="4" t="s">
        <v>2</v>
      </c>
      <c r="L167" s="4" t="s">
        <v>536</v>
      </c>
    </row>
    <row r="168" spans="1:12" ht="250" outlineLevel="2" collapsed="1" x14ac:dyDescent="0.2">
      <c r="A168" s="4" t="s">
        <v>15</v>
      </c>
      <c r="B168" s="4" t="s">
        <v>25</v>
      </c>
      <c r="C168" s="6" t="s">
        <v>365</v>
      </c>
      <c r="D168" s="4"/>
      <c r="E168" s="13" t="s">
        <v>1044</v>
      </c>
      <c r="F168" s="4"/>
      <c r="G168" s="4" t="s">
        <v>15</v>
      </c>
      <c r="H168" s="4" t="s">
        <v>2</v>
      </c>
      <c r="I168" s="4" t="s">
        <v>2</v>
      </c>
      <c r="J168" s="4" t="s">
        <v>2</v>
      </c>
      <c r="L168" s="4" t="s">
        <v>843</v>
      </c>
    </row>
    <row r="169" spans="1:12" ht="50" outlineLevel="2" collapsed="1" x14ac:dyDescent="0.2">
      <c r="A169" s="4" t="s">
        <v>15</v>
      </c>
      <c r="B169" s="4" t="s">
        <v>25</v>
      </c>
      <c r="C169" s="6" t="s">
        <v>365</v>
      </c>
      <c r="D169" s="4"/>
      <c r="E169" s="13" t="s">
        <v>366</v>
      </c>
      <c r="F169" s="4"/>
      <c r="G169" s="4" t="s">
        <v>15</v>
      </c>
      <c r="H169" s="4" t="s">
        <v>2</v>
      </c>
      <c r="I169" s="4" t="s">
        <v>2</v>
      </c>
      <c r="J169" s="4" t="s">
        <v>2</v>
      </c>
      <c r="L169" s="4" t="s">
        <v>489</v>
      </c>
    </row>
    <row r="170" spans="1:12" ht="16" outlineLevel="2" collapsed="1" x14ac:dyDescent="0.2">
      <c r="A170" s="4" t="s">
        <v>21</v>
      </c>
      <c r="B170" s="4" t="s">
        <v>16</v>
      </c>
      <c r="C170" s="4" t="s">
        <v>2</v>
      </c>
      <c r="D170" s="4" t="s">
        <v>2145</v>
      </c>
      <c r="E170" s="12" t="s">
        <v>367</v>
      </c>
      <c r="F170" s="4"/>
      <c r="G170" s="4" t="s">
        <v>15</v>
      </c>
      <c r="H170" s="4" t="s">
        <v>19</v>
      </c>
      <c r="I170" s="4" t="s">
        <v>2</v>
      </c>
      <c r="J170" s="4" t="s">
        <v>2</v>
      </c>
      <c r="L170" t="s">
        <v>845</v>
      </c>
    </row>
    <row r="171" spans="1:12" ht="16" outlineLevel="2" collapsed="1" x14ac:dyDescent="0.2">
      <c r="A171" s="4" t="s">
        <v>21</v>
      </c>
      <c r="B171" s="4" t="s">
        <v>16</v>
      </c>
      <c r="C171" s="4" t="s">
        <v>2</v>
      </c>
      <c r="D171" s="4" t="s">
        <v>2146</v>
      </c>
      <c r="E171" s="12" t="s">
        <v>368</v>
      </c>
      <c r="F171" s="4"/>
      <c r="G171" s="4" t="s">
        <v>15</v>
      </c>
      <c r="H171" s="4" t="s">
        <v>19</v>
      </c>
      <c r="I171" s="4" t="s">
        <v>2</v>
      </c>
      <c r="J171" s="4" t="s">
        <v>2</v>
      </c>
      <c r="L171" t="s">
        <v>505</v>
      </c>
    </row>
    <row r="172" spans="1:12" ht="25" outlineLevel="2" collapsed="1" x14ac:dyDescent="0.2">
      <c r="A172" s="4" t="s">
        <v>15</v>
      </c>
      <c r="B172" s="4" t="s">
        <v>25</v>
      </c>
      <c r="C172" s="6" t="s">
        <v>365</v>
      </c>
      <c r="D172" s="4"/>
      <c r="E172" s="13" t="s">
        <v>369</v>
      </c>
      <c r="F172" s="4"/>
      <c r="G172" s="4" t="s">
        <v>15</v>
      </c>
      <c r="H172" s="4" t="s">
        <v>2</v>
      </c>
      <c r="I172" s="4" t="s">
        <v>2</v>
      </c>
      <c r="J172" s="4" t="s">
        <v>2</v>
      </c>
      <c r="L172" s="4" t="s">
        <v>848</v>
      </c>
    </row>
    <row r="173" spans="1:12" ht="16" outlineLevel="2" collapsed="1" x14ac:dyDescent="0.2">
      <c r="A173" s="4" t="s">
        <v>21</v>
      </c>
      <c r="B173" s="4" t="s">
        <v>16</v>
      </c>
      <c r="C173" s="4" t="s">
        <v>2</v>
      </c>
      <c r="D173" s="4" t="s">
        <v>2143</v>
      </c>
      <c r="E173" s="12" t="s">
        <v>367</v>
      </c>
      <c r="F173" s="4"/>
      <c r="G173" s="4" t="s">
        <v>15</v>
      </c>
      <c r="H173" s="4" t="s">
        <v>19</v>
      </c>
      <c r="I173" s="4" t="s">
        <v>2</v>
      </c>
      <c r="J173" s="4" t="s">
        <v>2</v>
      </c>
      <c r="L173" s="4" t="s">
        <v>849</v>
      </c>
    </row>
    <row r="174" spans="1:12" ht="16" outlineLevel="2" collapsed="1" x14ac:dyDescent="0.2">
      <c r="A174" s="4" t="s">
        <v>21</v>
      </c>
      <c r="B174" s="4" t="s">
        <v>16</v>
      </c>
      <c r="C174" s="4" t="s">
        <v>2</v>
      </c>
      <c r="D174" s="4" t="s">
        <v>2144</v>
      </c>
      <c r="E174" s="12" t="s">
        <v>368</v>
      </c>
      <c r="F174" s="4"/>
      <c r="G174" s="4" t="s">
        <v>15</v>
      </c>
      <c r="H174" s="4" t="s">
        <v>19</v>
      </c>
      <c r="I174" s="4" t="s">
        <v>2</v>
      </c>
      <c r="J174" s="4" t="s">
        <v>2</v>
      </c>
      <c r="L174" t="s">
        <v>851</v>
      </c>
    </row>
    <row r="175" spans="1:12" ht="25" outlineLevel="2" collapsed="1" x14ac:dyDescent="0.2">
      <c r="A175" s="4" t="s">
        <v>15</v>
      </c>
      <c r="B175" s="4" t="s">
        <v>25</v>
      </c>
      <c r="C175" s="6" t="s">
        <v>365</v>
      </c>
      <c r="D175" s="4"/>
      <c r="E175" s="13" t="s">
        <v>370</v>
      </c>
      <c r="F175" s="4"/>
      <c r="G175" s="4" t="s">
        <v>15</v>
      </c>
      <c r="H175" s="4" t="s">
        <v>2</v>
      </c>
      <c r="I175" s="4" t="s">
        <v>2</v>
      </c>
      <c r="J175" s="4" t="s">
        <v>2</v>
      </c>
      <c r="L175" s="4" t="s">
        <v>852</v>
      </c>
    </row>
    <row r="176" spans="1:12" ht="16" outlineLevel="2" collapsed="1" x14ac:dyDescent="0.2">
      <c r="A176" s="4" t="s">
        <v>21</v>
      </c>
      <c r="B176" s="4" t="s">
        <v>16</v>
      </c>
      <c r="C176" s="4" t="s">
        <v>2</v>
      </c>
      <c r="D176" s="4" t="s">
        <v>2035</v>
      </c>
      <c r="E176" s="12" t="s">
        <v>367</v>
      </c>
      <c r="F176" s="4"/>
      <c r="G176" s="4" t="s">
        <v>15</v>
      </c>
      <c r="H176" s="4" t="s">
        <v>19</v>
      </c>
      <c r="I176" s="4" t="s">
        <v>2</v>
      </c>
      <c r="J176" s="4" t="s">
        <v>2</v>
      </c>
      <c r="L176" t="s">
        <v>853</v>
      </c>
    </row>
    <row r="177" spans="1:12" ht="16" outlineLevel="2" collapsed="1" x14ac:dyDescent="0.2">
      <c r="A177" s="4" t="s">
        <v>21</v>
      </c>
      <c r="B177" s="4" t="s">
        <v>16</v>
      </c>
      <c r="C177" s="4" t="s">
        <v>2</v>
      </c>
      <c r="D177" s="4" t="s">
        <v>2142</v>
      </c>
      <c r="E177" s="12" t="s">
        <v>368</v>
      </c>
      <c r="F177" s="4"/>
      <c r="G177" s="4" t="s">
        <v>15</v>
      </c>
      <c r="H177" s="4" t="s">
        <v>19</v>
      </c>
      <c r="I177" s="4" t="s">
        <v>2</v>
      </c>
      <c r="J177" s="4" t="s">
        <v>2</v>
      </c>
      <c r="L177" t="s">
        <v>537</v>
      </c>
    </row>
    <row r="178" spans="1:12" ht="25" outlineLevel="2" collapsed="1" x14ac:dyDescent="0.2">
      <c r="A178" s="4" t="s">
        <v>15</v>
      </c>
      <c r="B178" s="4" t="s">
        <v>25</v>
      </c>
      <c r="C178" s="6" t="s">
        <v>365</v>
      </c>
      <c r="D178" s="4"/>
      <c r="E178" s="13" t="s">
        <v>371</v>
      </c>
      <c r="F178" s="4"/>
      <c r="G178" s="4" t="s">
        <v>15</v>
      </c>
      <c r="H178" s="4" t="s">
        <v>2</v>
      </c>
      <c r="I178" s="4" t="s">
        <v>2</v>
      </c>
      <c r="J178" s="4" t="s">
        <v>2</v>
      </c>
      <c r="L178" s="4" t="s">
        <v>490</v>
      </c>
    </row>
    <row r="179" spans="1:12" ht="16" outlineLevel="2" collapsed="1" x14ac:dyDescent="0.2">
      <c r="A179" s="4" t="s">
        <v>21</v>
      </c>
      <c r="B179" s="4" t="s">
        <v>16</v>
      </c>
      <c r="C179" s="4" t="s">
        <v>2</v>
      </c>
      <c r="D179" s="4" t="s">
        <v>2092</v>
      </c>
      <c r="E179" s="12" t="s">
        <v>367</v>
      </c>
      <c r="F179" s="4"/>
      <c r="G179" s="4" t="s">
        <v>15</v>
      </c>
      <c r="H179" s="4" t="s">
        <v>19</v>
      </c>
      <c r="I179" s="4" t="s">
        <v>2</v>
      </c>
      <c r="J179" s="4" t="s">
        <v>2</v>
      </c>
      <c r="L179" t="s">
        <v>854</v>
      </c>
    </row>
    <row r="180" spans="1:12" ht="16" outlineLevel="2" collapsed="1" x14ac:dyDescent="0.2">
      <c r="A180" s="4" t="s">
        <v>21</v>
      </c>
      <c r="B180" s="4" t="s">
        <v>16</v>
      </c>
      <c r="C180" s="4" t="s">
        <v>2</v>
      </c>
      <c r="D180" s="4" t="s">
        <v>2093</v>
      </c>
      <c r="E180" s="12" t="s">
        <v>368</v>
      </c>
      <c r="F180" s="4"/>
      <c r="G180" s="4" t="s">
        <v>15</v>
      </c>
      <c r="H180" s="4" t="s">
        <v>19</v>
      </c>
      <c r="I180" s="4" t="s">
        <v>2</v>
      </c>
      <c r="J180" s="4" t="s">
        <v>2</v>
      </c>
      <c r="L180" t="s">
        <v>856</v>
      </c>
    </row>
    <row r="181" spans="1:12" ht="50" outlineLevel="2" collapsed="1" x14ac:dyDescent="0.2">
      <c r="A181" s="4" t="s">
        <v>15</v>
      </c>
      <c r="B181" s="4" t="s">
        <v>25</v>
      </c>
      <c r="C181" s="6" t="s">
        <v>365</v>
      </c>
      <c r="D181" s="4"/>
      <c r="E181" s="13" t="s">
        <v>372</v>
      </c>
      <c r="F181" s="4"/>
      <c r="G181" s="4" t="s">
        <v>15</v>
      </c>
      <c r="H181" s="4" t="s">
        <v>2</v>
      </c>
      <c r="I181" s="4" t="s">
        <v>2</v>
      </c>
      <c r="J181" s="4" t="s">
        <v>2</v>
      </c>
      <c r="L181" s="4" t="s">
        <v>858</v>
      </c>
    </row>
    <row r="182" spans="1:12" ht="16" outlineLevel="2" collapsed="1" x14ac:dyDescent="0.2">
      <c r="A182" s="4" t="s">
        <v>21</v>
      </c>
      <c r="B182" s="4" t="s">
        <v>16</v>
      </c>
      <c r="C182" s="4" t="s">
        <v>2</v>
      </c>
      <c r="D182" s="4" t="s">
        <v>2140</v>
      </c>
      <c r="E182" s="12" t="s">
        <v>367</v>
      </c>
      <c r="F182" s="4"/>
      <c r="G182" s="4" t="s">
        <v>15</v>
      </c>
      <c r="H182" s="4" t="s">
        <v>19</v>
      </c>
      <c r="I182" s="4" t="s">
        <v>2</v>
      </c>
      <c r="J182" s="4" t="s">
        <v>2</v>
      </c>
      <c r="L182" t="s">
        <v>859</v>
      </c>
    </row>
    <row r="183" spans="1:12" ht="16" outlineLevel="2" collapsed="1" x14ac:dyDescent="0.2">
      <c r="A183" s="4" t="s">
        <v>21</v>
      </c>
      <c r="B183" s="4" t="s">
        <v>16</v>
      </c>
      <c r="C183" s="4" t="s">
        <v>2</v>
      </c>
      <c r="D183" s="4" t="s">
        <v>2141</v>
      </c>
      <c r="E183" s="12" t="s">
        <v>368</v>
      </c>
      <c r="F183" s="4"/>
      <c r="G183" s="4" t="s">
        <v>15</v>
      </c>
      <c r="H183" s="4" t="s">
        <v>19</v>
      </c>
      <c r="I183" s="4" t="s">
        <v>2</v>
      </c>
      <c r="J183" s="4" t="s">
        <v>2</v>
      </c>
      <c r="L183" t="s">
        <v>861</v>
      </c>
    </row>
    <row r="184" spans="1:12" ht="75" outlineLevel="2" collapsed="1" x14ac:dyDescent="0.2">
      <c r="A184" s="4" t="s">
        <v>15</v>
      </c>
      <c r="B184" s="4" t="s">
        <v>25</v>
      </c>
      <c r="C184" s="6" t="s">
        <v>365</v>
      </c>
      <c r="D184" s="4"/>
      <c r="E184" s="13" t="s">
        <v>373</v>
      </c>
      <c r="F184" s="4"/>
      <c r="G184" s="4" t="s">
        <v>15</v>
      </c>
      <c r="H184" s="4" t="s">
        <v>2</v>
      </c>
      <c r="I184" s="4" t="s">
        <v>2</v>
      </c>
      <c r="J184" s="4" t="s">
        <v>2</v>
      </c>
      <c r="L184" s="4" t="s">
        <v>654</v>
      </c>
    </row>
    <row r="185" spans="1:12" ht="16" outlineLevel="2" collapsed="1" x14ac:dyDescent="0.2">
      <c r="A185" s="4" t="s">
        <v>21</v>
      </c>
      <c r="B185" s="4" t="s">
        <v>16</v>
      </c>
      <c r="C185" s="4" t="s">
        <v>2</v>
      </c>
      <c r="D185" s="4" t="s">
        <v>2038</v>
      </c>
      <c r="E185" s="12" t="s">
        <v>367</v>
      </c>
      <c r="F185" s="4"/>
      <c r="G185" s="4" t="s">
        <v>15</v>
      </c>
      <c r="H185" s="4" t="s">
        <v>19</v>
      </c>
      <c r="I185" s="4" t="s">
        <v>2</v>
      </c>
      <c r="J185" s="4" t="s">
        <v>2</v>
      </c>
      <c r="L185" t="s">
        <v>863</v>
      </c>
    </row>
    <row r="186" spans="1:12" ht="16" outlineLevel="2" collapsed="1" x14ac:dyDescent="0.2">
      <c r="A186" s="4" t="s">
        <v>21</v>
      </c>
      <c r="B186" s="4" t="s">
        <v>16</v>
      </c>
      <c r="C186" s="4" t="s">
        <v>2</v>
      </c>
      <c r="D186" s="4" t="s">
        <v>2090</v>
      </c>
      <c r="E186" s="12" t="s">
        <v>368</v>
      </c>
      <c r="F186" s="4"/>
      <c r="G186" s="4" t="s">
        <v>15</v>
      </c>
      <c r="H186" s="4" t="s">
        <v>19</v>
      </c>
      <c r="I186" s="4" t="s">
        <v>2</v>
      </c>
      <c r="J186" s="4" t="s">
        <v>2</v>
      </c>
      <c r="L186" s="4" t="s">
        <v>865</v>
      </c>
    </row>
    <row r="187" spans="1:12" ht="16" outlineLevel="2" x14ac:dyDescent="0.2">
      <c r="A187" s="5" t="s">
        <v>15</v>
      </c>
      <c r="B187" t="s">
        <v>1178</v>
      </c>
      <c r="C187" s="5" t="s">
        <v>1599</v>
      </c>
      <c r="D187" s="5" t="s">
        <v>2091</v>
      </c>
      <c r="E187" s="11" t="s">
        <v>1045</v>
      </c>
      <c r="F187" s="5"/>
      <c r="G187" s="5" t="s">
        <v>21</v>
      </c>
      <c r="H187" s="5" t="s">
        <v>2</v>
      </c>
      <c r="I187" s="5" t="s">
        <v>2</v>
      </c>
      <c r="J187" s="5" t="s">
        <v>2</v>
      </c>
      <c r="L187" t="s">
        <v>2257</v>
      </c>
    </row>
    <row r="188" spans="1:12" ht="16" outlineLevel="3" collapsed="1" x14ac:dyDescent="0.2">
      <c r="A188" s="4" t="s">
        <v>21</v>
      </c>
      <c r="B188" s="4" t="s">
        <v>16</v>
      </c>
      <c r="C188" s="4" t="s">
        <v>2</v>
      </c>
      <c r="D188" s="4" t="s">
        <v>2138</v>
      </c>
      <c r="E188" s="12" t="s">
        <v>367</v>
      </c>
      <c r="F188" s="4"/>
      <c r="G188" s="4" t="s">
        <v>15</v>
      </c>
      <c r="H188" s="4" t="s">
        <v>19</v>
      </c>
      <c r="I188" s="4" t="s">
        <v>2</v>
      </c>
      <c r="J188" s="4" t="s">
        <v>2</v>
      </c>
      <c r="L188" t="s">
        <v>20</v>
      </c>
    </row>
    <row r="189" spans="1:12" ht="16" outlineLevel="3" collapsed="1" x14ac:dyDescent="0.2">
      <c r="A189" s="4" t="s">
        <v>21</v>
      </c>
      <c r="B189" s="4" t="s">
        <v>16</v>
      </c>
      <c r="C189" s="4" t="s">
        <v>2</v>
      </c>
      <c r="D189" s="4" t="s">
        <v>2139</v>
      </c>
      <c r="E189" s="12" t="s">
        <v>368</v>
      </c>
      <c r="F189" s="4"/>
      <c r="G189" s="4" t="s">
        <v>15</v>
      </c>
      <c r="H189" s="4" t="s">
        <v>19</v>
      </c>
      <c r="I189" s="4" t="s">
        <v>2</v>
      </c>
      <c r="J189" s="4" t="s">
        <v>2</v>
      </c>
      <c r="L189" t="s">
        <v>24</v>
      </c>
    </row>
    <row r="190" spans="1:12" ht="25" outlineLevel="2" x14ac:dyDescent="0.2">
      <c r="A190" s="4" t="s">
        <v>15</v>
      </c>
      <c r="B190" s="4" t="s">
        <v>25</v>
      </c>
      <c r="C190" s="6" t="s">
        <v>365</v>
      </c>
      <c r="D190" s="4"/>
      <c r="E190" s="13" t="s">
        <v>375</v>
      </c>
      <c r="F190" s="4"/>
      <c r="G190" s="4" t="s">
        <v>15</v>
      </c>
      <c r="H190" s="4" t="s">
        <v>2</v>
      </c>
      <c r="I190" s="4" t="s">
        <v>2</v>
      </c>
      <c r="J190" s="4" t="s">
        <v>2</v>
      </c>
      <c r="L190" s="4" t="s">
        <v>236</v>
      </c>
    </row>
    <row r="191" spans="1:12" ht="25" outlineLevel="2" collapsed="1" x14ac:dyDescent="0.2">
      <c r="A191" s="4" t="s">
        <v>15</v>
      </c>
      <c r="B191" s="4" t="s">
        <v>25</v>
      </c>
      <c r="C191" s="6" t="s">
        <v>365</v>
      </c>
      <c r="D191" s="4"/>
      <c r="E191" s="13" t="s">
        <v>377</v>
      </c>
      <c r="F191" s="4"/>
      <c r="G191" s="4" t="s">
        <v>15</v>
      </c>
      <c r="H191" s="4" t="s">
        <v>2</v>
      </c>
      <c r="I191" s="4" t="s">
        <v>2</v>
      </c>
      <c r="J191" s="4" t="s">
        <v>2</v>
      </c>
      <c r="L191" s="4" t="s">
        <v>238</v>
      </c>
    </row>
    <row r="192" spans="1:12" ht="225" outlineLevel="2" collapsed="1" x14ac:dyDescent="0.2">
      <c r="A192" s="4" t="s">
        <v>15</v>
      </c>
      <c r="B192" s="4" t="s">
        <v>25</v>
      </c>
      <c r="C192" s="6" t="s">
        <v>365</v>
      </c>
      <c r="D192" s="4"/>
      <c r="E192" s="13" t="s">
        <v>1046</v>
      </c>
      <c r="F192" s="4"/>
      <c r="G192" s="4" t="s">
        <v>15</v>
      </c>
      <c r="H192" s="4" t="s">
        <v>2</v>
      </c>
      <c r="I192" s="4" t="s">
        <v>2</v>
      </c>
      <c r="J192" s="4" t="s">
        <v>2</v>
      </c>
      <c r="L192" s="4" t="s">
        <v>240</v>
      </c>
    </row>
    <row r="193" spans="1:12" ht="25" outlineLevel="2" collapsed="1" x14ac:dyDescent="0.2">
      <c r="A193" s="4" t="s">
        <v>15</v>
      </c>
      <c r="B193" s="4" t="s">
        <v>25</v>
      </c>
      <c r="C193" s="6" t="s">
        <v>365</v>
      </c>
      <c r="D193" s="4"/>
      <c r="E193" s="13" t="s">
        <v>379</v>
      </c>
      <c r="F193" s="4"/>
      <c r="G193" s="4" t="s">
        <v>15</v>
      </c>
      <c r="H193" s="4" t="s">
        <v>2</v>
      </c>
      <c r="I193" s="4" t="s">
        <v>2</v>
      </c>
      <c r="J193" s="4" t="s">
        <v>2</v>
      </c>
      <c r="L193" s="4" t="s">
        <v>538</v>
      </c>
    </row>
    <row r="194" spans="1:12" ht="16" outlineLevel="2" collapsed="1" x14ac:dyDescent="0.2">
      <c r="A194" s="4" t="s">
        <v>21</v>
      </c>
      <c r="B194" s="4" t="s">
        <v>16</v>
      </c>
      <c r="C194" s="4" t="s">
        <v>2</v>
      </c>
      <c r="D194" s="4" t="s">
        <v>2095</v>
      </c>
      <c r="E194" s="12" t="s">
        <v>367</v>
      </c>
      <c r="F194" s="4"/>
      <c r="G194" s="4" t="s">
        <v>15</v>
      </c>
      <c r="H194" s="4" t="s">
        <v>19</v>
      </c>
      <c r="I194" s="4" t="s">
        <v>2</v>
      </c>
      <c r="J194" s="4" t="s">
        <v>2</v>
      </c>
      <c r="L194" t="s">
        <v>245</v>
      </c>
    </row>
    <row r="195" spans="1:12" ht="16" outlineLevel="2" collapsed="1" x14ac:dyDescent="0.2">
      <c r="A195" s="4" t="s">
        <v>21</v>
      </c>
      <c r="B195" s="4" t="s">
        <v>16</v>
      </c>
      <c r="C195" s="4" t="s">
        <v>2</v>
      </c>
      <c r="D195" s="4" t="s">
        <v>2096</v>
      </c>
      <c r="E195" s="12" t="s">
        <v>368</v>
      </c>
      <c r="F195" s="4"/>
      <c r="G195" s="4" t="s">
        <v>15</v>
      </c>
      <c r="H195" s="4" t="s">
        <v>19</v>
      </c>
      <c r="I195" s="4" t="s">
        <v>2</v>
      </c>
      <c r="J195" s="4" t="s">
        <v>2</v>
      </c>
      <c r="L195" t="s">
        <v>247</v>
      </c>
    </row>
    <row r="196" spans="1:12" ht="25" outlineLevel="2" collapsed="1" x14ac:dyDescent="0.2">
      <c r="A196" s="4" t="s">
        <v>15</v>
      </c>
      <c r="B196" s="4" t="s">
        <v>25</v>
      </c>
      <c r="C196" s="6" t="s">
        <v>365</v>
      </c>
      <c r="D196" s="4"/>
      <c r="E196" s="13" t="s">
        <v>380</v>
      </c>
      <c r="F196" s="4"/>
      <c r="G196" s="4" t="s">
        <v>15</v>
      </c>
      <c r="H196" s="4" t="s">
        <v>2</v>
      </c>
      <c r="I196" s="4" t="s">
        <v>2</v>
      </c>
      <c r="J196" s="4" t="s">
        <v>2</v>
      </c>
      <c r="L196" s="4" t="s">
        <v>539</v>
      </c>
    </row>
    <row r="197" spans="1:12" ht="16" outlineLevel="2" collapsed="1" x14ac:dyDescent="0.2">
      <c r="A197" s="4" t="s">
        <v>21</v>
      </c>
      <c r="B197" s="4" t="s">
        <v>16</v>
      </c>
      <c r="C197" s="4" t="s">
        <v>2</v>
      </c>
      <c r="D197" s="4" t="s">
        <v>2097</v>
      </c>
      <c r="E197" s="12" t="s">
        <v>367</v>
      </c>
      <c r="F197" s="4"/>
      <c r="G197" s="4" t="s">
        <v>15</v>
      </c>
      <c r="H197" s="4" t="s">
        <v>19</v>
      </c>
      <c r="I197" s="4" t="s">
        <v>2</v>
      </c>
      <c r="J197" s="4" t="s">
        <v>2</v>
      </c>
      <c r="L197" t="s">
        <v>252</v>
      </c>
    </row>
    <row r="198" spans="1:12" ht="16" outlineLevel="2" collapsed="1" x14ac:dyDescent="0.2">
      <c r="A198" s="4" t="s">
        <v>21</v>
      </c>
      <c r="B198" s="4" t="s">
        <v>16</v>
      </c>
      <c r="C198" s="4" t="s">
        <v>2</v>
      </c>
      <c r="D198" s="4" t="s">
        <v>2098</v>
      </c>
      <c r="E198" s="12" t="s">
        <v>368</v>
      </c>
      <c r="F198" s="4"/>
      <c r="G198" s="4" t="s">
        <v>15</v>
      </c>
      <c r="H198" s="4" t="s">
        <v>19</v>
      </c>
      <c r="I198" s="4" t="s">
        <v>2</v>
      </c>
      <c r="J198" s="4" t="s">
        <v>2</v>
      </c>
      <c r="L198" t="s">
        <v>254</v>
      </c>
    </row>
    <row r="199" spans="1:12" ht="25" outlineLevel="2" collapsed="1" x14ac:dyDescent="0.2">
      <c r="A199" s="4" t="s">
        <v>15</v>
      </c>
      <c r="B199" s="4" t="s">
        <v>25</v>
      </c>
      <c r="C199" s="6" t="s">
        <v>365</v>
      </c>
      <c r="D199" s="4"/>
      <c r="E199" s="13" t="s">
        <v>381</v>
      </c>
      <c r="F199" s="4"/>
      <c r="G199" s="4" t="s">
        <v>15</v>
      </c>
      <c r="H199" s="4" t="s">
        <v>2</v>
      </c>
      <c r="I199" s="4" t="s">
        <v>2</v>
      </c>
      <c r="J199" s="4" t="s">
        <v>2</v>
      </c>
      <c r="L199" t="s">
        <v>256</v>
      </c>
    </row>
    <row r="200" spans="1:12" ht="16" outlineLevel="2" collapsed="1" x14ac:dyDescent="0.2">
      <c r="A200" s="4" t="s">
        <v>21</v>
      </c>
      <c r="B200" s="4" t="s">
        <v>16</v>
      </c>
      <c r="C200" s="4" t="s">
        <v>2</v>
      </c>
      <c r="D200" s="4" t="s">
        <v>2099</v>
      </c>
      <c r="E200" s="12" t="s">
        <v>367</v>
      </c>
      <c r="F200" s="4"/>
      <c r="G200" s="4" t="s">
        <v>15</v>
      </c>
      <c r="H200" s="4" t="s">
        <v>19</v>
      </c>
      <c r="I200" s="4" t="s">
        <v>2</v>
      </c>
      <c r="J200" s="4" t="s">
        <v>2</v>
      </c>
      <c r="L200" t="s">
        <v>491</v>
      </c>
    </row>
    <row r="201" spans="1:12" ht="16" outlineLevel="2" collapsed="1" x14ac:dyDescent="0.2">
      <c r="A201" s="4" t="s">
        <v>21</v>
      </c>
      <c r="B201" s="4" t="s">
        <v>16</v>
      </c>
      <c r="C201" s="4" t="s">
        <v>2</v>
      </c>
      <c r="D201" s="4" t="s">
        <v>2100</v>
      </c>
      <c r="E201" s="12" t="s">
        <v>368</v>
      </c>
      <c r="F201" s="4"/>
      <c r="G201" s="4" t="s">
        <v>15</v>
      </c>
      <c r="H201" s="4" t="s">
        <v>19</v>
      </c>
      <c r="I201" s="4" t="s">
        <v>2</v>
      </c>
      <c r="J201" s="4" t="s">
        <v>2</v>
      </c>
      <c r="L201" t="s">
        <v>261</v>
      </c>
    </row>
    <row r="202" spans="1:12" ht="25" outlineLevel="2" collapsed="1" x14ac:dyDescent="0.2">
      <c r="A202" s="4" t="s">
        <v>15</v>
      </c>
      <c r="B202" s="4" t="s">
        <v>25</v>
      </c>
      <c r="C202" s="6" t="s">
        <v>365</v>
      </c>
      <c r="D202" s="4"/>
      <c r="E202" s="13" t="s">
        <v>382</v>
      </c>
      <c r="F202" s="4"/>
      <c r="G202" s="4" t="s">
        <v>15</v>
      </c>
      <c r="H202" s="4" t="s">
        <v>2</v>
      </c>
      <c r="I202" s="4" t="s">
        <v>2</v>
      </c>
      <c r="J202" s="4" t="s">
        <v>2</v>
      </c>
      <c r="L202" t="s">
        <v>263</v>
      </c>
    </row>
    <row r="203" spans="1:12" ht="16" outlineLevel="2" collapsed="1" x14ac:dyDescent="0.2">
      <c r="A203" s="4" t="s">
        <v>21</v>
      </c>
      <c r="B203" s="4" t="s">
        <v>16</v>
      </c>
      <c r="C203" s="4" t="s">
        <v>2</v>
      </c>
      <c r="D203" s="4" t="s">
        <v>2101</v>
      </c>
      <c r="E203" s="12" t="s">
        <v>367</v>
      </c>
      <c r="F203" s="4"/>
      <c r="G203" s="4" t="s">
        <v>15</v>
      </c>
      <c r="H203" s="4" t="s">
        <v>19</v>
      </c>
      <c r="I203" s="4" t="s">
        <v>2</v>
      </c>
      <c r="J203" s="4" t="s">
        <v>2</v>
      </c>
      <c r="L203" t="s">
        <v>507</v>
      </c>
    </row>
    <row r="204" spans="1:12" ht="16" outlineLevel="2" collapsed="1" x14ac:dyDescent="0.2">
      <c r="A204" s="4" t="s">
        <v>21</v>
      </c>
      <c r="B204" s="4" t="s">
        <v>16</v>
      </c>
      <c r="C204" s="4" t="s">
        <v>2</v>
      </c>
      <c r="D204" s="4" t="s">
        <v>2102</v>
      </c>
      <c r="E204" s="12" t="s">
        <v>368</v>
      </c>
      <c r="F204" s="4"/>
      <c r="G204" s="4" t="s">
        <v>15</v>
      </c>
      <c r="H204" s="4" t="s">
        <v>19</v>
      </c>
      <c r="I204" s="4" t="s">
        <v>2</v>
      </c>
      <c r="J204" s="4" t="s">
        <v>2</v>
      </c>
      <c r="L204" t="s">
        <v>267</v>
      </c>
    </row>
    <row r="205" spans="1:12" ht="25" outlineLevel="2" collapsed="1" x14ac:dyDescent="0.2">
      <c r="A205" s="4" t="s">
        <v>15</v>
      </c>
      <c r="B205" s="4" t="s">
        <v>25</v>
      </c>
      <c r="C205" s="6" t="s">
        <v>365</v>
      </c>
      <c r="D205" s="4"/>
      <c r="E205" s="13" t="s">
        <v>383</v>
      </c>
      <c r="F205" s="4"/>
      <c r="G205" s="4" t="s">
        <v>15</v>
      </c>
      <c r="H205" s="4" t="s">
        <v>2</v>
      </c>
      <c r="I205" s="4" t="s">
        <v>2</v>
      </c>
      <c r="J205" s="4" t="s">
        <v>2</v>
      </c>
      <c r="L205" t="s">
        <v>269</v>
      </c>
    </row>
    <row r="206" spans="1:12" ht="16" outlineLevel="2" collapsed="1" x14ac:dyDescent="0.2">
      <c r="A206" s="4" t="s">
        <v>21</v>
      </c>
      <c r="B206" s="4" t="s">
        <v>16</v>
      </c>
      <c r="C206" s="4" t="s">
        <v>2</v>
      </c>
      <c r="D206" s="4" t="s">
        <v>2103</v>
      </c>
      <c r="E206" s="12" t="s">
        <v>367</v>
      </c>
      <c r="F206" s="4"/>
      <c r="G206" s="4" t="s">
        <v>15</v>
      </c>
      <c r="H206" s="4" t="s">
        <v>19</v>
      </c>
      <c r="I206" s="4" t="s">
        <v>2</v>
      </c>
      <c r="J206" s="4" t="s">
        <v>2</v>
      </c>
      <c r="L206" t="s">
        <v>871</v>
      </c>
    </row>
    <row r="207" spans="1:12" ht="16" outlineLevel="2" collapsed="1" x14ac:dyDescent="0.2">
      <c r="A207" s="4" t="s">
        <v>21</v>
      </c>
      <c r="B207" s="4" t="s">
        <v>16</v>
      </c>
      <c r="C207" s="4" t="s">
        <v>2</v>
      </c>
      <c r="D207" s="4" t="s">
        <v>2104</v>
      </c>
      <c r="E207" s="12" t="s">
        <v>368</v>
      </c>
      <c r="F207" s="4"/>
      <c r="G207" s="4" t="s">
        <v>15</v>
      </c>
      <c r="H207" s="4" t="s">
        <v>19</v>
      </c>
      <c r="I207" s="4" t="s">
        <v>2</v>
      </c>
      <c r="J207" s="4" t="s">
        <v>2</v>
      </c>
      <c r="L207" t="s">
        <v>271</v>
      </c>
    </row>
    <row r="208" spans="1:12" ht="25" outlineLevel="2" collapsed="1" x14ac:dyDescent="0.2">
      <c r="A208" s="4" t="s">
        <v>15</v>
      </c>
      <c r="B208" s="4" t="s">
        <v>25</v>
      </c>
      <c r="C208" s="6" t="s">
        <v>365</v>
      </c>
      <c r="D208" s="4"/>
      <c r="E208" s="13" t="s">
        <v>384</v>
      </c>
      <c r="F208" s="4"/>
      <c r="G208" s="4" t="s">
        <v>15</v>
      </c>
      <c r="H208" s="4" t="s">
        <v>2</v>
      </c>
      <c r="I208" s="4" t="s">
        <v>2</v>
      </c>
      <c r="J208" s="4" t="s">
        <v>2</v>
      </c>
      <c r="L208" t="s">
        <v>873</v>
      </c>
    </row>
    <row r="209" spans="1:12" ht="16" outlineLevel="2" collapsed="1" x14ac:dyDescent="0.2">
      <c r="A209" s="4" t="s">
        <v>21</v>
      </c>
      <c r="B209" s="4" t="s">
        <v>16</v>
      </c>
      <c r="C209" s="4" t="s">
        <v>2</v>
      </c>
      <c r="D209" s="4" t="s">
        <v>2105</v>
      </c>
      <c r="E209" s="12" t="s">
        <v>367</v>
      </c>
      <c r="F209" s="4"/>
      <c r="G209" s="4" t="s">
        <v>15</v>
      </c>
      <c r="H209" s="4" t="s">
        <v>19</v>
      </c>
      <c r="I209" s="4" t="s">
        <v>2</v>
      </c>
      <c r="J209" s="4" t="s">
        <v>2</v>
      </c>
      <c r="L209" t="s">
        <v>273</v>
      </c>
    </row>
    <row r="210" spans="1:12" ht="16" outlineLevel="2" collapsed="1" x14ac:dyDescent="0.2">
      <c r="A210" s="4" t="s">
        <v>21</v>
      </c>
      <c r="B210" s="4" t="s">
        <v>16</v>
      </c>
      <c r="C210" s="4" t="s">
        <v>2</v>
      </c>
      <c r="D210" s="4" t="s">
        <v>2106</v>
      </c>
      <c r="E210" s="12" t="s">
        <v>368</v>
      </c>
      <c r="F210" s="4"/>
      <c r="G210" s="4" t="s">
        <v>15</v>
      </c>
      <c r="H210" s="4" t="s">
        <v>19</v>
      </c>
      <c r="I210" s="4" t="s">
        <v>2</v>
      </c>
      <c r="J210" s="4" t="s">
        <v>2</v>
      </c>
      <c r="L210" t="s">
        <v>2258</v>
      </c>
    </row>
    <row r="211" spans="1:12" ht="25" outlineLevel="2" collapsed="1" x14ac:dyDescent="0.2">
      <c r="A211" s="4" t="s">
        <v>15</v>
      </c>
      <c r="B211" s="4" t="s">
        <v>25</v>
      </c>
      <c r="C211" s="6" t="s">
        <v>365</v>
      </c>
      <c r="D211" s="4"/>
      <c r="E211" s="13" t="s">
        <v>385</v>
      </c>
      <c r="F211" s="4"/>
      <c r="G211" s="4" t="s">
        <v>15</v>
      </c>
      <c r="H211" s="4" t="s">
        <v>2</v>
      </c>
      <c r="I211" s="4" t="s">
        <v>2</v>
      </c>
      <c r="J211" s="4" t="s">
        <v>2</v>
      </c>
      <c r="L211" t="s">
        <v>877</v>
      </c>
    </row>
    <row r="212" spans="1:12" ht="16" outlineLevel="2" collapsed="1" x14ac:dyDescent="0.2">
      <c r="A212" s="4" t="s">
        <v>21</v>
      </c>
      <c r="B212" s="4" t="s">
        <v>16</v>
      </c>
      <c r="C212" s="4" t="s">
        <v>2</v>
      </c>
      <c r="D212" s="4" t="s">
        <v>2107</v>
      </c>
      <c r="E212" s="12" t="s">
        <v>367</v>
      </c>
      <c r="F212" s="4"/>
      <c r="G212" s="4" t="s">
        <v>15</v>
      </c>
      <c r="H212" s="4" t="s">
        <v>19</v>
      </c>
      <c r="I212" s="4" t="s">
        <v>2</v>
      </c>
      <c r="J212" s="4" t="s">
        <v>2</v>
      </c>
      <c r="L212" t="s">
        <v>2242</v>
      </c>
    </row>
    <row r="213" spans="1:12" ht="16" outlineLevel="2" collapsed="1" x14ac:dyDescent="0.2">
      <c r="A213" s="4" t="s">
        <v>21</v>
      </c>
      <c r="B213" s="4" t="s">
        <v>16</v>
      </c>
      <c r="C213" s="4" t="s">
        <v>2</v>
      </c>
      <c r="D213" s="4" t="s">
        <v>2108</v>
      </c>
      <c r="E213" s="12" t="s">
        <v>368</v>
      </c>
      <c r="F213" s="4"/>
      <c r="G213" s="4" t="s">
        <v>15</v>
      </c>
      <c r="H213" s="4" t="s">
        <v>19</v>
      </c>
      <c r="I213" s="4" t="s">
        <v>2</v>
      </c>
      <c r="J213" s="4" t="s">
        <v>2</v>
      </c>
      <c r="L213" t="s">
        <v>2243</v>
      </c>
    </row>
    <row r="214" spans="1:12" ht="16" outlineLevel="2" x14ac:dyDescent="0.2">
      <c r="A214" s="5" t="s">
        <v>15</v>
      </c>
      <c r="B214" t="s">
        <v>1178</v>
      </c>
      <c r="C214" s="5" t="s">
        <v>1600</v>
      </c>
      <c r="D214" s="5" t="s">
        <v>2148</v>
      </c>
      <c r="E214" s="11" t="s">
        <v>1045</v>
      </c>
      <c r="F214" s="5"/>
      <c r="G214" s="5" t="s">
        <v>21</v>
      </c>
      <c r="H214" s="5" t="s">
        <v>2</v>
      </c>
      <c r="I214" s="5" t="s">
        <v>2</v>
      </c>
      <c r="J214" s="5" t="s">
        <v>2</v>
      </c>
      <c r="L214" s="5" t="s">
        <v>881</v>
      </c>
    </row>
    <row r="215" spans="1:12" ht="16" outlineLevel="3" collapsed="1" x14ac:dyDescent="0.2">
      <c r="A215" s="4" t="s">
        <v>21</v>
      </c>
      <c r="B215" s="4" t="s">
        <v>16</v>
      </c>
      <c r="C215" s="4" t="s">
        <v>2</v>
      </c>
      <c r="D215" s="5" t="s">
        <v>2147</v>
      </c>
      <c r="E215" s="12" t="s">
        <v>367</v>
      </c>
      <c r="F215" s="4"/>
      <c r="G215" s="4" t="s">
        <v>15</v>
      </c>
      <c r="H215" s="4" t="s">
        <v>19</v>
      </c>
      <c r="I215" s="4" t="s">
        <v>2</v>
      </c>
      <c r="J215" s="4" t="s">
        <v>2</v>
      </c>
      <c r="L215" s="4" t="s">
        <v>20</v>
      </c>
    </row>
    <row r="216" spans="1:12" ht="16" outlineLevel="3" collapsed="1" x14ac:dyDescent="0.2">
      <c r="A216" s="4" t="s">
        <v>21</v>
      </c>
      <c r="B216" s="4" t="s">
        <v>16</v>
      </c>
      <c r="C216" s="4" t="s">
        <v>2</v>
      </c>
      <c r="D216" s="5" t="s">
        <v>2149</v>
      </c>
      <c r="E216" s="12" t="s">
        <v>368</v>
      </c>
      <c r="F216" s="4"/>
      <c r="G216" s="4" t="s">
        <v>15</v>
      </c>
      <c r="H216" s="4" t="s">
        <v>19</v>
      </c>
      <c r="I216" s="4" t="s">
        <v>2</v>
      </c>
      <c r="J216" s="4" t="s">
        <v>2</v>
      </c>
      <c r="L216" s="4" t="s">
        <v>24</v>
      </c>
    </row>
    <row r="217" spans="1:12" ht="25" outlineLevel="2" x14ac:dyDescent="0.2">
      <c r="A217" s="4" t="s">
        <v>15</v>
      </c>
      <c r="B217" s="4" t="s">
        <v>25</v>
      </c>
      <c r="C217" s="6" t="s">
        <v>365</v>
      </c>
      <c r="D217" s="4"/>
      <c r="E217" s="13" t="s">
        <v>1047</v>
      </c>
      <c r="F217" s="4"/>
      <c r="G217" s="4" t="s">
        <v>15</v>
      </c>
      <c r="H217" s="4" t="s">
        <v>2</v>
      </c>
      <c r="I217" s="4" t="s">
        <v>2</v>
      </c>
      <c r="J217" s="4" t="s">
        <v>2</v>
      </c>
      <c r="L217" s="4" t="s">
        <v>885</v>
      </c>
    </row>
    <row r="218" spans="1:12" ht="350" outlineLevel="2" collapsed="1" x14ac:dyDescent="0.2">
      <c r="A218" s="4" t="s">
        <v>15</v>
      </c>
      <c r="B218" s="4" t="s">
        <v>25</v>
      </c>
      <c r="C218" s="6" t="s">
        <v>365</v>
      </c>
      <c r="D218" s="4"/>
      <c r="E218" s="13" t="s">
        <v>1048</v>
      </c>
      <c r="F218" s="4"/>
      <c r="G218" s="4" t="s">
        <v>15</v>
      </c>
      <c r="H218" s="4" t="s">
        <v>2</v>
      </c>
      <c r="I218" s="4" t="s">
        <v>2</v>
      </c>
      <c r="J218" s="4" t="s">
        <v>2</v>
      </c>
      <c r="L218" s="4" t="s">
        <v>492</v>
      </c>
    </row>
    <row r="219" spans="1:12" ht="16" outlineLevel="2" x14ac:dyDescent="0.2">
      <c r="A219" s="5" t="s">
        <v>21</v>
      </c>
      <c r="B219" t="s">
        <v>1178</v>
      </c>
      <c r="C219" s="5" t="s">
        <v>1602</v>
      </c>
      <c r="D219" s="5" t="s">
        <v>708</v>
      </c>
      <c r="E219" s="11" t="s">
        <v>1049</v>
      </c>
      <c r="F219" s="5"/>
      <c r="G219" s="5" t="s">
        <v>21</v>
      </c>
      <c r="H219" s="5" t="s">
        <v>2</v>
      </c>
      <c r="I219" s="5" t="s">
        <v>2</v>
      </c>
      <c r="J219" s="5" t="s">
        <v>2</v>
      </c>
      <c r="L219" s="5" t="s">
        <v>301</v>
      </c>
    </row>
    <row r="220" spans="1:12" ht="16" outlineLevel="3" collapsed="1" x14ac:dyDescent="0.2">
      <c r="A220" s="4" t="s">
        <v>21</v>
      </c>
      <c r="B220" s="4" t="s">
        <v>16</v>
      </c>
      <c r="C220" s="4" t="s">
        <v>2</v>
      </c>
      <c r="D220" s="4" t="s">
        <v>1969</v>
      </c>
      <c r="E220" s="12" t="s">
        <v>367</v>
      </c>
      <c r="F220" s="4"/>
      <c r="G220" s="4" t="s">
        <v>15</v>
      </c>
      <c r="H220" s="4" t="s">
        <v>19</v>
      </c>
      <c r="I220" s="4" t="s">
        <v>2</v>
      </c>
      <c r="J220" s="4" t="s">
        <v>2</v>
      </c>
      <c r="L220" s="4" t="s">
        <v>20</v>
      </c>
    </row>
    <row r="221" spans="1:12" ht="16" outlineLevel="3" collapsed="1" x14ac:dyDescent="0.2">
      <c r="A221" s="4" t="s">
        <v>21</v>
      </c>
      <c r="B221" s="4" t="s">
        <v>16</v>
      </c>
      <c r="C221" s="4" t="s">
        <v>2</v>
      </c>
      <c r="D221" s="4" t="s">
        <v>2094</v>
      </c>
      <c r="E221" s="12" t="s">
        <v>368</v>
      </c>
      <c r="F221" s="4"/>
      <c r="G221" s="4" t="s">
        <v>15</v>
      </c>
      <c r="H221" s="4" t="s">
        <v>19</v>
      </c>
      <c r="I221" s="4" t="s">
        <v>2</v>
      </c>
      <c r="J221" s="4" t="s">
        <v>2</v>
      </c>
      <c r="L221" s="4" t="s">
        <v>24</v>
      </c>
    </row>
    <row r="222" spans="1:12" ht="25" outlineLevel="2" x14ac:dyDescent="0.2">
      <c r="A222" s="4" t="s">
        <v>15</v>
      </c>
      <c r="B222" s="4" t="s">
        <v>25</v>
      </c>
      <c r="C222" s="6" t="s">
        <v>365</v>
      </c>
      <c r="D222" s="4"/>
      <c r="E222" s="13" t="s">
        <v>1050</v>
      </c>
      <c r="F222" s="4"/>
      <c r="G222" s="4" t="s">
        <v>15</v>
      </c>
      <c r="H222" s="4" t="s">
        <v>2</v>
      </c>
      <c r="I222" s="4" t="s">
        <v>2</v>
      </c>
      <c r="J222" s="4" t="s">
        <v>2</v>
      </c>
      <c r="L222" s="4" t="s">
        <v>2259</v>
      </c>
    </row>
    <row r="223" spans="1:12" ht="300" outlineLevel="2" collapsed="1" x14ac:dyDescent="0.2">
      <c r="A223" s="4" t="s">
        <v>15</v>
      </c>
      <c r="B223" s="4" t="s">
        <v>25</v>
      </c>
      <c r="C223" s="6" t="s">
        <v>365</v>
      </c>
      <c r="D223" s="4"/>
      <c r="E223" s="13" t="s">
        <v>1051</v>
      </c>
      <c r="F223" s="4"/>
      <c r="G223" s="4" t="s">
        <v>15</v>
      </c>
      <c r="H223" s="4" t="s">
        <v>2</v>
      </c>
      <c r="I223" s="4" t="s">
        <v>2</v>
      </c>
      <c r="J223" s="4" t="s">
        <v>2</v>
      </c>
      <c r="L223" s="4" t="s">
        <v>2260</v>
      </c>
    </row>
    <row r="224" spans="1:12" ht="32" outlineLevel="2" x14ac:dyDescent="0.2">
      <c r="A224" s="5" t="s">
        <v>21</v>
      </c>
      <c r="B224" t="s">
        <v>1178</v>
      </c>
      <c r="C224" s="11" t="s">
        <v>1601</v>
      </c>
      <c r="D224" s="5" t="s">
        <v>1970</v>
      </c>
      <c r="E224" s="11" t="s">
        <v>1052</v>
      </c>
      <c r="F224" s="5"/>
      <c r="G224" s="5" t="s">
        <v>21</v>
      </c>
      <c r="H224" s="5" t="s">
        <v>2</v>
      </c>
      <c r="I224" s="5" t="s">
        <v>2</v>
      </c>
      <c r="J224" s="5" t="s">
        <v>2</v>
      </c>
      <c r="L224" t="s">
        <v>2249</v>
      </c>
    </row>
    <row r="225" spans="1:12" ht="16" outlineLevel="3" collapsed="1" x14ac:dyDescent="0.2">
      <c r="A225" s="4" t="s">
        <v>21</v>
      </c>
      <c r="B225" s="4" t="s">
        <v>16</v>
      </c>
      <c r="C225" s="4" t="s">
        <v>2</v>
      </c>
      <c r="D225" s="4" t="s">
        <v>1969</v>
      </c>
      <c r="E225" s="12" t="s">
        <v>367</v>
      </c>
      <c r="F225" s="4"/>
      <c r="G225" s="4" t="s">
        <v>15</v>
      </c>
      <c r="H225" s="4" t="s">
        <v>19</v>
      </c>
      <c r="I225" s="4" t="s">
        <v>2</v>
      </c>
      <c r="J225" s="4" t="s">
        <v>2</v>
      </c>
      <c r="L225" t="s">
        <v>20</v>
      </c>
    </row>
    <row r="226" spans="1:12" ht="16" outlineLevel="3" collapsed="1" x14ac:dyDescent="0.2">
      <c r="A226" s="4" t="s">
        <v>21</v>
      </c>
      <c r="B226" s="4" t="s">
        <v>16</v>
      </c>
      <c r="C226" s="4" t="s">
        <v>2</v>
      </c>
      <c r="D226" s="4" t="s">
        <v>2094</v>
      </c>
      <c r="E226" s="12" t="s">
        <v>368</v>
      </c>
      <c r="F226" s="4"/>
      <c r="G226" s="4" t="s">
        <v>15</v>
      </c>
      <c r="H226" s="4" t="s">
        <v>19</v>
      </c>
      <c r="I226" s="4" t="s">
        <v>2</v>
      </c>
      <c r="J226" s="4" t="s">
        <v>2</v>
      </c>
      <c r="L226" t="s">
        <v>24</v>
      </c>
    </row>
    <row r="227" spans="1:12" ht="25" outlineLevel="2" x14ac:dyDescent="0.2">
      <c r="A227" s="4" t="s">
        <v>15</v>
      </c>
      <c r="B227" s="4" t="s">
        <v>25</v>
      </c>
      <c r="C227" s="6" t="s">
        <v>365</v>
      </c>
      <c r="D227" s="4"/>
      <c r="E227" s="13" t="s">
        <v>397</v>
      </c>
      <c r="F227" s="4"/>
      <c r="G227" s="4" t="s">
        <v>15</v>
      </c>
      <c r="H227" s="4" t="s">
        <v>2</v>
      </c>
      <c r="I227" s="4" t="s">
        <v>2</v>
      </c>
      <c r="J227" s="4" t="s">
        <v>2</v>
      </c>
      <c r="L227" s="4" t="s">
        <v>890</v>
      </c>
    </row>
    <row r="228" spans="1:12" ht="350" outlineLevel="2" collapsed="1" x14ac:dyDescent="0.2">
      <c r="A228" s="4" t="s">
        <v>15</v>
      </c>
      <c r="B228" s="4" t="s">
        <v>25</v>
      </c>
      <c r="C228" s="6" t="s">
        <v>365</v>
      </c>
      <c r="D228" s="4"/>
      <c r="E228" s="13" t="s">
        <v>1053</v>
      </c>
      <c r="F228" s="4"/>
      <c r="G228" s="4" t="s">
        <v>15</v>
      </c>
      <c r="H228" s="4" t="s">
        <v>2</v>
      </c>
      <c r="I228" s="4" t="s">
        <v>2</v>
      </c>
      <c r="J228" s="4" t="s">
        <v>2</v>
      </c>
      <c r="L228" s="4" t="s">
        <v>493</v>
      </c>
    </row>
    <row r="229" spans="1:12" ht="16" outlineLevel="2" x14ac:dyDescent="0.2">
      <c r="A229" s="5" t="s">
        <v>21</v>
      </c>
      <c r="B229" t="s">
        <v>1178</v>
      </c>
      <c r="C229" s="5" t="s">
        <v>1603</v>
      </c>
      <c r="D229" s="5" t="s">
        <v>716</v>
      </c>
      <c r="E229" s="11" t="s">
        <v>1054</v>
      </c>
      <c r="F229" s="5"/>
      <c r="G229" s="5" t="s">
        <v>21</v>
      </c>
      <c r="H229" s="5" t="s">
        <v>2</v>
      </c>
      <c r="I229" s="5" t="s">
        <v>2</v>
      </c>
      <c r="J229" s="5" t="s">
        <v>2</v>
      </c>
      <c r="L229" t="s">
        <v>2261</v>
      </c>
    </row>
    <row r="230" spans="1:12" ht="16" outlineLevel="3" collapsed="1" x14ac:dyDescent="0.2">
      <c r="A230" s="4" t="s">
        <v>21</v>
      </c>
      <c r="B230" s="4" t="s">
        <v>16</v>
      </c>
      <c r="C230" s="4" t="s">
        <v>2</v>
      </c>
      <c r="D230" s="4" t="s">
        <v>1969</v>
      </c>
      <c r="E230" s="12" t="s">
        <v>367</v>
      </c>
      <c r="F230" s="4"/>
      <c r="G230" s="4" t="s">
        <v>15</v>
      </c>
      <c r="H230" s="4" t="s">
        <v>19</v>
      </c>
      <c r="I230" s="4" t="s">
        <v>2</v>
      </c>
      <c r="J230" s="4" t="s">
        <v>2</v>
      </c>
      <c r="L230" t="s">
        <v>20</v>
      </c>
    </row>
    <row r="231" spans="1:12" ht="16" outlineLevel="3" collapsed="1" x14ac:dyDescent="0.2">
      <c r="A231" s="4" t="s">
        <v>21</v>
      </c>
      <c r="B231" s="4" t="s">
        <v>16</v>
      </c>
      <c r="C231" s="4" t="s">
        <v>2</v>
      </c>
      <c r="D231" s="4" t="s">
        <v>2094</v>
      </c>
      <c r="E231" s="12" t="s">
        <v>368</v>
      </c>
      <c r="F231" s="4"/>
      <c r="G231" s="4" t="s">
        <v>15</v>
      </c>
      <c r="H231" s="4" t="s">
        <v>19</v>
      </c>
      <c r="I231" s="4" t="s">
        <v>2</v>
      </c>
      <c r="J231" s="4" t="s">
        <v>2</v>
      </c>
      <c r="L231" t="s">
        <v>24</v>
      </c>
    </row>
    <row r="232" spans="1:12" ht="25" outlineLevel="2" x14ac:dyDescent="0.2">
      <c r="A232" s="4" t="s">
        <v>15</v>
      </c>
      <c r="B232" s="4" t="s">
        <v>25</v>
      </c>
      <c r="C232" s="6" t="s">
        <v>365</v>
      </c>
      <c r="D232" s="4"/>
      <c r="E232" s="13" t="s">
        <v>402</v>
      </c>
      <c r="F232" s="4"/>
      <c r="G232" s="4" t="s">
        <v>15</v>
      </c>
      <c r="H232" s="4" t="s">
        <v>2</v>
      </c>
      <c r="I232" s="4" t="s">
        <v>2</v>
      </c>
      <c r="J232" s="4" t="s">
        <v>2</v>
      </c>
      <c r="L232" s="4" t="s">
        <v>2254</v>
      </c>
    </row>
    <row r="233" spans="1:12" ht="100" outlineLevel="2" collapsed="1" x14ac:dyDescent="0.2">
      <c r="A233" s="4" t="s">
        <v>15</v>
      </c>
      <c r="B233" s="4" t="s">
        <v>25</v>
      </c>
      <c r="C233" s="6" t="s">
        <v>365</v>
      </c>
      <c r="D233" s="4"/>
      <c r="E233" s="13" t="s">
        <v>1055</v>
      </c>
      <c r="F233" s="4"/>
      <c r="G233" s="4" t="s">
        <v>15</v>
      </c>
      <c r="H233" s="4" t="s">
        <v>2</v>
      </c>
      <c r="I233" s="4" t="s">
        <v>2</v>
      </c>
      <c r="J233" s="4" t="s">
        <v>2</v>
      </c>
      <c r="L233" s="4" t="s">
        <v>2255</v>
      </c>
    </row>
    <row r="234" spans="1:12" ht="75" outlineLevel="2" collapsed="1" x14ac:dyDescent="0.2">
      <c r="A234" s="4" t="s">
        <v>15</v>
      </c>
      <c r="B234" s="4" t="s">
        <v>25</v>
      </c>
      <c r="C234" s="6" t="s">
        <v>365</v>
      </c>
      <c r="D234" s="4"/>
      <c r="E234" s="13" t="s">
        <v>1056</v>
      </c>
      <c r="F234" s="4"/>
      <c r="G234" s="4" t="s">
        <v>15</v>
      </c>
      <c r="H234" s="4" t="s">
        <v>2</v>
      </c>
      <c r="I234" s="4" t="s">
        <v>2</v>
      </c>
      <c r="J234" s="4" t="s">
        <v>2</v>
      </c>
      <c r="L234" s="4" t="s">
        <v>509</v>
      </c>
    </row>
    <row r="235" spans="1:12" ht="16" outlineLevel="2" collapsed="1" x14ac:dyDescent="0.2">
      <c r="A235" s="4" t="s">
        <v>21</v>
      </c>
      <c r="B235" s="4" t="s">
        <v>16</v>
      </c>
      <c r="C235" s="4" t="s">
        <v>2</v>
      </c>
      <c r="D235" s="4" t="s">
        <v>2082</v>
      </c>
      <c r="E235" s="12" t="s">
        <v>720</v>
      </c>
      <c r="F235" s="4"/>
      <c r="G235" s="4" t="s">
        <v>15</v>
      </c>
      <c r="H235" s="4" t="s">
        <v>19</v>
      </c>
      <c r="I235" s="4" t="s">
        <v>2</v>
      </c>
      <c r="J235" s="4" t="s">
        <v>2</v>
      </c>
      <c r="L235" s="4" t="s">
        <v>2262</v>
      </c>
    </row>
    <row r="236" spans="1:12" ht="150" outlineLevel="2" collapsed="1" x14ac:dyDescent="0.2">
      <c r="A236" s="4" t="s">
        <v>15</v>
      </c>
      <c r="B236" s="4" t="s">
        <v>25</v>
      </c>
      <c r="C236" s="6" t="s">
        <v>365</v>
      </c>
      <c r="D236" s="4"/>
      <c r="E236" s="13" t="s">
        <v>1057</v>
      </c>
      <c r="F236" s="4"/>
      <c r="G236" s="4" t="s">
        <v>15</v>
      </c>
      <c r="H236" s="4" t="s">
        <v>2</v>
      </c>
      <c r="I236" s="4" t="s">
        <v>2</v>
      </c>
      <c r="J236" s="4" t="s">
        <v>2</v>
      </c>
      <c r="L236" s="4" t="s">
        <v>2263</v>
      </c>
    </row>
    <row r="237" spans="1:12" ht="16" outlineLevel="2" collapsed="1" x14ac:dyDescent="0.2">
      <c r="A237" s="4" t="s">
        <v>21</v>
      </c>
      <c r="B237" s="4" t="s">
        <v>16</v>
      </c>
      <c r="C237" s="4" t="s">
        <v>2</v>
      </c>
      <c r="D237" s="4" t="s">
        <v>1971</v>
      </c>
      <c r="E237" s="12" t="s">
        <v>404</v>
      </c>
      <c r="F237" s="4"/>
      <c r="G237" s="4" t="s">
        <v>15</v>
      </c>
      <c r="H237" s="4" t="s">
        <v>19</v>
      </c>
      <c r="I237" s="4" t="s">
        <v>2</v>
      </c>
      <c r="J237" s="4" t="s">
        <v>2</v>
      </c>
      <c r="L237" s="4" t="s">
        <v>2264</v>
      </c>
    </row>
    <row r="238" spans="1:12" ht="150" outlineLevel="2" collapsed="1" x14ac:dyDescent="0.2">
      <c r="A238" s="4" t="s">
        <v>15</v>
      </c>
      <c r="B238" s="4" t="s">
        <v>25</v>
      </c>
      <c r="C238" s="6" t="s">
        <v>365</v>
      </c>
      <c r="D238" s="4"/>
      <c r="E238" s="13" t="s">
        <v>1058</v>
      </c>
      <c r="F238" s="4"/>
      <c r="G238" s="4" t="s">
        <v>15</v>
      </c>
      <c r="H238" s="4" t="s">
        <v>2</v>
      </c>
      <c r="I238" s="4" t="s">
        <v>2</v>
      </c>
      <c r="J238" s="4" t="s">
        <v>2</v>
      </c>
      <c r="L238" s="4" t="s">
        <v>494</v>
      </c>
    </row>
    <row r="239" spans="1:12" ht="16" outlineLevel="2" collapsed="1" x14ac:dyDescent="0.2">
      <c r="A239" s="4" t="s">
        <v>21</v>
      </c>
      <c r="B239" s="4" t="s">
        <v>16</v>
      </c>
      <c r="C239" s="4" t="s">
        <v>2</v>
      </c>
      <c r="D239" s="4" t="s">
        <v>2065</v>
      </c>
      <c r="E239" s="12" t="s">
        <v>723</v>
      </c>
      <c r="F239" s="4"/>
      <c r="G239" s="4" t="s">
        <v>15</v>
      </c>
      <c r="H239" s="4" t="s">
        <v>19</v>
      </c>
      <c r="I239" s="4" t="s">
        <v>2</v>
      </c>
      <c r="J239" s="4" t="s">
        <v>2</v>
      </c>
      <c r="L239" s="4" t="s">
        <v>2265</v>
      </c>
    </row>
    <row r="240" spans="1:12" ht="25" outlineLevel="2" collapsed="1" x14ac:dyDescent="0.2">
      <c r="A240" s="4" t="s">
        <v>15</v>
      </c>
      <c r="B240" s="4" t="s">
        <v>25</v>
      </c>
      <c r="C240" s="6" t="s">
        <v>365</v>
      </c>
      <c r="D240" s="4"/>
      <c r="E240" s="13" t="s">
        <v>408</v>
      </c>
      <c r="F240" s="4"/>
      <c r="G240" s="4" t="s">
        <v>15</v>
      </c>
      <c r="H240" s="4" t="s">
        <v>2</v>
      </c>
      <c r="I240" s="4" t="s">
        <v>2</v>
      </c>
      <c r="J240" s="4" t="s">
        <v>2</v>
      </c>
      <c r="L240" s="4" t="s">
        <v>353</v>
      </c>
    </row>
    <row r="241" spans="1:12" ht="275" outlineLevel="2" collapsed="1" x14ac:dyDescent="0.2">
      <c r="A241" s="4" t="s">
        <v>15</v>
      </c>
      <c r="B241" s="4" t="s">
        <v>25</v>
      </c>
      <c r="C241" s="6" t="s">
        <v>365</v>
      </c>
      <c r="D241" s="4"/>
      <c r="E241" s="13" t="s">
        <v>1059</v>
      </c>
      <c r="F241" s="4"/>
      <c r="G241" s="4" t="s">
        <v>15</v>
      </c>
      <c r="H241" s="4" t="s">
        <v>2</v>
      </c>
      <c r="I241" s="4" t="s">
        <v>2</v>
      </c>
      <c r="J241" s="4" t="s">
        <v>2</v>
      </c>
      <c r="L241" s="4" t="s">
        <v>512</v>
      </c>
    </row>
    <row r="242" spans="1:12" ht="25" outlineLevel="2" collapsed="1" x14ac:dyDescent="0.2">
      <c r="A242" s="4" t="s">
        <v>15</v>
      </c>
      <c r="B242" s="4" t="s">
        <v>25</v>
      </c>
      <c r="C242" s="6" t="s">
        <v>365</v>
      </c>
      <c r="D242" s="4"/>
      <c r="E242" s="13" t="s">
        <v>410</v>
      </c>
      <c r="F242" s="4"/>
      <c r="G242" s="4" t="s">
        <v>15</v>
      </c>
      <c r="H242" s="4" t="s">
        <v>2</v>
      </c>
      <c r="I242" s="4" t="s">
        <v>2</v>
      </c>
      <c r="J242" s="4" t="s">
        <v>2</v>
      </c>
      <c r="L242" s="4" t="s">
        <v>2256</v>
      </c>
    </row>
    <row r="243" spans="1:12" ht="16" outlineLevel="2" collapsed="1" x14ac:dyDescent="0.2">
      <c r="A243" s="4" t="s">
        <v>21</v>
      </c>
      <c r="B243" s="4" t="s">
        <v>16</v>
      </c>
      <c r="C243" s="4" t="s">
        <v>2</v>
      </c>
      <c r="D243" s="4" t="s">
        <v>2109</v>
      </c>
      <c r="E243" s="12" t="s">
        <v>367</v>
      </c>
      <c r="F243" s="4"/>
      <c r="G243" s="4" t="s">
        <v>15</v>
      </c>
      <c r="H243" s="4" t="s">
        <v>19</v>
      </c>
      <c r="I243" s="4" t="s">
        <v>2</v>
      </c>
      <c r="J243" s="4" t="s">
        <v>2</v>
      </c>
      <c r="L243" s="4" t="s">
        <v>359</v>
      </c>
    </row>
    <row r="244" spans="1:12" ht="16" outlineLevel="2" collapsed="1" x14ac:dyDescent="0.2">
      <c r="A244" s="4" t="s">
        <v>21</v>
      </c>
      <c r="B244" s="4" t="s">
        <v>16</v>
      </c>
      <c r="C244" s="4" t="s">
        <v>2</v>
      </c>
      <c r="D244" s="4" t="s">
        <v>2110</v>
      </c>
      <c r="E244" s="12" t="s">
        <v>368</v>
      </c>
      <c r="F244" s="4"/>
      <c r="G244" s="4" t="s">
        <v>15</v>
      </c>
      <c r="H244" s="4" t="s">
        <v>19</v>
      </c>
      <c r="I244" s="4" t="s">
        <v>2</v>
      </c>
      <c r="J244" s="4" t="s">
        <v>2</v>
      </c>
      <c r="L244" s="4" t="s">
        <v>362</v>
      </c>
    </row>
    <row r="245" spans="1:12" ht="25" outlineLevel="2" collapsed="1" x14ac:dyDescent="0.2">
      <c r="A245" s="4" t="s">
        <v>15</v>
      </c>
      <c r="B245" s="4" t="s">
        <v>25</v>
      </c>
      <c r="C245" s="6" t="s">
        <v>365</v>
      </c>
      <c r="D245" s="4"/>
      <c r="E245" s="13" t="s">
        <v>413</v>
      </c>
      <c r="F245" s="4"/>
      <c r="G245" s="4" t="s">
        <v>15</v>
      </c>
      <c r="H245" s="4" t="s">
        <v>2</v>
      </c>
      <c r="I245" s="4" t="s">
        <v>2</v>
      </c>
      <c r="J245" s="4" t="s">
        <v>2</v>
      </c>
      <c r="L245" s="4" t="s">
        <v>364</v>
      </c>
    </row>
    <row r="246" spans="1:12" ht="16" outlineLevel="2" collapsed="1" x14ac:dyDescent="0.2">
      <c r="A246" s="4" t="s">
        <v>21</v>
      </c>
      <c r="B246" s="4" t="s">
        <v>16</v>
      </c>
      <c r="C246" s="4" t="s">
        <v>2</v>
      </c>
      <c r="D246" s="4" t="s">
        <v>2111</v>
      </c>
      <c r="E246" s="12" t="s">
        <v>367</v>
      </c>
      <c r="F246" s="4"/>
      <c r="G246" s="4" t="s">
        <v>15</v>
      </c>
      <c r="H246" s="4" t="s">
        <v>19</v>
      </c>
      <c r="I246" s="4" t="s">
        <v>2</v>
      </c>
      <c r="J246" s="4" t="s">
        <v>2</v>
      </c>
      <c r="L246" s="4" t="s">
        <v>2266</v>
      </c>
    </row>
    <row r="247" spans="1:12" ht="16" outlineLevel="2" collapsed="1" x14ac:dyDescent="0.2">
      <c r="A247" s="4" t="s">
        <v>21</v>
      </c>
      <c r="B247" s="4" t="s">
        <v>16</v>
      </c>
      <c r="C247" s="4" t="s">
        <v>2</v>
      </c>
      <c r="D247" s="4" t="s">
        <v>2112</v>
      </c>
      <c r="E247" s="12" t="s">
        <v>368</v>
      </c>
      <c r="F247" s="4"/>
      <c r="G247" s="4" t="s">
        <v>15</v>
      </c>
      <c r="H247" s="4" t="s">
        <v>19</v>
      </c>
      <c r="I247" s="4" t="s">
        <v>2</v>
      </c>
      <c r="J247" s="4" t="s">
        <v>2</v>
      </c>
      <c r="L247" s="4" t="s">
        <v>892</v>
      </c>
    </row>
    <row r="248" spans="1:12" ht="25" outlineLevel="2" collapsed="1" x14ac:dyDescent="0.2">
      <c r="A248" s="4" t="s">
        <v>15</v>
      </c>
      <c r="B248" s="4" t="s">
        <v>25</v>
      </c>
      <c r="C248" s="6" t="s">
        <v>365</v>
      </c>
      <c r="D248" s="4"/>
      <c r="E248" s="13" t="s">
        <v>414</v>
      </c>
      <c r="F248" s="4"/>
      <c r="G248" s="4" t="s">
        <v>15</v>
      </c>
      <c r="H248" s="4" t="s">
        <v>2</v>
      </c>
      <c r="I248" s="4" t="s">
        <v>2</v>
      </c>
      <c r="J248" s="4" t="s">
        <v>2</v>
      </c>
      <c r="L248" s="4" t="s">
        <v>2267</v>
      </c>
    </row>
    <row r="249" spans="1:12" ht="16" outlineLevel="2" collapsed="1" x14ac:dyDescent="0.2">
      <c r="A249" s="4" t="s">
        <v>21</v>
      </c>
      <c r="B249" s="4" t="s">
        <v>16</v>
      </c>
      <c r="C249" s="4" t="s">
        <v>2</v>
      </c>
      <c r="D249" s="4" t="s">
        <v>2113</v>
      </c>
      <c r="E249" s="12" t="s">
        <v>367</v>
      </c>
      <c r="F249" s="4"/>
      <c r="G249" s="4" t="s">
        <v>15</v>
      </c>
      <c r="H249" s="4" t="s">
        <v>19</v>
      </c>
      <c r="I249" s="4" t="s">
        <v>2</v>
      </c>
      <c r="J249" s="4" t="s">
        <v>2</v>
      </c>
      <c r="L249" s="4" t="s">
        <v>496</v>
      </c>
    </row>
    <row r="250" spans="1:12" ht="16" outlineLevel="2" collapsed="1" x14ac:dyDescent="0.2">
      <c r="A250" s="4" t="s">
        <v>21</v>
      </c>
      <c r="B250" s="4" t="s">
        <v>16</v>
      </c>
      <c r="C250" s="4" t="s">
        <v>2</v>
      </c>
      <c r="D250" s="4" t="s">
        <v>2114</v>
      </c>
      <c r="E250" s="12" t="s">
        <v>368</v>
      </c>
      <c r="F250" s="4"/>
      <c r="G250" s="4" t="s">
        <v>15</v>
      </c>
      <c r="H250" s="4" t="s">
        <v>19</v>
      </c>
      <c r="I250" s="4" t="s">
        <v>2</v>
      </c>
      <c r="J250" s="4" t="s">
        <v>2</v>
      </c>
      <c r="L250" s="4" t="s">
        <v>894</v>
      </c>
    </row>
    <row r="251" spans="1:12" ht="16" outlineLevel="2" x14ac:dyDescent="0.2">
      <c r="A251" s="5" t="s">
        <v>15</v>
      </c>
      <c r="B251" t="s">
        <v>1178</v>
      </c>
      <c r="C251" s="5" t="s">
        <v>1605</v>
      </c>
      <c r="D251" s="5" t="s">
        <v>2066</v>
      </c>
      <c r="E251" s="11" t="s">
        <v>1045</v>
      </c>
      <c r="F251" s="5"/>
      <c r="G251" s="5" t="s">
        <v>21</v>
      </c>
      <c r="H251" s="5" t="s">
        <v>2</v>
      </c>
      <c r="I251" s="5" t="s">
        <v>2</v>
      </c>
      <c r="J251" s="5" t="s">
        <v>2</v>
      </c>
      <c r="L251" s="5" t="s">
        <v>2268</v>
      </c>
    </row>
    <row r="252" spans="1:12" ht="16" outlineLevel="3" collapsed="1" x14ac:dyDescent="0.2">
      <c r="A252" s="4" t="s">
        <v>21</v>
      </c>
      <c r="B252" s="4" t="s">
        <v>16</v>
      </c>
      <c r="C252" s="4" t="s">
        <v>2</v>
      </c>
      <c r="D252" s="4" t="s">
        <v>1969</v>
      </c>
      <c r="E252" s="12" t="s">
        <v>367</v>
      </c>
      <c r="F252" s="4"/>
      <c r="G252" s="4" t="s">
        <v>15</v>
      </c>
      <c r="H252" s="4" t="s">
        <v>19</v>
      </c>
      <c r="I252" s="4" t="s">
        <v>2</v>
      </c>
      <c r="J252" s="4" t="s">
        <v>2</v>
      </c>
      <c r="L252" s="4" t="s">
        <v>20</v>
      </c>
    </row>
    <row r="253" spans="1:12" ht="16" outlineLevel="3" collapsed="1" x14ac:dyDescent="0.2">
      <c r="A253" s="4" t="s">
        <v>21</v>
      </c>
      <c r="B253" s="4" t="s">
        <v>16</v>
      </c>
      <c r="C253" s="4" t="s">
        <v>2</v>
      </c>
      <c r="D253" s="4" t="s">
        <v>2094</v>
      </c>
      <c r="E253" s="12" t="s">
        <v>368</v>
      </c>
      <c r="F253" s="4"/>
      <c r="G253" s="4" t="s">
        <v>15</v>
      </c>
      <c r="H253" s="4" t="s">
        <v>19</v>
      </c>
      <c r="I253" s="4" t="s">
        <v>2</v>
      </c>
      <c r="J253" s="4" t="s">
        <v>2</v>
      </c>
      <c r="L253" s="4" t="s">
        <v>24</v>
      </c>
    </row>
    <row r="254" spans="1:12" ht="25" outlineLevel="2" x14ac:dyDescent="0.2">
      <c r="A254" s="4" t="s">
        <v>15</v>
      </c>
      <c r="B254" s="4" t="s">
        <v>25</v>
      </c>
      <c r="C254" s="6" t="s">
        <v>365</v>
      </c>
      <c r="D254" s="4"/>
      <c r="E254" s="13" t="s">
        <v>1060</v>
      </c>
      <c r="F254" s="4"/>
      <c r="G254" s="4" t="s">
        <v>15</v>
      </c>
      <c r="H254" s="4" t="s">
        <v>2</v>
      </c>
      <c r="I254" s="4" t="s">
        <v>2</v>
      </c>
      <c r="J254" s="4" t="s">
        <v>2</v>
      </c>
      <c r="L254" s="4" t="s">
        <v>897</v>
      </c>
    </row>
    <row r="255" spans="1:12" ht="32" outlineLevel="2" collapsed="1" x14ac:dyDescent="0.2">
      <c r="A255" s="4" t="s">
        <v>21</v>
      </c>
      <c r="B255" s="4" t="s">
        <v>22</v>
      </c>
      <c r="C255" s="4" t="s">
        <v>171</v>
      </c>
      <c r="D255" s="4" t="s">
        <v>2083</v>
      </c>
      <c r="E255" s="12" t="s">
        <v>1061</v>
      </c>
      <c r="F255" s="4"/>
      <c r="G255" s="4" t="s">
        <v>15</v>
      </c>
      <c r="H255" s="4" t="s">
        <v>21</v>
      </c>
      <c r="I255" s="4" t="s">
        <v>2</v>
      </c>
      <c r="J255" s="4" t="s">
        <v>2</v>
      </c>
      <c r="L255" s="4" t="s">
        <v>899</v>
      </c>
    </row>
    <row r="256" spans="1:12" ht="75" outlineLevel="2" collapsed="1" x14ac:dyDescent="0.2">
      <c r="A256" s="4" t="s">
        <v>15</v>
      </c>
      <c r="B256" s="4" t="s">
        <v>25</v>
      </c>
      <c r="C256" s="6" t="s">
        <v>365</v>
      </c>
      <c r="D256" s="4"/>
      <c r="E256" s="13" t="s">
        <v>1062</v>
      </c>
      <c r="F256" s="4" t="b">
        <f>EXACT(H255,"Yes")</f>
        <v>1</v>
      </c>
      <c r="G256" s="4" t="s">
        <v>15</v>
      </c>
      <c r="H256" s="4" t="s">
        <v>2</v>
      </c>
      <c r="I256" s="4" t="s">
        <v>2</v>
      </c>
      <c r="J256" s="4" t="s">
        <v>2</v>
      </c>
      <c r="L256" s="4" t="s">
        <v>901</v>
      </c>
    </row>
    <row r="257" spans="1:12" ht="32" outlineLevel="2" x14ac:dyDescent="0.2">
      <c r="A257" s="5" t="s">
        <v>15</v>
      </c>
      <c r="B257" t="s">
        <v>1178</v>
      </c>
      <c r="C257" s="5" t="s">
        <v>1604</v>
      </c>
      <c r="D257" s="5" t="s">
        <v>1975</v>
      </c>
      <c r="E257" s="11" t="s">
        <v>1063</v>
      </c>
      <c r="F257" s="5" t="b">
        <f>EXACT(H255,"Yes")</f>
        <v>1</v>
      </c>
      <c r="G257" s="5" t="s">
        <v>21</v>
      </c>
      <c r="H257" s="5" t="s">
        <v>2</v>
      </c>
      <c r="I257" s="5" t="s">
        <v>2</v>
      </c>
      <c r="J257" s="5" t="s">
        <v>2</v>
      </c>
      <c r="L257" s="5" t="s">
        <v>903</v>
      </c>
    </row>
    <row r="258" spans="1:12" ht="32" outlineLevel="3" collapsed="1" x14ac:dyDescent="0.2">
      <c r="A258" s="4" t="s">
        <v>15</v>
      </c>
      <c r="B258" s="4" t="s">
        <v>25</v>
      </c>
      <c r="C258" s="4" t="s">
        <v>2</v>
      </c>
      <c r="D258" s="4"/>
      <c r="E258" s="12" t="s">
        <v>1064</v>
      </c>
      <c r="F258" s="4"/>
      <c r="G258" s="4" t="s">
        <v>15</v>
      </c>
      <c r="H258" s="4" t="s">
        <v>2</v>
      </c>
      <c r="I258" s="4" t="s">
        <v>2</v>
      </c>
      <c r="J258" s="4" t="s">
        <v>2</v>
      </c>
      <c r="L258" s="4" t="s">
        <v>20</v>
      </c>
    </row>
    <row r="259" spans="1:12" ht="16" outlineLevel="3" collapsed="1" x14ac:dyDescent="0.2">
      <c r="A259" s="4" t="s">
        <v>21</v>
      </c>
      <c r="B259" s="4" t="s">
        <v>16</v>
      </c>
      <c r="C259" s="4" t="s">
        <v>2</v>
      </c>
      <c r="D259" s="4" t="s">
        <v>1976</v>
      </c>
      <c r="E259" s="12" t="s">
        <v>1065</v>
      </c>
      <c r="F259" s="4"/>
      <c r="G259" s="4" t="s">
        <v>15</v>
      </c>
      <c r="H259" s="4" t="s">
        <v>19</v>
      </c>
      <c r="I259" s="4" t="s">
        <v>2</v>
      </c>
      <c r="J259" s="4" t="s">
        <v>2</v>
      </c>
      <c r="L259" s="4" t="s">
        <v>24</v>
      </c>
    </row>
    <row r="260" spans="1:12" ht="32" outlineLevel="3" collapsed="1" x14ac:dyDescent="0.2">
      <c r="A260" s="4" t="s">
        <v>15</v>
      </c>
      <c r="B260" s="4" t="s">
        <v>25</v>
      </c>
      <c r="C260" s="4" t="s">
        <v>2</v>
      </c>
      <c r="D260" s="4"/>
      <c r="E260" s="12" t="s">
        <v>1066</v>
      </c>
      <c r="F260" s="4"/>
      <c r="G260" s="4" t="s">
        <v>15</v>
      </c>
      <c r="H260" s="4" t="s">
        <v>2</v>
      </c>
      <c r="I260" s="4" t="s">
        <v>2</v>
      </c>
      <c r="J260" s="4" t="s">
        <v>2</v>
      </c>
      <c r="L260" s="4" t="s">
        <v>27</v>
      </c>
    </row>
    <row r="261" spans="1:12" ht="16" outlineLevel="3" collapsed="1" x14ac:dyDescent="0.2">
      <c r="A261" s="4" t="s">
        <v>21</v>
      </c>
      <c r="B261" s="4" t="s">
        <v>16</v>
      </c>
      <c r="C261" s="4" t="s">
        <v>2</v>
      </c>
      <c r="D261" s="4" t="s">
        <v>1977</v>
      </c>
      <c r="E261" s="12" t="s">
        <v>424</v>
      </c>
      <c r="F261" s="4"/>
      <c r="G261" s="4" t="s">
        <v>15</v>
      </c>
      <c r="H261" s="4" t="s">
        <v>19</v>
      </c>
      <c r="I261" s="4" t="s">
        <v>2</v>
      </c>
      <c r="J261" s="4" t="s">
        <v>2</v>
      </c>
      <c r="L261" s="4" t="s">
        <v>29</v>
      </c>
    </row>
    <row r="262" spans="1:12" ht="250" outlineLevel="2" x14ac:dyDescent="0.2">
      <c r="A262" s="4" t="s">
        <v>15</v>
      </c>
      <c r="B262" s="4" t="s">
        <v>25</v>
      </c>
      <c r="C262" s="6" t="s">
        <v>365</v>
      </c>
      <c r="D262" s="4"/>
      <c r="E262" s="13" t="s">
        <v>1067</v>
      </c>
      <c r="F262" s="4" t="b">
        <f>EXACT(H255,"Yes")</f>
        <v>1</v>
      </c>
      <c r="G262" s="4" t="s">
        <v>15</v>
      </c>
      <c r="H262" s="4" t="s">
        <v>2</v>
      </c>
      <c r="I262" s="4" t="s">
        <v>2</v>
      </c>
      <c r="J262" s="4" t="s">
        <v>2</v>
      </c>
      <c r="L262" s="4" t="s">
        <v>726</v>
      </c>
    </row>
    <row r="263" spans="1:12" ht="50" outlineLevel="2" collapsed="1" x14ac:dyDescent="0.2">
      <c r="A263" s="4" t="s">
        <v>15</v>
      </c>
      <c r="B263" s="4" t="s">
        <v>25</v>
      </c>
      <c r="C263" s="6" t="s">
        <v>365</v>
      </c>
      <c r="D263" s="4"/>
      <c r="E263" s="13" t="s">
        <v>428</v>
      </c>
      <c r="F263" s="4" t="b">
        <f>EXACT(H255,"Yes")</f>
        <v>1</v>
      </c>
      <c r="G263" s="4" t="s">
        <v>15</v>
      </c>
      <c r="H263" s="4" t="s">
        <v>2</v>
      </c>
      <c r="I263" s="4" t="s">
        <v>2</v>
      </c>
      <c r="J263" s="4" t="s">
        <v>2</v>
      </c>
      <c r="L263" s="4" t="s">
        <v>727</v>
      </c>
    </row>
    <row r="264" spans="1:12" ht="16" outlineLevel="2" collapsed="1" x14ac:dyDescent="0.2">
      <c r="A264" s="4" t="s">
        <v>15</v>
      </c>
      <c r="B264" s="4" t="s">
        <v>16</v>
      </c>
      <c r="C264" s="4" t="s">
        <v>2</v>
      </c>
      <c r="D264" s="4" t="s">
        <v>2115</v>
      </c>
      <c r="E264" s="12" t="s">
        <v>367</v>
      </c>
      <c r="F264" s="4" t="b">
        <f>EXACT(H255,"Yes")</f>
        <v>1</v>
      </c>
      <c r="G264" s="4" t="s">
        <v>15</v>
      </c>
      <c r="H264" s="4" t="s">
        <v>19</v>
      </c>
      <c r="I264" s="4" t="s">
        <v>2</v>
      </c>
      <c r="J264" s="4" t="s">
        <v>2</v>
      </c>
      <c r="L264" s="4" t="s">
        <v>510</v>
      </c>
    </row>
    <row r="265" spans="1:12" ht="16" outlineLevel="2" collapsed="1" x14ac:dyDescent="0.2">
      <c r="A265" s="4" t="s">
        <v>15</v>
      </c>
      <c r="B265" s="4" t="s">
        <v>16</v>
      </c>
      <c r="C265" s="4" t="s">
        <v>2</v>
      </c>
      <c r="D265" s="4" t="s">
        <v>2116</v>
      </c>
      <c r="E265" s="12" t="s">
        <v>368</v>
      </c>
      <c r="F265" s="4" t="b">
        <f>EXACT(H255,"Yes")</f>
        <v>1</v>
      </c>
      <c r="G265" s="4" t="s">
        <v>15</v>
      </c>
      <c r="H265" s="4" t="s">
        <v>19</v>
      </c>
      <c r="I265" s="4" t="s">
        <v>2</v>
      </c>
      <c r="J265" s="4" t="s">
        <v>2</v>
      </c>
      <c r="L265" s="4" t="s">
        <v>2269</v>
      </c>
    </row>
    <row r="266" spans="1:12" ht="25" outlineLevel="2" collapsed="1" x14ac:dyDescent="0.2">
      <c r="A266" s="4" t="s">
        <v>15</v>
      </c>
      <c r="B266" s="4" t="s">
        <v>25</v>
      </c>
      <c r="C266" s="6" t="s">
        <v>365</v>
      </c>
      <c r="D266" s="4"/>
      <c r="E266" s="13" t="s">
        <v>429</v>
      </c>
      <c r="F266" s="4" t="b">
        <f>EXACT(H255,"Yes")</f>
        <v>1</v>
      </c>
      <c r="G266" s="4" t="s">
        <v>15</v>
      </c>
      <c r="H266" s="4" t="s">
        <v>2</v>
      </c>
      <c r="I266" s="4" t="s">
        <v>2</v>
      </c>
      <c r="J266" s="4" t="s">
        <v>2</v>
      </c>
      <c r="L266" s="4" t="s">
        <v>744</v>
      </c>
    </row>
    <row r="267" spans="1:12" ht="16" outlineLevel="2" collapsed="1" x14ac:dyDescent="0.2">
      <c r="A267" s="4" t="s">
        <v>15</v>
      </c>
      <c r="B267" s="4" t="s">
        <v>16</v>
      </c>
      <c r="C267" s="4" t="s">
        <v>2</v>
      </c>
      <c r="D267" s="4" t="s">
        <v>2117</v>
      </c>
      <c r="E267" s="12" t="s">
        <v>367</v>
      </c>
      <c r="F267" s="4" t="b">
        <f>EXACT(H255,"Yes")</f>
        <v>1</v>
      </c>
      <c r="G267" s="4" t="s">
        <v>15</v>
      </c>
      <c r="H267" s="4" t="s">
        <v>19</v>
      </c>
      <c r="I267" s="4" t="s">
        <v>2</v>
      </c>
      <c r="J267" s="4" t="s">
        <v>2</v>
      </c>
      <c r="L267" s="4" t="s">
        <v>376</v>
      </c>
    </row>
    <row r="268" spans="1:12" ht="16" outlineLevel="2" collapsed="1" x14ac:dyDescent="0.2">
      <c r="A268" s="4" t="s">
        <v>15</v>
      </c>
      <c r="B268" s="4" t="s">
        <v>16</v>
      </c>
      <c r="C268" s="4" t="s">
        <v>2</v>
      </c>
      <c r="D268" s="4" t="s">
        <v>2118</v>
      </c>
      <c r="E268" s="12" t="s">
        <v>368</v>
      </c>
      <c r="F268" s="4" t="b">
        <f>EXACT(H255,"Yes")</f>
        <v>1</v>
      </c>
      <c r="G268" s="4" t="s">
        <v>15</v>
      </c>
      <c r="H268" s="4" t="s">
        <v>19</v>
      </c>
      <c r="I268" s="4" t="s">
        <v>2</v>
      </c>
      <c r="J268" s="4" t="s">
        <v>2</v>
      </c>
      <c r="L268" s="4" t="s">
        <v>378</v>
      </c>
    </row>
    <row r="269" spans="1:12" ht="32" outlineLevel="2" x14ac:dyDescent="0.2">
      <c r="A269" s="5" t="s">
        <v>15</v>
      </c>
      <c r="B269" t="s">
        <v>1178</v>
      </c>
      <c r="C269" s="5" t="s">
        <v>1606</v>
      </c>
      <c r="D269" s="5" t="s">
        <v>2067</v>
      </c>
      <c r="E269" s="11" t="s">
        <v>1045</v>
      </c>
      <c r="F269" s="5" t="b">
        <f>EXACT(H255,"Yes")</f>
        <v>1</v>
      </c>
      <c r="G269" s="5" t="s">
        <v>21</v>
      </c>
      <c r="H269" s="5" t="s">
        <v>2</v>
      </c>
      <c r="I269" s="5" t="s">
        <v>2</v>
      </c>
      <c r="J269" s="5" t="s">
        <v>2</v>
      </c>
      <c r="L269" s="5" t="s">
        <v>732</v>
      </c>
    </row>
    <row r="270" spans="1:12" ht="16" outlineLevel="3" collapsed="1" x14ac:dyDescent="0.2">
      <c r="A270" s="4" t="s">
        <v>21</v>
      </c>
      <c r="B270" s="4" t="s">
        <v>16</v>
      </c>
      <c r="C270" s="4" t="s">
        <v>2</v>
      </c>
      <c r="D270" s="4" t="s">
        <v>1969</v>
      </c>
      <c r="E270" s="12" t="s">
        <v>367</v>
      </c>
      <c r="F270" s="4"/>
      <c r="G270" s="4" t="s">
        <v>15</v>
      </c>
      <c r="H270" s="4" t="s">
        <v>19</v>
      </c>
      <c r="I270" s="4" t="s">
        <v>2</v>
      </c>
      <c r="J270" s="4" t="s">
        <v>2</v>
      </c>
      <c r="L270" s="4" t="s">
        <v>20</v>
      </c>
    </row>
    <row r="271" spans="1:12" ht="16" outlineLevel="3" collapsed="1" x14ac:dyDescent="0.2">
      <c r="A271" s="4" t="s">
        <v>21</v>
      </c>
      <c r="B271" s="4" t="s">
        <v>16</v>
      </c>
      <c r="C271" s="4" t="s">
        <v>2</v>
      </c>
      <c r="D271" s="4" t="s">
        <v>2094</v>
      </c>
      <c r="E271" s="12" t="s">
        <v>368</v>
      </c>
      <c r="F271" s="4"/>
      <c r="G271" s="4" t="s">
        <v>15</v>
      </c>
      <c r="H271" s="4" t="s">
        <v>19</v>
      </c>
      <c r="I271" s="4" t="s">
        <v>2</v>
      </c>
      <c r="J271" s="4" t="s">
        <v>2</v>
      </c>
      <c r="L271" s="4" t="s">
        <v>24</v>
      </c>
    </row>
    <row r="272" spans="1:12" ht="25" outlineLevel="2" x14ac:dyDescent="0.2">
      <c r="A272" s="4" t="s">
        <v>15</v>
      </c>
      <c r="B272" s="4" t="s">
        <v>25</v>
      </c>
      <c r="C272" s="6" t="s">
        <v>365</v>
      </c>
      <c r="D272" s="4"/>
      <c r="E272" s="13" t="s">
        <v>431</v>
      </c>
      <c r="F272" s="4"/>
      <c r="G272" s="4" t="s">
        <v>15</v>
      </c>
      <c r="H272" s="4" t="s">
        <v>2</v>
      </c>
      <c r="I272" s="4" t="s">
        <v>2</v>
      </c>
      <c r="J272" s="4" t="s">
        <v>2</v>
      </c>
      <c r="L272" s="4" t="s">
        <v>2270</v>
      </c>
    </row>
    <row r="273" spans="1:12" ht="225" outlineLevel="2" collapsed="1" x14ac:dyDescent="0.2">
      <c r="A273" s="4" t="s">
        <v>15</v>
      </c>
      <c r="B273" s="4" t="s">
        <v>25</v>
      </c>
      <c r="C273" s="6" t="s">
        <v>365</v>
      </c>
      <c r="D273" s="4"/>
      <c r="E273" s="13" t="s">
        <v>1068</v>
      </c>
      <c r="F273" s="4"/>
      <c r="G273" s="4" t="s">
        <v>15</v>
      </c>
      <c r="H273" s="4" t="s">
        <v>2</v>
      </c>
      <c r="I273" s="4" t="s">
        <v>2</v>
      </c>
      <c r="J273" s="4" t="s">
        <v>2</v>
      </c>
      <c r="L273" s="4" t="s">
        <v>752</v>
      </c>
    </row>
    <row r="274" spans="1:12" ht="32" outlineLevel="2" x14ac:dyDescent="0.2">
      <c r="A274" s="5" t="s">
        <v>21</v>
      </c>
      <c r="B274" t="s">
        <v>1178</v>
      </c>
      <c r="C274" s="11" t="s">
        <v>1069</v>
      </c>
      <c r="D274" s="5" t="s">
        <v>2068</v>
      </c>
      <c r="E274" s="11" t="s">
        <v>1069</v>
      </c>
      <c r="F274" s="5"/>
      <c r="G274" s="5" t="s">
        <v>21</v>
      </c>
      <c r="H274" s="5" t="s">
        <v>2</v>
      </c>
      <c r="I274" s="5" t="s">
        <v>2</v>
      </c>
      <c r="J274" s="5" t="s">
        <v>2</v>
      </c>
      <c r="L274" s="5" t="s">
        <v>2271</v>
      </c>
    </row>
    <row r="275" spans="1:12" ht="16" outlineLevel="3" collapsed="1" x14ac:dyDescent="0.2">
      <c r="A275" s="4" t="s">
        <v>21</v>
      </c>
      <c r="B275" s="4" t="s">
        <v>16</v>
      </c>
      <c r="C275" s="4" t="s">
        <v>2</v>
      </c>
      <c r="D275" s="4" t="s">
        <v>737</v>
      </c>
      <c r="E275" s="12" t="s">
        <v>433</v>
      </c>
      <c r="F275" s="4"/>
      <c r="G275" s="4" t="s">
        <v>15</v>
      </c>
      <c r="H275" s="4" t="s">
        <v>19</v>
      </c>
      <c r="I275" s="4" t="s">
        <v>2</v>
      </c>
      <c r="J275" s="4" t="s">
        <v>2</v>
      </c>
      <c r="L275" s="4" t="s">
        <v>20</v>
      </c>
    </row>
    <row r="276" spans="1:12" ht="16" outlineLevel="3" collapsed="1" x14ac:dyDescent="0.2">
      <c r="A276" s="4" t="s">
        <v>21</v>
      </c>
      <c r="B276" s="4" t="s">
        <v>16</v>
      </c>
      <c r="C276" s="4" t="s">
        <v>2</v>
      </c>
      <c r="D276" s="4" t="s">
        <v>2069</v>
      </c>
      <c r="E276" s="12" t="s">
        <v>436</v>
      </c>
      <c r="F276" s="4"/>
      <c r="G276" s="4" t="s">
        <v>15</v>
      </c>
      <c r="H276" s="4" t="s">
        <v>19</v>
      </c>
      <c r="I276" s="4" t="s">
        <v>2</v>
      </c>
      <c r="J276" s="4" t="s">
        <v>2</v>
      </c>
      <c r="L276" s="4" t="s">
        <v>24</v>
      </c>
    </row>
    <row r="277" spans="1:12" ht="16" outlineLevel="3" collapsed="1" x14ac:dyDescent="0.2">
      <c r="A277" s="4" t="s">
        <v>21</v>
      </c>
      <c r="B277" s="4" t="s">
        <v>16</v>
      </c>
      <c r="C277" s="4" t="s">
        <v>2</v>
      </c>
      <c r="D277" s="4" t="s">
        <v>2070</v>
      </c>
      <c r="E277" s="12" t="s">
        <v>438</v>
      </c>
      <c r="F277" s="4"/>
      <c r="G277" s="4" t="s">
        <v>15</v>
      </c>
      <c r="H277" s="4" t="s">
        <v>19</v>
      </c>
      <c r="I277" s="4" t="s">
        <v>2</v>
      </c>
      <c r="J277" s="4" t="s">
        <v>2</v>
      </c>
      <c r="L277" s="4" t="s">
        <v>27</v>
      </c>
    </row>
    <row r="278" spans="1:12" ht="16" outlineLevel="3" collapsed="1" x14ac:dyDescent="0.2">
      <c r="A278" s="4" t="s">
        <v>21</v>
      </c>
      <c r="B278" s="4" t="s">
        <v>16</v>
      </c>
      <c r="C278" s="4" t="s">
        <v>2</v>
      </c>
      <c r="D278" s="4" t="s">
        <v>2071</v>
      </c>
      <c r="E278" s="12" t="s">
        <v>1070</v>
      </c>
      <c r="F278" s="4"/>
      <c r="G278" s="4" t="s">
        <v>15</v>
      </c>
      <c r="H278" s="4" t="s">
        <v>19</v>
      </c>
      <c r="I278" s="4" t="s">
        <v>2</v>
      </c>
      <c r="J278" s="4" t="s">
        <v>2</v>
      </c>
      <c r="L278" s="4" t="s">
        <v>29</v>
      </c>
    </row>
    <row r="279" spans="1:12" ht="125" outlineLevel="2" x14ac:dyDescent="0.2">
      <c r="A279" s="4" t="s">
        <v>15</v>
      </c>
      <c r="B279" s="4" t="s">
        <v>25</v>
      </c>
      <c r="C279" s="6" t="s">
        <v>365</v>
      </c>
      <c r="D279" s="4"/>
      <c r="E279" s="13" t="s">
        <v>1071</v>
      </c>
      <c r="F279" s="4"/>
      <c r="G279" s="4" t="s">
        <v>15</v>
      </c>
      <c r="H279" s="4" t="s">
        <v>2</v>
      </c>
      <c r="I279" s="4" t="s">
        <v>2</v>
      </c>
      <c r="J279" s="4" t="s">
        <v>2</v>
      </c>
      <c r="L279" s="4" t="s">
        <v>754</v>
      </c>
    </row>
    <row r="280" spans="1:12" ht="32" outlineLevel="2" x14ac:dyDescent="0.2">
      <c r="A280" s="5" t="s">
        <v>21</v>
      </c>
      <c r="B280" t="s">
        <v>1178</v>
      </c>
      <c r="C280" s="11" t="s">
        <v>1072</v>
      </c>
      <c r="D280" s="5" t="s">
        <v>2072</v>
      </c>
      <c r="E280" s="11" t="s">
        <v>1072</v>
      </c>
      <c r="F280" s="5"/>
      <c r="G280" s="5" t="s">
        <v>21</v>
      </c>
      <c r="H280" s="5" t="s">
        <v>2</v>
      </c>
      <c r="I280" s="5" t="s">
        <v>2</v>
      </c>
      <c r="J280" s="5" t="s">
        <v>2</v>
      </c>
      <c r="L280" s="5" t="s">
        <v>511</v>
      </c>
    </row>
    <row r="281" spans="1:12" ht="16" outlineLevel="3" collapsed="1" x14ac:dyDescent="0.2">
      <c r="A281" s="4" t="s">
        <v>21</v>
      </c>
      <c r="B281" s="4" t="s">
        <v>16</v>
      </c>
      <c r="C281" s="4" t="s">
        <v>2</v>
      </c>
      <c r="D281" s="4" t="s">
        <v>738</v>
      </c>
      <c r="E281" s="12" t="s">
        <v>1073</v>
      </c>
      <c r="F281" s="4"/>
      <c r="G281" s="4" t="s">
        <v>15</v>
      </c>
      <c r="H281" s="4" t="s">
        <v>19</v>
      </c>
      <c r="I281" s="4" t="s">
        <v>2</v>
      </c>
      <c r="J281" s="4" t="s">
        <v>2</v>
      </c>
      <c r="L281" s="4" t="s">
        <v>20</v>
      </c>
    </row>
    <row r="282" spans="1:12" ht="16" outlineLevel="3" collapsed="1" x14ac:dyDescent="0.2">
      <c r="A282" s="4" t="s">
        <v>21</v>
      </c>
      <c r="B282" s="4" t="s">
        <v>16</v>
      </c>
      <c r="C282" s="4" t="s">
        <v>2</v>
      </c>
      <c r="D282" s="4" t="s">
        <v>2084</v>
      </c>
      <c r="E282" s="12" t="s">
        <v>445</v>
      </c>
      <c r="F282" s="4"/>
      <c r="G282" s="4" t="s">
        <v>15</v>
      </c>
      <c r="H282" s="4" t="s">
        <v>19</v>
      </c>
      <c r="I282" s="4" t="s">
        <v>2</v>
      </c>
      <c r="J282" s="4" t="s">
        <v>2</v>
      </c>
      <c r="L282" s="4" t="s">
        <v>24</v>
      </c>
    </row>
    <row r="283" spans="1:12" ht="225" outlineLevel="2" x14ac:dyDescent="0.2">
      <c r="A283" s="4" t="s">
        <v>15</v>
      </c>
      <c r="B283" s="4" t="s">
        <v>25</v>
      </c>
      <c r="C283" s="6" t="s">
        <v>365</v>
      </c>
      <c r="D283" s="4"/>
      <c r="E283" s="13" t="s">
        <v>1074</v>
      </c>
      <c r="F283" s="4"/>
      <c r="G283" s="4" t="s">
        <v>15</v>
      </c>
      <c r="H283" s="4" t="s">
        <v>2</v>
      </c>
      <c r="I283" s="4" t="s">
        <v>2</v>
      </c>
      <c r="J283" s="4" t="s">
        <v>2</v>
      </c>
      <c r="L283" s="4" t="s">
        <v>755</v>
      </c>
    </row>
    <row r="284" spans="1:12" ht="16" outlineLevel="2" x14ac:dyDescent="0.2">
      <c r="A284" s="5" t="s">
        <v>21</v>
      </c>
      <c r="B284" t="s">
        <v>1178</v>
      </c>
      <c r="C284" s="5" t="s">
        <v>1607</v>
      </c>
      <c r="D284" s="5" t="s">
        <v>2073</v>
      </c>
      <c r="E284" s="11" t="s">
        <v>1075</v>
      </c>
      <c r="F284" s="5"/>
      <c r="G284" s="5" t="s">
        <v>21</v>
      </c>
      <c r="H284" s="5" t="s">
        <v>2</v>
      </c>
      <c r="I284" s="5" t="s">
        <v>2</v>
      </c>
      <c r="J284" s="5" t="s">
        <v>2</v>
      </c>
      <c r="L284" s="5" t="s">
        <v>756</v>
      </c>
    </row>
    <row r="285" spans="1:12" ht="16" outlineLevel="3" collapsed="1" x14ac:dyDescent="0.2">
      <c r="A285" s="4" t="s">
        <v>21</v>
      </c>
      <c r="B285" s="4" t="s">
        <v>16</v>
      </c>
      <c r="C285" s="4" t="s">
        <v>2</v>
      </c>
      <c r="D285" s="4" t="s">
        <v>739</v>
      </c>
      <c r="E285" s="12" t="s">
        <v>447</v>
      </c>
      <c r="F285" s="4"/>
      <c r="G285" s="4" t="s">
        <v>15</v>
      </c>
      <c r="H285" s="4" t="s">
        <v>19</v>
      </c>
      <c r="I285" s="4" t="s">
        <v>2</v>
      </c>
      <c r="J285" s="4" t="s">
        <v>2</v>
      </c>
      <c r="L285" s="4" t="s">
        <v>20</v>
      </c>
    </row>
    <row r="286" spans="1:12" ht="16" outlineLevel="3" collapsed="1" x14ac:dyDescent="0.2">
      <c r="A286" s="4" t="s">
        <v>21</v>
      </c>
      <c r="B286" s="4" t="s">
        <v>16</v>
      </c>
      <c r="C286" s="4" t="s">
        <v>2</v>
      </c>
      <c r="D286" s="4" t="s">
        <v>1969</v>
      </c>
      <c r="E286" s="12" t="s">
        <v>367</v>
      </c>
      <c r="F286" s="4"/>
      <c r="G286" s="4" t="s">
        <v>15</v>
      </c>
      <c r="H286" s="4" t="s">
        <v>19</v>
      </c>
      <c r="I286" s="4" t="s">
        <v>2</v>
      </c>
      <c r="J286" s="4" t="s">
        <v>2</v>
      </c>
      <c r="L286" s="4" t="s">
        <v>24</v>
      </c>
    </row>
    <row r="287" spans="1:12" ht="16" outlineLevel="3" collapsed="1" x14ac:dyDescent="0.2">
      <c r="A287" s="4" t="s">
        <v>21</v>
      </c>
      <c r="B287" s="4" t="s">
        <v>16</v>
      </c>
      <c r="C287" s="4" t="s">
        <v>2</v>
      </c>
      <c r="D287" s="4" t="s">
        <v>2094</v>
      </c>
      <c r="E287" s="12" t="s">
        <v>368</v>
      </c>
      <c r="F287" s="4"/>
      <c r="G287" s="4" t="s">
        <v>15</v>
      </c>
      <c r="H287" s="4" t="s">
        <v>19</v>
      </c>
      <c r="I287" s="4" t="s">
        <v>2</v>
      </c>
      <c r="J287" s="4" t="s">
        <v>2</v>
      </c>
      <c r="L287" s="4" t="s">
        <v>27</v>
      </c>
    </row>
    <row r="288" spans="1:12" ht="25" outlineLevel="2" x14ac:dyDescent="0.2">
      <c r="A288" s="4" t="s">
        <v>15</v>
      </c>
      <c r="B288" s="4" t="s">
        <v>25</v>
      </c>
      <c r="C288" s="6" t="s">
        <v>365</v>
      </c>
      <c r="D288" s="4"/>
      <c r="E288" s="13" t="s">
        <v>1076</v>
      </c>
      <c r="F288" s="4"/>
      <c r="G288" s="4" t="s">
        <v>15</v>
      </c>
      <c r="H288" s="4" t="s">
        <v>2</v>
      </c>
      <c r="I288" s="4" t="s">
        <v>2</v>
      </c>
      <c r="J288" s="4" t="s">
        <v>2</v>
      </c>
      <c r="L288" s="4" t="s">
        <v>758</v>
      </c>
    </row>
    <row r="289" spans="1:12" ht="16" outlineLevel="2" collapsed="1" x14ac:dyDescent="0.2">
      <c r="A289" s="4" t="s">
        <v>21</v>
      </c>
      <c r="B289" s="4" t="s">
        <v>22</v>
      </c>
      <c r="C289" s="4" t="s">
        <v>171</v>
      </c>
      <c r="D289" s="4" t="s">
        <v>2074</v>
      </c>
      <c r="E289" s="12" t="s">
        <v>1077</v>
      </c>
      <c r="F289" s="4"/>
      <c r="G289" s="4" t="s">
        <v>15</v>
      </c>
      <c r="H289" s="4" t="s">
        <v>21</v>
      </c>
      <c r="I289" s="4" t="s">
        <v>2</v>
      </c>
      <c r="J289" s="4" t="s">
        <v>2</v>
      </c>
      <c r="L289" s="4" t="s">
        <v>759</v>
      </c>
    </row>
    <row r="290" spans="1:12" ht="350" outlineLevel="2" collapsed="1" x14ac:dyDescent="0.2">
      <c r="A290" s="4" t="s">
        <v>15</v>
      </c>
      <c r="B290" s="4" t="s">
        <v>25</v>
      </c>
      <c r="C290" s="6" t="s">
        <v>365</v>
      </c>
      <c r="D290" s="4"/>
      <c r="E290" s="13" t="s">
        <v>1078</v>
      </c>
      <c r="F290" s="4" t="b">
        <f>EXACT(H289,"Yes")</f>
        <v>1</v>
      </c>
      <c r="G290" s="4" t="s">
        <v>15</v>
      </c>
      <c r="H290" s="4" t="s">
        <v>2</v>
      </c>
      <c r="I290" s="4" t="s">
        <v>2</v>
      </c>
      <c r="J290" s="4" t="s">
        <v>2</v>
      </c>
      <c r="L290" s="4" t="s">
        <v>760</v>
      </c>
    </row>
    <row r="291" spans="1:12" ht="16" outlineLevel="2" x14ac:dyDescent="0.2">
      <c r="A291" s="5" t="s">
        <v>15</v>
      </c>
      <c r="B291" t="s">
        <v>1178</v>
      </c>
      <c r="C291" s="5" t="s">
        <v>1079</v>
      </c>
      <c r="D291" s="5" t="s">
        <v>741</v>
      </c>
      <c r="E291" s="11" t="s">
        <v>1079</v>
      </c>
      <c r="F291" s="5" t="b">
        <f>EXACT(H289,"Yes")</f>
        <v>1</v>
      </c>
      <c r="G291" s="5" t="s">
        <v>21</v>
      </c>
      <c r="H291" s="5" t="s">
        <v>2</v>
      </c>
      <c r="I291" s="5" t="s">
        <v>2</v>
      </c>
      <c r="J291" s="5" t="s">
        <v>2</v>
      </c>
      <c r="L291" s="5" t="s">
        <v>761</v>
      </c>
    </row>
    <row r="292" spans="1:12" ht="16" outlineLevel="3" collapsed="1" x14ac:dyDescent="0.2">
      <c r="A292" s="4" t="s">
        <v>21</v>
      </c>
      <c r="B292" s="4" t="s">
        <v>16</v>
      </c>
      <c r="C292" s="4" t="s">
        <v>2</v>
      </c>
      <c r="D292" s="4" t="s">
        <v>741</v>
      </c>
      <c r="E292" s="12" t="s">
        <v>451</v>
      </c>
      <c r="F292" s="4"/>
      <c r="G292" s="4" t="s">
        <v>15</v>
      </c>
      <c r="H292" s="4" t="s">
        <v>19</v>
      </c>
      <c r="I292" s="4" t="s">
        <v>2</v>
      </c>
      <c r="J292" s="4" t="s">
        <v>2</v>
      </c>
      <c r="L292" s="4" t="s">
        <v>20</v>
      </c>
    </row>
    <row r="293" spans="1:12" ht="16" outlineLevel="3" collapsed="1" x14ac:dyDescent="0.2">
      <c r="A293" s="4" t="s">
        <v>21</v>
      </c>
      <c r="B293" s="4" t="s">
        <v>16</v>
      </c>
      <c r="C293" s="4" t="s">
        <v>2</v>
      </c>
      <c r="D293" s="4" t="s">
        <v>1969</v>
      </c>
      <c r="E293" s="12" t="s">
        <v>367</v>
      </c>
      <c r="F293" s="4"/>
      <c r="G293" s="4" t="s">
        <v>15</v>
      </c>
      <c r="H293" s="4" t="s">
        <v>19</v>
      </c>
      <c r="I293" s="4" t="s">
        <v>2</v>
      </c>
      <c r="J293" s="4" t="s">
        <v>2</v>
      </c>
      <c r="L293" s="4" t="s">
        <v>24</v>
      </c>
    </row>
    <row r="294" spans="1:12" ht="16" outlineLevel="3" collapsed="1" x14ac:dyDescent="0.2">
      <c r="A294" s="4" t="s">
        <v>21</v>
      </c>
      <c r="B294" s="4" t="s">
        <v>16</v>
      </c>
      <c r="C294" s="4" t="s">
        <v>2</v>
      </c>
      <c r="D294" s="4" t="s">
        <v>2094</v>
      </c>
      <c r="E294" s="12" t="s">
        <v>368</v>
      </c>
      <c r="F294" s="4"/>
      <c r="G294" s="4" t="s">
        <v>15</v>
      </c>
      <c r="H294" s="4" t="s">
        <v>19</v>
      </c>
      <c r="I294" s="4" t="s">
        <v>2</v>
      </c>
      <c r="J294" s="4" t="s">
        <v>2</v>
      </c>
      <c r="L294" s="4" t="s">
        <v>27</v>
      </c>
    </row>
    <row r="295" spans="1:12" ht="16" outlineLevel="1" x14ac:dyDescent="0.2">
      <c r="A295" s="5" t="s">
        <v>21</v>
      </c>
      <c r="B295" t="s">
        <v>1178</v>
      </c>
      <c r="C295" s="5" t="s">
        <v>1590</v>
      </c>
      <c r="D295" s="5" t="s">
        <v>1591</v>
      </c>
      <c r="E295" s="11" t="s">
        <v>1080</v>
      </c>
      <c r="F295" s="5"/>
      <c r="G295" s="5" t="s">
        <v>15</v>
      </c>
      <c r="H295" s="5" t="s">
        <v>2</v>
      </c>
      <c r="I295" s="5" t="s">
        <v>2</v>
      </c>
      <c r="J295" s="5" t="s">
        <v>2</v>
      </c>
      <c r="L295" s="5" t="s">
        <v>2272</v>
      </c>
    </row>
    <row r="296" spans="1:12" ht="25" outlineLevel="2" collapsed="1" x14ac:dyDescent="0.2">
      <c r="A296" s="4" t="s">
        <v>15</v>
      </c>
      <c r="B296" s="4" t="s">
        <v>25</v>
      </c>
      <c r="C296" s="6" t="s">
        <v>365</v>
      </c>
      <c r="D296" s="4"/>
      <c r="E296" s="13" t="s">
        <v>1081</v>
      </c>
      <c r="F296" s="4"/>
      <c r="G296" s="4" t="s">
        <v>15</v>
      </c>
      <c r="H296" s="4" t="s">
        <v>2</v>
      </c>
      <c r="I296" s="4" t="s">
        <v>2</v>
      </c>
      <c r="J296" s="4" t="s">
        <v>2</v>
      </c>
      <c r="L296" s="4" t="s">
        <v>2273</v>
      </c>
    </row>
    <row r="297" spans="1:12" ht="16" outlineLevel="2" x14ac:dyDescent="0.2">
      <c r="A297" s="5" t="s">
        <v>21</v>
      </c>
      <c r="B297" t="s">
        <v>1178</v>
      </c>
      <c r="C297" s="5" t="s">
        <v>1608</v>
      </c>
      <c r="D297" s="5" t="s">
        <v>2075</v>
      </c>
      <c r="E297" s="15" t="s">
        <v>1082</v>
      </c>
      <c r="F297" s="5"/>
      <c r="G297" s="5" t="s">
        <v>21</v>
      </c>
      <c r="H297" s="5" t="s">
        <v>2</v>
      </c>
      <c r="I297" s="5" t="s">
        <v>2</v>
      </c>
      <c r="J297" s="5" t="s">
        <v>2</v>
      </c>
      <c r="L297" s="5" t="s">
        <v>2274</v>
      </c>
    </row>
    <row r="298" spans="1:12" ht="16" outlineLevel="3" collapsed="1" x14ac:dyDescent="0.2">
      <c r="A298" s="4" t="s">
        <v>21</v>
      </c>
      <c r="B298" s="4" t="s">
        <v>16</v>
      </c>
      <c r="C298" s="4" t="s">
        <v>2</v>
      </c>
      <c r="D298" s="4" t="s">
        <v>2076</v>
      </c>
      <c r="E298" s="12" t="s">
        <v>1083</v>
      </c>
      <c r="F298" s="4"/>
      <c r="G298" s="4" t="s">
        <v>15</v>
      </c>
      <c r="H298" s="4" t="s">
        <v>19</v>
      </c>
      <c r="I298" s="4" t="s">
        <v>2</v>
      </c>
      <c r="J298" s="4" t="s">
        <v>2</v>
      </c>
      <c r="L298" s="4" t="s">
        <v>20</v>
      </c>
    </row>
    <row r="299" spans="1:12" ht="16" outlineLevel="3" collapsed="1" x14ac:dyDescent="0.2">
      <c r="A299" s="4" t="s">
        <v>21</v>
      </c>
      <c r="B299" s="4" t="s">
        <v>16</v>
      </c>
      <c r="C299" s="4" t="s">
        <v>2</v>
      </c>
      <c r="D299" s="4" t="s">
        <v>2077</v>
      </c>
      <c r="E299" s="12" t="s">
        <v>230</v>
      </c>
      <c r="F299" s="4"/>
      <c r="G299" s="4" t="s">
        <v>15</v>
      </c>
      <c r="H299" s="4" t="s">
        <v>19</v>
      </c>
      <c r="I299" s="4" t="s">
        <v>2</v>
      </c>
      <c r="J299" s="4" t="s">
        <v>2</v>
      </c>
      <c r="L299" s="4" t="s">
        <v>24</v>
      </c>
    </row>
    <row r="300" spans="1:12" ht="16" outlineLevel="3" collapsed="1" x14ac:dyDescent="0.2">
      <c r="A300" s="4" t="s">
        <v>21</v>
      </c>
      <c r="B300" s="4" t="s">
        <v>16</v>
      </c>
      <c r="C300" s="4" t="s">
        <v>2</v>
      </c>
      <c r="D300" s="4" t="s">
        <v>162</v>
      </c>
      <c r="E300" s="12" t="s">
        <v>160</v>
      </c>
      <c r="F300" s="4"/>
      <c r="G300" s="4" t="s">
        <v>15</v>
      </c>
      <c r="H300" s="4" t="s">
        <v>19</v>
      </c>
      <c r="I300" s="4" t="s">
        <v>2</v>
      </c>
      <c r="J300" s="4" t="s">
        <v>2</v>
      </c>
      <c r="L300" s="4" t="s">
        <v>27</v>
      </c>
    </row>
    <row r="301" spans="1:12" ht="16" outlineLevel="3" collapsed="1" x14ac:dyDescent="0.2">
      <c r="A301" s="4" t="s">
        <v>21</v>
      </c>
      <c r="B301" s="4" t="s">
        <v>16</v>
      </c>
      <c r="C301" s="4" t="s">
        <v>2</v>
      </c>
      <c r="D301" s="4" t="s">
        <v>108</v>
      </c>
      <c r="E301" s="12" t="s">
        <v>106</v>
      </c>
      <c r="F301" s="4"/>
      <c r="G301" s="4" t="s">
        <v>15</v>
      </c>
      <c r="H301" s="4" t="s">
        <v>19</v>
      </c>
      <c r="I301" s="4" t="s">
        <v>2</v>
      </c>
      <c r="J301" s="4" t="s">
        <v>2</v>
      </c>
      <c r="L301" s="4" t="s">
        <v>29</v>
      </c>
    </row>
    <row r="302" spans="1:12" ht="16" outlineLevel="3" collapsed="1" x14ac:dyDescent="0.2">
      <c r="A302" s="4" t="s">
        <v>15</v>
      </c>
      <c r="B302" s="4" t="s">
        <v>16</v>
      </c>
      <c r="C302" s="4" t="s">
        <v>2</v>
      </c>
      <c r="D302" s="4" t="s">
        <v>1085</v>
      </c>
      <c r="E302" s="12" t="s">
        <v>1084</v>
      </c>
      <c r="F302" s="4"/>
      <c r="G302" s="4" t="s">
        <v>15</v>
      </c>
      <c r="H302" s="4" t="s">
        <v>19</v>
      </c>
      <c r="I302" s="4" t="s">
        <v>2</v>
      </c>
      <c r="J302" s="4" t="s">
        <v>2</v>
      </c>
      <c r="L302" s="4" t="s">
        <v>1085</v>
      </c>
    </row>
    <row r="303" spans="1:12" ht="25" outlineLevel="2" x14ac:dyDescent="0.2">
      <c r="A303" s="4" t="s">
        <v>15</v>
      </c>
      <c r="B303" s="4" t="s">
        <v>25</v>
      </c>
      <c r="C303" s="6" t="s">
        <v>365</v>
      </c>
      <c r="D303" s="4"/>
      <c r="E303" s="13" t="s">
        <v>1086</v>
      </c>
      <c r="F303" s="4"/>
      <c r="G303" s="4" t="s">
        <v>15</v>
      </c>
      <c r="H303" s="4" t="s">
        <v>2</v>
      </c>
      <c r="I303" s="4" t="s">
        <v>2</v>
      </c>
      <c r="J303" s="4" t="s">
        <v>2</v>
      </c>
      <c r="L303" s="4"/>
    </row>
    <row r="304" spans="1:12" ht="409.6" outlineLevel="2" collapsed="1" x14ac:dyDescent="0.2">
      <c r="A304" s="4" t="s">
        <v>15</v>
      </c>
      <c r="B304" s="4" t="s">
        <v>25</v>
      </c>
      <c r="C304" s="6" t="s">
        <v>365</v>
      </c>
      <c r="D304" s="4"/>
      <c r="E304" s="13" t="s">
        <v>1232</v>
      </c>
      <c r="F304" s="4"/>
      <c r="G304" s="4" t="s">
        <v>15</v>
      </c>
      <c r="H304" s="4" t="s">
        <v>2</v>
      </c>
      <c r="I304" s="4" t="s">
        <v>2</v>
      </c>
      <c r="J304" s="4" t="s">
        <v>2</v>
      </c>
      <c r="L304" s="4"/>
    </row>
    <row r="305" spans="1:12" ht="32" outlineLevel="2" collapsed="1" x14ac:dyDescent="0.2">
      <c r="A305" s="4" t="s">
        <v>21</v>
      </c>
      <c r="B305" s="4" t="s">
        <v>16</v>
      </c>
      <c r="C305" s="4" t="s">
        <v>2</v>
      </c>
      <c r="D305" s="4" t="s">
        <v>2119</v>
      </c>
      <c r="E305" s="12" t="s">
        <v>1231</v>
      </c>
      <c r="F305" s="4"/>
      <c r="G305" s="4" t="s">
        <v>15</v>
      </c>
      <c r="H305" s="4"/>
      <c r="I305" s="4" t="s">
        <v>2</v>
      </c>
      <c r="J305" s="4" t="s">
        <v>2</v>
      </c>
      <c r="L305" s="4"/>
    </row>
    <row r="306" spans="1:12" ht="25" outlineLevel="2" collapsed="1" x14ac:dyDescent="0.2">
      <c r="A306" s="4" t="s">
        <v>15</v>
      </c>
      <c r="B306" s="4" t="s">
        <v>25</v>
      </c>
      <c r="C306" s="6" t="s">
        <v>365</v>
      </c>
      <c r="D306" s="4"/>
      <c r="E306" s="13" t="s">
        <v>1233</v>
      </c>
      <c r="F306" s="4"/>
      <c r="G306" s="4" t="s">
        <v>15</v>
      </c>
      <c r="H306" s="4" t="s">
        <v>2</v>
      </c>
      <c r="I306" s="4" t="s">
        <v>2</v>
      </c>
      <c r="J306" s="4" t="s">
        <v>2</v>
      </c>
      <c r="L306" s="4"/>
    </row>
    <row r="307" spans="1:12" ht="409.6" outlineLevel="2" x14ac:dyDescent="0.2">
      <c r="A307" s="4" t="s">
        <v>15</v>
      </c>
      <c r="B307" s="4" t="s">
        <v>25</v>
      </c>
      <c r="C307" s="6" t="s">
        <v>365</v>
      </c>
      <c r="D307" s="4"/>
      <c r="E307" s="13" t="s">
        <v>1234</v>
      </c>
      <c r="F307" s="4"/>
      <c r="G307" s="4" t="s">
        <v>15</v>
      </c>
      <c r="H307" s="4"/>
      <c r="I307" s="4"/>
      <c r="J307" s="4"/>
      <c r="L307" s="4"/>
    </row>
    <row r="308" spans="1:12" ht="32" outlineLevel="2" collapsed="1" x14ac:dyDescent="0.2">
      <c r="A308" s="4" t="s">
        <v>21</v>
      </c>
      <c r="B308" s="4" t="s">
        <v>16</v>
      </c>
      <c r="C308" s="4" t="s">
        <v>2</v>
      </c>
      <c r="D308" s="4" t="s">
        <v>2120</v>
      </c>
      <c r="E308" s="12" t="s">
        <v>1231</v>
      </c>
      <c r="F308" s="4"/>
      <c r="G308" s="4" t="s">
        <v>15</v>
      </c>
      <c r="H308" s="4"/>
      <c r="I308" s="4" t="s">
        <v>2</v>
      </c>
      <c r="J308" s="4" t="s">
        <v>2</v>
      </c>
      <c r="L308" s="4"/>
    </row>
    <row r="309" spans="1:12" ht="100" outlineLevel="2" x14ac:dyDescent="0.2">
      <c r="A309" s="4" t="s">
        <v>15</v>
      </c>
      <c r="B309" s="4" t="s">
        <v>25</v>
      </c>
      <c r="C309" s="6" t="s">
        <v>365</v>
      </c>
      <c r="D309" s="4"/>
      <c r="E309" s="13" t="s">
        <v>1235</v>
      </c>
      <c r="F309" s="4"/>
      <c r="G309" s="4" t="s">
        <v>15</v>
      </c>
      <c r="H309" s="4"/>
      <c r="I309" s="4"/>
      <c r="J309" s="4"/>
      <c r="L309" s="4"/>
    </row>
    <row r="310" spans="1:12" ht="32" outlineLevel="2" collapsed="1" x14ac:dyDescent="0.2">
      <c r="A310" s="4" t="s">
        <v>21</v>
      </c>
      <c r="B310" s="4" t="s">
        <v>16</v>
      </c>
      <c r="C310" s="4" t="s">
        <v>2</v>
      </c>
      <c r="D310" s="4" t="s">
        <v>2121</v>
      </c>
      <c r="E310" s="12" t="s">
        <v>1231</v>
      </c>
      <c r="F310" s="4"/>
      <c r="G310" s="4" t="s">
        <v>15</v>
      </c>
      <c r="H310" s="4"/>
      <c r="I310" s="4" t="s">
        <v>2</v>
      </c>
      <c r="J310" s="4" t="s">
        <v>2</v>
      </c>
      <c r="L310" s="4"/>
    </row>
    <row r="311" spans="1:12" ht="75" outlineLevel="2" x14ac:dyDescent="0.2">
      <c r="A311" s="4" t="s">
        <v>15</v>
      </c>
      <c r="B311" s="4" t="s">
        <v>25</v>
      </c>
      <c r="C311" s="6" t="s">
        <v>365</v>
      </c>
      <c r="D311" s="4"/>
      <c r="E311" s="13" t="s">
        <v>1236</v>
      </c>
      <c r="F311" s="4"/>
      <c r="G311" s="4" t="s">
        <v>15</v>
      </c>
      <c r="H311" s="4"/>
      <c r="I311" s="4"/>
      <c r="J311" s="4"/>
      <c r="L311" s="4"/>
    </row>
    <row r="312" spans="1:12" ht="32" outlineLevel="2" collapsed="1" x14ac:dyDescent="0.2">
      <c r="A312" s="4" t="s">
        <v>21</v>
      </c>
      <c r="B312" s="4" t="s">
        <v>16</v>
      </c>
      <c r="C312" s="4" t="s">
        <v>2</v>
      </c>
      <c r="D312" s="4" t="s">
        <v>2122</v>
      </c>
      <c r="E312" s="12" t="s">
        <v>1231</v>
      </c>
      <c r="F312" s="4"/>
      <c r="G312" s="4" t="s">
        <v>15</v>
      </c>
      <c r="H312" s="4"/>
      <c r="I312" s="4" t="s">
        <v>2</v>
      </c>
      <c r="J312" s="4" t="s">
        <v>2</v>
      </c>
      <c r="L312" s="4"/>
    </row>
    <row r="313" spans="1:12" ht="25" outlineLevel="2" x14ac:dyDescent="0.2">
      <c r="A313" s="4" t="s">
        <v>15</v>
      </c>
      <c r="B313" s="4" t="s">
        <v>25</v>
      </c>
      <c r="C313" s="6" t="s">
        <v>365</v>
      </c>
      <c r="D313" s="4"/>
      <c r="E313" s="13" t="s">
        <v>1237</v>
      </c>
      <c r="F313" s="4"/>
      <c r="G313" s="4" t="s">
        <v>15</v>
      </c>
      <c r="H313" s="4"/>
      <c r="I313" s="4"/>
      <c r="J313" s="4"/>
      <c r="L313" s="4"/>
    </row>
    <row r="314" spans="1:12" ht="50" outlineLevel="2" x14ac:dyDescent="0.2">
      <c r="A314" s="4" t="s">
        <v>15</v>
      </c>
      <c r="B314" s="4" t="s">
        <v>25</v>
      </c>
      <c r="C314" s="6" t="s">
        <v>365</v>
      </c>
      <c r="D314" s="4"/>
      <c r="E314" s="13" t="s">
        <v>1241</v>
      </c>
      <c r="F314" s="4"/>
      <c r="G314" s="4" t="s">
        <v>15</v>
      </c>
      <c r="H314" s="4"/>
      <c r="I314" s="4"/>
      <c r="J314" s="4"/>
      <c r="L314" s="4"/>
    </row>
    <row r="315" spans="1:12" ht="50" outlineLevel="2" x14ac:dyDescent="0.2">
      <c r="A315" s="4" t="s">
        <v>15</v>
      </c>
      <c r="B315" s="4" t="s">
        <v>25</v>
      </c>
      <c r="C315" s="6" t="s">
        <v>365</v>
      </c>
      <c r="D315" s="4"/>
      <c r="E315" s="13" t="s">
        <v>1242</v>
      </c>
      <c r="F315" s="4"/>
      <c r="G315" s="4" t="s">
        <v>15</v>
      </c>
      <c r="H315" s="4"/>
      <c r="I315" s="4"/>
      <c r="J315" s="4"/>
      <c r="L315" s="4"/>
    </row>
    <row r="316" spans="1:12" ht="32" outlineLevel="2" collapsed="1" x14ac:dyDescent="0.2">
      <c r="A316" s="4" t="s">
        <v>21</v>
      </c>
      <c r="B316" s="4" t="s">
        <v>16</v>
      </c>
      <c r="C316" s="4" t="s">
        <v>2</v>
      </c>
      <c r="D316" s="4" t="s">
        <v>2123</v>
      </c>
      <c r="E316" s="12" t="s">
        <v>1231</v>
      </c>
      <c r="F316" s="4"/>
      <c r="G316" s="4" t="s">
        <v>15</v>
      </c>
      <c r="H316" s="4"/>
      <c r="I316" s="4" t="s">
        <v>2</v>
      </c>
      <c r="J316" s="4" t="s">
        <v>2</v>
      </c>
      <c r="L316" s="4"/>
    </row>
    <row r="317" spans="1:12" ht="125" outlineLevel="2" x14ac:dyDescent="0.2">
      <c r="A317" s="4" t="s">
        <v>15</v>
      </c>
      <c r="B317" s="4" t="s">
        <v>25</v>
      </c>
      <c r="C317" s="6" t="s">
        <v>365</v>
      </c>
      <c r="D317" s="4"/>
      <c r="E317" s="13" t="s">
        <v>1238</v>
      </c>
      <c r="F317" s="4"/>
      <c r="G317" s="4" t="s">
        <v>15</v>
      </c>
      <c r="H317" s="4"/>
      <c r="I317" s="4"/>
      <c r="J317" s="4"/>
      <c r="L317" s="4"/>
    </row>
    <row r="318" spans="1:12" ht="32" outlineLevel="2" collapsed="1" x14ac:dyDescent="0.2">
      <c r="A318" s="4" t="s">
        <v>21</v>
      </c>
      <c r="B318" s="4" t="s">
        <v>16</v>
      </c>
      <c r="C318" s="4" t="s">
        <v>2</v>
      </c>
      <c r="D318" s="4" t="s">
        <v>2124</v>
      </c>
      <c r="E318" s="12" t="s">
        <v>1231</v>
      </c>
      <c r="F318" s="4"/>
      <c r="G318" s="4" t="s">
        <v>15</v>
      </c>
      <c r="H318" s="4"/>
      <c r="I318" s="4" t="s">
        <v>2</v>
      </c>
      <c r="J318" s="4" t="s">
        <v>2</v>
      </c>
      <c r="L318" s="4"/>
    </row>
    <row r="319" spans="1:12" ht="225" outlineLevel="2" x14ac:dyDescent="0.2">
      <c r="A319" s="4" t="s">
        <v>15</v>
      </c>
      <c r="B319" s="4" t="s">
        <v>25</v>
      </c>
      <c r="C319" s="6" t="s">
        <v>365</v>
      </c>
      <c r="D319" s="4"/>
      <c r="E319" s="13" t="s">
        <v>1239</v>
      </c>
      <c r="F319" s="4"/>
      <c r="G319" s="4" t="s">
        <v>15</v>
      </c>
      <c r="H319" s="4"/>
      <c r="I319" s="4"/>
      <c r="J319" s="4"/>
      <c r="L319" s="4"/>
    </row>
    <row r="320" spans="1:12" ht="32" outlineLevel="2" collapsed="1" x14ac:dyDescent="0.2">
      <c r="A320" s="4" t="s">
        <v>21</v>
      </c>
      <c r="B320" s="4" t="s">
        <v>16</v>
      </c>
      <c r="C320" s="4" t="s">
        <v>2</v>
      </c>
      <c r="D320" s="4" t="s">
        <v>2125</v>
      </c>
      <c r="E320" s="12" t="s">
        <v>1231</v>
      </c>
      <c r="F320" s="4"/>
      <c r="G320" s="4" t="s">
        <v>15</v>
      </c>
      <c r="H320" s="4"/>
      <c r="I320" s="4" t="s">
        <v>2</v>
      </c>
      <c r="J320" s="4" t="s">
        <v>2</v>
      </c>
      <c r="L320" s="4"/>
    </row>
    <row r="321" spans="1:12" ht="100" outlineLevel="2" x14ac:dyDescent="0.2">
      <c r="A321" s="4" t="s">
        <v>15</v>
      </c>
      <c r="B321" s="4" t="s">
        <v>25</v>
      </c>
      <c r="C321" s="6" t="s">
        <v>365</v>
      </c>
      <c r="D321" s="4"/>
      <c r="E321" s="13" t="s">
        <v>1240</v>
      </c>
      <c r="F321" s="4"/>
      <c r="G321" s="4" t="s">
        <v>15</v>
      </c>
      <c r="H321" s="4"/>
      <c r="I321" s="4"/>
      <c r="J321" s="4"/>
      <c r="L321" s="4"/>
    </row>
    <row r="322" spans="1:12" ht="32" outlineLevel="2" collapsed="1" x14ac:dyDescent="0.2">
      <c r="A322" s="4" t="s">
        <v>21</v>
      </c>
      <c r="B322" s="4" t="s">
        <v>16</v>
      </c>
      <c r="C322" s="4" t="s">
        <v>2</v>
      </c>
      <c r="D322" s="4" t="s">
        <v>2126</v>
      </c>
      <c r="E322" s="12" t="s">
        <v>1231</v>
      </c>
      <c r="F322" s="4"/>
      <c r="G322" s="4" t="s">
        <v>15</v>
      </c>
      <c r="H322" s="4"/>
      <c r="I322" s="4" t="s">
        <v>2</v>
      </c>
      <c r="J322" s="4" t="s">
        <v>2</v>
      </c>
      <c r="L322" s="4"/>
    </row>
    <row r="323" spans="1:12" ht="100" outlineLevel="2" x14ac:dyDescent="0.2">
      <c r="A323" s="4" t="s">
        <v>15</v>
      </c>
      <c r="B323" s="4" t="s">
        <v>25</v>
      </c>
      <c r="C323" s="6" t="s">
        <v>365</v>
      </c>
      <c r="D323" s="4"/>
      <c r="E323" s="13" t="s">
        <v>1243</v>
      </c>
      <c r="F323" s="4"/>
      <c r="G323" s="4" t="s">
        <v>15</v>
      </c>
      <c r="H323" s="4"/>
      <c r="I323" s="4"/>
      <c r="J323" s="4"/>
      <c r="L323" s="4"/>
    </row>
    <row r="324" spans="1:12" ht="32" outlineLevel="2" collapsed="1" x14ac:dyDescent="0.2">
      <c r="A324" s="4" t="s">
        <v>21</v>
      </c>
      <c r="B324" s="4" t="s">
        <v>16</v>
      </c>
      <c r="C324" s="4" t="s">
        <v>2</v>
      </c>
      <c r="D324" s="4" t="s">
        <v>2127</v>
      </c>
      <c r="E324" s="12" t="s">
        <v>1231</v>
      </c>
      <c r="F324" s="4"/>
      <c r="G324" s="4" t="s">
        <v>15</v>
      </c>
      <c r="H324" s="4"/>
      <c r="I324" s="4" t="s">
        <v>2</v>
      </c>
      <c r="J324" s="4" t="s">
        <v>2</v>
      </c>
      <c r="L324" s="4"/>
    </row>
    <row r="325" spans="1:12" ht="225" outlineLevel="2" x14ac:dyDescent="0.2">
      <c r="A325" s="4" t="s">
        <v>15</v>
      </c>
      <c r="B325" s="4" t="s">
        <v>25</v>
      </c>
      <c r="C325" s="6" t="s">
        <v>365</v>
      </c>
      <c r="D325" s="4"/>
      <c r="E325" s="13" t="s">
        <v>1244</v>
      </c>
      <c r="F325" s="4"/>
      <c r="G325" s="4" t="s">
        <v>15</v>
      </c>
      <c r="H325" s="4"/>
      <c r="I325" s="4"/>
      <c r="J325" s="4"/>
      <c r="L325" s="4"/>
    </row>
    <row r="326" spans="1:12" ht="33" customHeight="1" outlineLevel="2" collapsed="1" x14ac:dyDescent="0.2">
      <c r="A326" s="4" t="s">
        <v>21</v>
      </c>
      <c r="B326" s="4" t="s">
        <v>16</v>
      </c>
      <c r="C326" s="4" t="s">
        <v>2</v>
      </c>
      <c r="D326" s="4" t="s">
        <v>2128</v>
      </c>
      <c r="E326" s="12" t="s">
        <v>1231</v>
      </c>
      <c r="F326" s="4"/>
      <c r="G326" s="4" t="s">
        <v>15</v>
      </c>
      <c r="H326" s="4"/>
      <c r="I326" s="4" t="s">
        <v>2</v>
      </c>
      <c r="J326" s="4" t="s">
        <v>2</v>
      </c>
      <c r="L326" s="4"/>
    </row>
    <row r="327" spans="1:12" ht="200" outlineLevel="2" x14ac:dyDescent="0.2">
      <c r="A327" s="4" t="s">
        <v>15</v>
      </c>
      <c r="B327" s="4" t="s">
        <v>25</v>
      </c>
      <c r="C327" s="6" t="s">
        <v>365</v>
      </c>
      <c r="D327" s="4"/>
      <c r="E327" s="13" t="s">
        <v>1245</v>
      </c>
      <c r="F327" s="4"/>
      <c r="G327" s="4" t="s">
        <v>15</v>
      </c>
      <c r="H327" s="4"/>
      <c r="I327" s="4"/>
      <c r="J327" s="4"/>
      <c r="L327" s="4"/>
    </row>
    <row r="328" spans="1:12" ht="33" customHeight="1" outlineLevel="2" collapsed="1" x14ac:dyDescent="0.2">
      <c r="A328" s="4" t="s">
        <v>21</v>
      </c>
      <c r="B328" s="4" t="s">
        <v>16</v>
      </c>
      <c r="C328" s="4" t="s">
        <v>2</v>
      </c>
      <c r="D328" s="4" t="s">
        <v>2129</v>
      </c>
      <c r="E328" s="12" t="s">
        <v>1231</v>
      </c>
      <c r="F328" s="4"/>
      <c r="G328" s="4" t="s">
        <v>15</v>
      </c>
      <c r="H328" s="4"/>
      <c r="I328" s="4" t="s">
        <v>2</v>
      </c>
      <c r="J328" s="4" t="s">
        <v>2</v>
      </c>
      <c r="L328" s="4"/>
    </row>
    <row r="329" spans="1:12" ht="409.6" outlineLevel="2" x14ac:dyDescent="0.2">
      <c r="A329" s="4" t="s">
        <v>15</v>
      </c>
      <c r="B329" s="4" t="s">
        <v>25</v>
      </c>
      <c r="C329" s="6" t="s">
        <v>365</v>
      </c>
      <c r="D329" s="4"/>
      <c r="E329" s="13" t="s">
        <v>1246</v>
      </c>
      <c r="F329" s="4"/>
      <c r="G329" s="4" t="s">
        <v>15</v>
      </c>
      <c r="H329" s="4"/>
      <c r="I329" s="4"/>
      <c r="J329" s="4"/>
      <c r="L329" s="4"/>
    </row>
    <row r="330" spans="1:12" ht="33" customHeight="1" outlineLevel="2" collapsed="1" x14ac:dyDescent="0.2">
      <c r="A330" s="4" t="s">
        <v>21</v>
      </c>
      <c r="B330" s="4" t="s">
        <v>16</v>
      </c>
      <c r="C330" s="4" t="s">
        <v>2</v>
      </c>
      <c r="D330" s="4" t="s">
        <v>2130</v>
      </c>
      <c r="E330" s="12" t="s">
        <v>1231</v>
      </c>
      <c r="F330" s="4"/>
      <c r="G330" s="4" t="s">
        <v>15</v>
      </c>
      <c r="H330" s="4"/>
      <c r="I330" s="4" t="s">
        <v>2</v>
      </c>
      <c r="J330" s="4" t="s">
        <v>2</v>
      </c>
      <c r="L330" s="4"/>
    </row>
    <row r="331" spans="1:12" ht="25" outlineLevel="2" collapsed="1" x14ac:dyDescent="0.2">
      <c r="A331" s="4" t="s">
        <v>15</v>
      </c>
      <c r="B331" s="4" t="s">
        <v>25</v>
      </c>
      <c r="C331" s="6" t="s">
        <v>365</v>
      </c>
      <c r="D331" s="4"/>
      <c r="E331" s="13" t="s">
        <v>1247</v>
      </c>
      <c r="F331" s="4"/>
      <c r="G331" s="4" t="s">
        <v>15</v>
      </c>
      <c r="H331" s="4" t="s">
        <v>2</v>
      </c>
      <c r="I331" s="4" t="s">
        <v>2</v>
      </c>
      <c r="J331" s="4" t="s">
        <v>2</v>
      </c>
      <c r="L331" s="4"/>
    </row>
    <row r="332" spans="1:12" ht="225" outlineLevel="2" x14ac:dyDescent="0.2">
      <c r="A332" s="4" t="s">
        <v>15</v>
      </c>
      <c r="B332" s="4" t="s">
        <v>25</v>
      </c>
      <c r="C332" s="6" t="s">
        <v>365</v>
      </c>
      <c r="D332" s="4"/>
      <c r="E332" s="13" t="s">
        <v>1248</v>
      </c>
      <c r="F332" s="4"/>
      <c r="G332" s="4" t="s">
        <v>15</v>
      </c>
      <c r="H332" s="4"/>
      <c r="I332" s="4"/>
      <c r="J332" s="4"/>
      <c r="L332" s="4"/>
    </row>
    <row r="333" spans="1:12" ht="32" outlineLevel="2" collapsed="1" x14ac:dyDescent="0.2">
      <c r="A333" s="4" t="s">
        <v>21</v>
      </c>
      <c r="B333" s="4" t="s">
        <v>16</v>
      </c>
      <c r="C333" s="4" t="s">
        <v>2</v>
      </c>
      <c r="D333" s="4" t="s">
        <v>2131</v>
      </c>
      <c r="E333" s="12" t="s">
        <v>1231</v>
      </c>
      <c r="F333" s="4"/>
      <c r="G333" s="4" t="s">
        <v>15</v>
      </c>
      <c r="H333" s="4"/>
      <c r="I333" s="4" t="s">
        <v>2</v>
      </c>
      <c r="J333" s="4" t="s">
        <v>2</v>
      </c>
      <c r="L333" s="4"/>
    </row>
    <row r="334" spans="1:12" ht="409.6" outlineLevel="2" x14ac:dyDescent="0.2">
      <c r="A334" s="4" t="s">
        <v>15</v>
      </c>
      <c r="B334" s="4" t="s">
        <v>25</v>
      </c>
      <c r="C334" s="6" t="s">
        <v>365</v>
      </c>
      <c r="D334" s="4"/>
      <c r="E334" s="13" t="s">
        <v>1249</v>
      </c>
      <c r="F334" s="4"/>
      <c r="G334" s="4" t="s">
        <v>15</v>
      </c>
      <c r="H334" s="4"/>
      <c r="I334" s="4"/>
      <c r="J334" s="4"/>
      <c r="L334" s="4"/>
    </row>
    <row r="335" spans="1:12" ht="32" outlineLevel="2" collapsed="1" x14ac:dyDescent="0.2">
      <c r="A335" s="4" t="s">
        <v>21</v>
      </c>
      <c r="B335" s="4" t="s">
        <v>16</v>
      </c>
      <c r="C335" s="4" t="s">
        <v>2</v>
      </c>
      <c r="D335" s="4" t="s">
        <v>2132</v>
      </c>
      <c r="E335" s="12" t="s">
        <v>1231</v>
      </c>
      <c r="F335" s="4"/>
      <c r="G335" s="4" t="s">
        <v>15</v>
      </c>
      <c r="H335" s="4"/>
      <c r="I335" s="4" t="s">
        <v>2</v>
      </c>
      <c r="J335" s="4" t="s">
        <v>2</v>
      </c>
      <c r="L335" s="4"/>
    </row>
    <row r="336" spans="1:12" ht="175" outlineLevel="2" x14ac:dyDescent="0.2">
      <c r="A336" s="4" t="s">
        <v>15</v>
      </c>
      <c r="B336" s="4" t="s">
        <v>25</v>
      </c>
      <c r="C336" s="6" t="s">
        <v>365</v>
      </c>
      <c r="D336" s="4"/>
      <c r="E336" s="13" t="s">
        <v>1250</v>
      </c>
      <c r="F336" s="4"/>
      <c r="G336" s="4" t="s">
        <v>15</v>
      </c>
      <c r="H336" s="4"/>
      <c r="I336" s="4"/>
      <c r="J336" s="4"/>
      <c r="L336" s="4"/>
    </row>
    <row r="337" spans="1:12" ht="32" outlineLevel="2" collapsed="1" x14ac:dyDescent="0.2">
      <c r="A337" s="4" t="s">
        <v>21</v>
      </c>
      <c r="B337" s="4" t="s">
        <v>16</v>
      </c>
      <c r="C337" s="4" t="s">
        <v>2</v>
      </c>
      <c r="D337" s="4" t="s">
        <v>2133</v>
      </c>
      <c r="E337" s="12" t="s">
        <v>1231</v>
      </c>
      <c r="F337" s="4"/>
      <c r="G337" s="4" t="s">
        <v>15</v>
      </c>
      <c r="H337" s="4"/>
      <c r="I337" s="4" t="s">
        <v>2</v>
      </c>
      <c r="J337" s="4" t="s">
        <v>2</v>
      </c>
      <c r="L337" s="4"/>
    </row>
    <row r="338" spans="1:12" ht="300" outlineLevel="2" x14ac:dyDescent="0.2">
      <c r="A338" s="4" t="s">
        <v>15</v>
      </c>
      <c r="B338" s="4" t="s">
        <v>25</v>
      </c>
      <c r="C338" s="6" t="s">
        <v>365</v>
      </c>
      <c r="D338" s="4"/>
      <c r="E338" s="13" t="s">
        <v>1251</v>
      </c>
      <c r="F338" s="4"/>
      <c r="G338" s="4" t="s">
        <v>15</v>
      </c>
      <c r="H338" s="4"/>
      <c r="I338" s="4"/>
      <c r="J338" s="4"/>
      <c r="L338" s="4"/>
    </row>
    <row r="339" spans="1:12" ht="32" outlineLevel="2" collapsed="1" x14ac:dyDescent="0.2">
      <c r="A339" s="4" t="s">
        <v>21</v>
      </c>
      <c r="B339" s="4" t="s">
        <v>16</v>
      </c>
      <c r="C339" s="4" t="s">
        <v>2</v>
      </c>
      <c r="D339" s="4" t="s">
        <v>2134</v>
      </c>
      <c r="E339" s="12" t="s">
        <v>1231</v>
      </c>
      <c r="F339" s="4"/>
      <c r="G339" s="4" t="s">
        <v>15</v>
      </c>
      <c r="H339" s="4"/>
      <c r="I339" s="4" t="s">
        <v>2</v>
      </c>
      <c r="J339" s="4" t="s">
        <v>2</v>
      </c>
      <c r="L339" s="4"/>
    </row>
    <row r="340" spans="1:12" ht="50" outlineLevel="2" x14ac:dyDescent="0.2">
      <c r="A340" s="4" t="s">
        <v>15</v>
      </c>
      <c r="B340" s="4" t="s">
        <v>25</v>
      </c>
      <c r="C340" s="6" t="s">
        <v>365</v>
      </c>
      <c r="D340" s="4"/>
      <c r="E340" s="13" t="s">
        <v>1252</v>
      </c>
      <c r="F340" s="4"/>
      <c r="G340" s="4" t="s">
        <v>15</v>
      </c>
      <c r="H340" s="4"/>
      <c r="I340" s="4"/>
      <c r="J340" s="4"/>
      <c r="L340" s="4"/>
    </row>
    <row r="341" spans="1:12" ht="150" outlineLevel="2" x14ac:dyDescent="0.2">
      <c r="A341" s="4" t="s">
        <v>15</v>
      </c>
      <c r="B341" s="4" t="s">
        <v>25</v>
      </c>
      <c r="C341" s="6" t="s">
        <v>365</v>
      </c>
      <c r="D341" s="4"/>
      <c r="E341" s="13" t="s">
        <v>1253</v>
      </c>
      <c r="F341" s="4"/>
      <c r="G341" s="4" t="s">
        <v>15</v>
      </c>
      <c r="H341" s="4"/>
      <c r="I341" s="4"/>
      <c r="J341" s="4"/>
      <c r="L341" s="4"/>
    </row>
    <row r="342" spans="1:12" ht="32" outlineLevel="2" collapsed="1" x14ac:dyDescent="0.2">
      <c r="A342" s="4" t="s">
        <v>21</v>
      </c>
      <c r="B342" s="4" t="s">
        <v>16</v>
      </c>
      <c r="C342" s="4" t="s">
        <v>2</v>
      </c>
      <c r="D342" s="4" t="s">
        <v>2135</v>
      </c>
      <c r="E342" s="12" t="s">
        <v>1231</v>
      </c>
      <c r="F342" s="4"/>
      <c r="G342" s="4" t="s">
        <v>15</v>
      </c>
      <c r="H342" s="4"/>
      <c r="I342" s="4" t="s">
        <v>2</v>
      </c>
      <c r="J342" s="4" t="s">
        <v>2</v>
      </c>
      <c r="L342" s="4"/>
    </row>
    <row r="343" spans="1:12" ht="125" outlineLevel="2" x14ac:dyDescent="0.2">
      <c r="A343" s="4" t="s">
        <v>15</v>
      </c>
      <c r="B343" s="4" t="s">
        <v>25</v>
      </c>
      <c r="C343" s="6" t="s">
        <v>365</v>
      </c>
      <c r="D343" s="4"/>
      <c r="E343" s="13" t="s">
        <v>1254</v>
      </c>
      <c r="F343" s="4"/>
      <c r="G343" s="4" t="s">
        <v>15</v>
      </c>
      <c r="H343" s="4"/>
      <c r="I343" s="4"/>
      <c r="J343" s="4"/>
      <c r="L343" s="4"/>
    </row>
    <row r="344" spans="1:12" ht="32" outlineLevel="2" collapsed="1" x14ac:dyDescent="0.2">
      <c r="A344" s="4" t="s">
        <v>21</v>
      </c>
      <c r="B344" s="4" t="s">
        <v>16</v>
      </c>
      <c r="C344" s="4" t="s">
        <v>2</v>
      </c>
      <c r="D344" s="4" t="s">
        <v>2136</v>
      </c>
      <c r="E344" s="12" t="s">
        <v>1231</v>
      </c>
      <c r="F344" s="4"/>
      <c r="G344" s="4" t="s">
        <v>15</v>
      </c>
      <c r="H344" s="4"/>
      <c r="I344" s="4" t="s">
        <v>2</v>
      </c>
      <c r="J344" s="4" t="s">
        <v>2</v>
      </c>
      <c r="L344" s="4"/>
    </row>
    <row r="345" spans="1:12" ht="175" outlineLevel="2" x14ac:dyDescent="0.2">
      <c r="A345" s="4" t="s">
        <v>15</v>
      </c>
      <c r="B345" s="4" t="s">
        <v>25</v>
      </c>
      <c r="C345" s="6" t="s">
        <v>365</v>
      </c>
      <c r="D345" s="4"/>
      <c r="E345" s="13" t="s">
        <v>1255</v>
      </c>
      <c r="F345" s="4"/>
      <c r="G345" s="4" t="s">
        <v>15</v>
      </c>
      <c r="H345" s="4"/>
      <c r="I345" s="4"/>
      <c r="J345" s="4"/>
      <c r="L345" s="4"/>
    </row>
    <row r="346" spans="1:12" ht="32" outlineLevel="2" collapsed="1" x14ac:dyDescent="0.2">
      <c r="A346" s="4" t="s">
        <v>21</v>
      </c>
      <c r="B346" s="4" t="s">
        <v>16</v>
      </c>
      <c r="C346" s="4" t="s">
        <v>2</v>
      </c>
      <c r="D346" s="4" t="s">
        <v>2137</v>
      </c>
      <c r="E346" s="12" t="s">
        <v>1231</v>
      </c>
      <c r="F346" s="4"/>
      <c r="G346" s="4" t="s">
        <v>15</v>
      </c>
      <c r="H346" s="4"/>
      <c r="I346" s="4" t="s">
        <v>2</v>
      </c>
      <c r="J346" s="4" t="s">
        <v>2</v>
      </c>
      <c r="L346" s="4"/>
    </row>
    <row r="347" spans="1:12" ht="16" outlineLevel="2" x14ac:dyDescent="0.2">
      <c r="A347" s="17" t="s">
        <v>21</v>
      </c>
      <c r="B347" t="s">
        <v>1178</v>
      </c>
      <c r="C347" s="17" t="s">
        <v>2350</v>
      </c>
      <c r="D347" s="17" t="s">
        <v>2078</v>
      </c>
      <c r="E347" s="15" t="s">
        <v>1087</v>
      </c>
      <c r="F347" s="17"/>
      <c r="G347" s="17" t="s">
        <v>15</v>
      </c>
      <c r="H347" s="17" t="s">
        <v>2</v>
      </c>
      <c r="I347" s="17" t="s">
        <v>2</v>
      </c>
      <c r="J347" s="17" t="s">
        <v>2</v>
      </c>
      <c r="L347" s="17"/>
    </row>
    <row r="348" spans="1:12" ht="32" outlineLevel="3" collapsed="1" x14ac:dyDescent="0.2">
      <c r="A348" s="4" t="s">
        <v>15</v>
      </c>
      <c r="B348" s="4" t="s">
        <v>25</v>
      </c>
      <c r="C348" s="4" t="s">
        <v>2</v>
      </c>
      <c r="D348" s="4"/>
      <c r="E348" s="12" t="s">
        <v>1088</v>
      </c>
      <c r="F348" s="4"/>
      <c r="G348" s="4" t="s">
        <v>15</v>
      </c>
      <c r="H348" s="4" t="s">
        <v>2</v>
      </c>
      <c r="I348" s="4" t="s">
        <v>2</v>
      </c>
      <c r="J348" s="4" t="s">
        <v>2</v>
      </c>
      <c r="L348" s="4"/>
    </row>
    <row r="349" spans="1:12" ht="25" outlineLevel="3" collapsed="1" x14ac:dyDescent="0.2">
      <c r="A349" s="17" t="s">
        <v>15</v>
      </c>
      <c r="B349" s="17" t="s">
        <v>25</v>
      </c>
      <c r="C349" s="18" t="s">
        <v>365</v>
      </c>
      <c r="D349" s="17"/>
      <c r="E349" s="19" t="s">
        <v>1259</v>
      </c>
      <c r="F349" s="17"/>
      <c r="G349" s="17" t="s">
        <v>15</v>
      </c>
      <c r="H349" s="17" t="s">
        <v>2</v>
      </c>
      <c r="I349" s="17" t="s">
        <v>2</v>
      </c>
      <c r="J349" s="17" t="s">
        <v>2</v>
      </c>
      <c r="L349" s="17"/>
    </row>
    <row r="350" spans="1:12" ht="25" outlineLevel="3" collapsed="1" x14ac:dyDescent="0.2">
      <c r="A350" s="17" t="s">
        <v>15</v>
      </c>
      <c r="B350" s="17" t="s">
        <v>25</v>
      </c>
      <c r="C350" s="18" t="s">
        <v>365</v>
      </c>
      <c r="D350" s="17"/>
      <c r="E350" s="19" t="s">
        <v>1258</v>
      </c>
      <c r="F350" s="17"/>
      <c r="G350" s="17" t="s">
        <v>15</v>
      </c>
      <c r="H350" s="17" t="s">
        <v>2</v>
      </c>
      <c r="I350" s="17" t="s">
        <v>2</v>
      </c>
      <c r="J350" s="17" t="s">
        <v>2</v>
      </c>
      <c r="L350" s="17"/>
    </row>
    <row r="351" spans="1:12" ht="16" outlineLevel="3" collapsed="1" x14ac:dyDescent="0.2">
      <c r="A351" s="17" t="s">
        <v>15</v>
      </c>
      <c r="B351" s="17" t="s">
        <v>22</v>
      </c>
      <c r="C351" t="s">
        <v>2239</v>
      </c>
      <c r="D351" s="17" t="s">
        <v>2155</v>
      </c>
      <c r="E351" s="15" t="s">
        <v>2164</v>
      </c>
      <c r="F351" s="17"/>
      <c r="G351" s="17" t="s">
        <v>15</v>
      </c>
      <c r="H351" s="17"/>
      <c r="I351" s="17" t="s">
        <v>2173</v>
      </c>
      <c r="J351" s="17" t="s">
        <v>2</v>
      </c>
      <c r="L351" s="17"/>
    </row>
    <row r="352" spans="1:12" ht="16" outlineLevel="3" collapsed="1" x14ac:dyDescent="0.2">
      <c r="A352" s="17" t="s">
        <v>21</v>
      </c>
      <c r="B352" s="17" t="s">
        <v>16</v>
      </c>
      <c r="C352" s="17"/>
      <c r="D352" s="17" t="s">
        <v>2154</v>
      </c>
      <c r="E352" s="15" t="s">
        <v>2237</v>
      </c>
      <c r="F352" s="17"/>
      <c r="G352" s="17" t="s">
        <v>15</v>
      </c>
      <c r="H352" s="17"/>
      <c r="I352" s="17" t="s">
        <v>2</v>
      </c>
      <c r="J352" s="17" t="s">
        <v>2</v>
      </c>
      <c r="L352" s="17"/>
    </row>
    <row r="353" spans="1:12" ht="16" outlineLevel="3" collapsed="1" x14ac:dyDescent="0.2">
      <c r="A353" s="17" t="s">
        <v>21</v>
      </c>
      <c r="B353" s="17" t="s">
        <v>22</v>
      </c>
      <c r="C353" t="s">
        <v>2239</v>
      </c>
      <c r="D353" s="17" t="s">
        <v>2156</v>
      </c>
      <c r="E353" s="15" t="s">
        <v>2163</v>
      </c>
      <c r="F353" s="17"/>
      <c r="G353" s="17" t="s">
        <v>15</v>
      </c>
      <c r="H353" s="17"/>
      <c r="I353" s="17" t="s">
        <v>2173</v>
      </c>
      <c r="J353" s="17" t="s">
        <v>2</v>
      </c>
      <c r="L353" s="17"/>
    </row>
    <row r="354" spans="1:12" ht="32" outlineLevel="3" collapsed="1" x14ac:dyDescent="0.2">
      <c r="A354" s="17" t="s">
        <v>21</v>
      </c>
      <c r="B354" s="17" t="s">
        <v>16</v>
      </c>
      <c r="C354" s="17" t="s">
        <v>2</v>
      </c>
      <c r="D354" s="17" t="s">
        <v>2157</v>
      </c>
      <c r="E354" s="15" t="s">
        <v>2161</v>
      </c>
      <c r="F354" s="17"/>
      <c r="G354" s="17" t="s">
        <v>15</v>
      </c>
      <c r="H354" s="17"/>
      <c r="I354" s="17" t="s">
        <v>2</v>
      </c>
      <c r="J354" s="17" t="s">
        <v>2</v>
      </c>
      <c r="L354" s="17"/>
    </row>
    <row r="355" spans="1:12" ht="16" outlineLevel="3" collapsed="1" x14ac:dyDescent="0.2">
      <c r="A355" s="17" t="s">
        <v>15</v>
      </c>
      <c r="B355" s="17" t="s">
        <v>22</v>
      </c>
      <c r="C355" t="s">
        <v>2239</v>
      </c>
      <c r="D355" s="17" t="s">
        <v>2158</v>
      </c>
      <c r="E355" s="15" t="s">
        <v>2165</v>
      </c>
      <c r="F355" s="17"/>
      <c r="G355" s="17" t="s">
        <v>15</v>
      </c>
      <c r="H355" s="17"/>
      <c r="I355" s="17" t="s">
        <v>2173</v>
      </c>
      <c r="J355" s="17" t="s">
        <v>2</v>
      </c>
      <c r="L355" s="17"/>
    </row>
    <row r="356" spans="1:12" ht="16" outlineLevel="3" collapsed="1" x14ac:dyDescent="0.2">
      <c r="A356" s="17" t="s">
        <v>15</v>
      </c>
      <c r="B356" s="17" t="s">
        <v>16</v>
      </c>
      <c r="C356" s="4"/>
      <c r="D356" s="17" t="s">
        <v>2159</v>
      </c>
      <c r="E356" s="58" t="s">
        <v>2162</v>
      </c>
      <c r="F356" s="17"/>
      <c r="G356" s="17" t="s">
        <v>15</v>
      </c>
      <c r="H356" s="17"/>
      <c r="I356" s="17" t="s">
        <v>2</v>
      </c>
      <c r="J356" s="17" t="s">
        <v>2</v>
      </c>
      <c r="L356" s="17"/>
    </row>
    <row r="357" spans="1:12" ht="25" outlineLevel="3" collapsed="1" x14ac:dyDescent="0.2">
      <c r="A357" s="17" t="s">
        <v>15</v>
      </c>
      <c r="B357" s="17" t="s">
        <v>25</v>
      </c>
      <c r="C357" s="18" t="s">
        <v>365</v>
      </c>
      <c r="D357" s="17"/>
      <c r="E357" s="19" t="s">
        <v>1256</v>
      </c>
      <c r="F357" s="17"/>
      <c r="G357" s="17" t="s">
        <v>15</v>
      </c>
      <c r="H357" s="17" t="s">
        <v>2</v>
      </c>
      <c r="I357" s="17" t="s">
        <v>2</v>
      </c>
      <c r="J357" s="17" t="s">
        <v>2</v>
      </c>
      <c r="L357" s="17"/>
    </row>
    <row r="358" spans="1:12" ht="16" outlineLevel="3" collapsed="1" x14ac:dyDescent="0.2">
      <c r="A358" s="17" t="s">
        <v>15</v>
      </c>
      <c r="B358" s="17" t="s">
        <v>22</v>
      </c>
      <c r="C358" t="s">
        <v>2239</v>
      </c>
      <c r="D358" s="17" t="s">
        <v>2166</v>
      </c>
      <c r="E358" s="15" t="s">
        <v>2164</v>
      </c>
      <c r="F358" s="17"/>
      <c r="G358" s="17" t="s">
        <v>15</v>
      </c>
      <c r="H358" s="17"/>
      <c r="I358" s="17" t="s">
        <v>2173</v>
      </c>
      <c r="J358" s="17" t="s">
        <v>2</v>
      </c>
      <c r="L358" s="17"/>
    </row>
    <row r="359" spans="1:12" ht="16" outlineLevel="3" collapsed="1" x14ac:dyDescent="0.2">
      <c r="A359" s="17" t="s">
        <v>21</v>
      </c>
      <c r="B359" s="17" t="s">
        <v>16</v>
      </c>
      <c r="C359" s="17"/>
      <c r="D359" s="17" t="s">
        <v>2167</v>
      </c>
      <c r="E359" s="15" t="s">
        <v>2160</v>
      </c>
      <c r="F359" s="17"/>
      <c r="G359" s="17" t="s">
        <v>15</v>
      </c>
      <c r="H359" s="17"/>
      <c r="I359" s="17" t="s">
        <v>2</v>
      </c>
      <c r="J359" s="17" t="s">
        <v>2</v>
      </c>
      <c r="L359" s="17"/>
    </row>
    <row r="360" spans="1:12" ht="16" outlineLevel="3" collapsed="1" x14ac:dyDescent="0.2">
      <c r="A360" s="17" t="s">
        <v>21</v>
      </c>
      <c r="B360" s="17" t="s">
        <v>22</v>
      </c>
      <c r="C360" t="s">
        <v>2239</v>
      </c>
      <c r="D360" s="17" t="s">
        <v>2168</v>
      </c>
      <c r="E360" s="15" t="s">
        <v>2163</v>
      </c>
      <c r="F360" s="17"/>
      <c r="G360" s="17" t="s">
        <v>15</v>
      </c>
      <c r="H360" s="17"/>
      <c r="I360" s="17" t="s">
        <v>2173</v>
      </c>
      <c r="J360" s="17" t="s">
        <v>2</v>
      </c>
      <c r="L360" s="17"/>
    </row>
    <row r="361" spans="1:12" ht="32" outlineLevel="3" collapsed="1" x14ac:dyDescent="0.2">
      <c r="A361" s="17" t="s">
        <v>21</v>
      </c>
      <c r="B361" s="17" t="s">
        <v>16</v>
      </c>
      <c r="C361" s="17" t="s">
        <v>2</v>
      </c>
      <c r="D361" s="17" t="s">
        <v>2169</v>
      </c>
      <c r="E361" s="15" t="s">
        <v>2161</v>
      </c>
      <c r="F361" s="17"/>
      <c r="G361" s="17" t="s">
        <v>15</v>
      </c>
      <c r="H361" s="17"/>
      <c r="I361" s="17" t="s">
        <v>2</v>
      </c>
      <c r="J361" s="17" t="s">
        <v>2</v>
      </c>
      <c r="L361" s="17"/>
    </row>
    <row r="362" spans="1:12" ht="16" outlineLevel="3" collapsed="1" x14ac:dyDescent="0.2">
      <c r="A362" s="17" t="s">
        <v>15</v>
      </c>
      <c r="B362" s="17" t="s">
        <v>22</v>
      </c>
      <c r="C362" t="s">
        <v>2239</v>
      </c>
      <c r="D362" s="17" t="s">
        <v>2170</v>
      </c>
      <c r="E362" s="15" t="s">
        <v>2165</v>
      </c>
      <c r="F362" s="17"/>
      <c r="G362" s="17" t="s">
        <v>15</v>
      </c>
      <c r="H362" s="17"/>
      <c r="I362" s="17" t="s">
        <v>2173</v>
      </c>
      <c r="J362" s="17" t="s">
        <v>2</v>
      </c>
      <c r="L362" s="17"/>
    </row>
    <row r="363" spans="1:12" ht="16" outlineLevel="3" collapsed="1" x14ac:dyDescent="0.2">
      <c r="A363" s="17" t="s">
        <v>15</v>
      </c>
      <c r="B363" s="17" t="s">
        <v>16</v>
      </c>
      <c r="C363" s="4"/>
      <c r="D363" s="17" t="s">
        <v>2171</v>
      </c>
      <c r="E363" s="58" t="s">
        <v>2162</v>
      </c>
      <c r="F363" s="17"/>
      <c r="G363" s="17" t="s">
        <v>15</v>
      </c>
      <c r="H363" s="17"/>
      <c r="I363" s="17" t="s">
        <v>2</v>
      </c>
      <c r="J363" s="17" t="s">
        <v>2</v>
      </c>
      <c r="L363" s="17"/>
    </row>
    <row r="364" spans="1:12" ht="25" outlineLevel="3" collapsed="1" x14ac:dyDescent="0.2">
      <c r="A364" s="17" t="s">
        <v>15</v>
      </c>
      <c r="B364" s="17" t="s">
        <v>25</v>
      </c>
      <c r="C364" s="18" t="s">
        <v>365</v>
      </c>
      <c r="D364" s="17"/>
      <c r="E364" s="19" t="s">
        <v>1257</v>
      </c>
      <c r="F364" s="17"/>
      <c r="G364" s="17" t="s">
        <v>15</v>
      </c>
      <c r="H364" s="17" t="s">
        <v>2</v>
      </c>
      <c r="I364" s="17" t="s">
        <v>2</v>
      </c>
      <c r="J364" s="17" t="s">
        <v>2</v>
      </c>
      <c r="L364" s="17"/>
    </row>
    <row r="365" spans="1:12" ht="16" outlineLevel="3" collapsed="1" x14ac:dyDescent="0.2">
      <c r="A365" s="17" t="s">
        <v>15</v>
      </c>
      <c r="B365" s="17" t="s">
        <v>22</v>
      </c>
      <c r="C365" t="s">
        <v>2239</v>
      </c>
      <c r="D365" s="17" t="s">
        <v>2175</v>
      </c>
      <c r="E365" s="15" t="s">
        <v>2164</v>
      </c>
      <c r="F365" s="17"/>
      <c r="G365" s="17" t="s">
        <v>15</v>
      </c>
      <c r="H365" s="17"/>
      <c r="I365" s="17" t="s">
        <v>2173</v>
      </c>
      <c r="J365" s="17" t="s">
        <v>2</v>
      </c>
      <c r="L365" s="17"/>
    </row>
    <row r="366" spans="1:12" ht="16" outlineLevel="3" collapsed="1" x14ac:dyDescent="0.2">
      <c r="A366" s="17" t="s">
        <v>21</v>
      </c>
      <c r="B366" s="17" t="s">
        <v>16</v>
      </c>
      <c r="C366" s="17"/>
      <c r="D366" s="17" t="s">
        <v>2176</v>
      </c>
      <c r="E366" s="15" t="s">
        <v>2160</v>
      </c>
      <c r="F366" s="17"/>
      <c r="G366" s="17" t="s">
        <v>15</v>
      </c>
      <c r="H366" s="17"/>
      <c r="I366" s="17" t="s">
        <v>2</v>
      </c>
      <c r="J366" s="17" t="s">
        <v>2</v>
      </c>
      <c r="L366" s="17"/>
    </row>
    <row r="367" spans="1:12" ht="16" outlineLevel="3" collapsed="1" x14ac:dyDescent="0.2">
      <c r="A367" s="17" t="s">
        <v>21</v>
      </c>
      <c r="B367" s="17" t="s">
        <v>22</v>
      </c>
      <c r="C367" t="s">
        <v>2239</v>
      </c>
      <c r="D367" s="17" t="s">
        <v>2177</v>
      </c>
      <c r="E367" s="15" t="s">
        <v>2163</v>
      </c>
      <c r="F367" s="17"/>
      <c r="G367" s="17" t="s">
        <v>15</v>
      </c>
      <c r="H367" s="17"/>
      <c r="I367" s="17" t="s">
        <v>2173</v>
      </c>
      <c r="J367" s="17" t="s">
        <v>2</v>
      </c>
      <c r="L367" s="17"/>
    </row>
    <row r="368" spans="1:12" ht="32" outlineLevel="3" collapsed="1" x14ac:dyDescent="0.2">
      <c r="A368" s="17" t="s">
        <v>21</v>
      </c>
      <c r="B368" s="17" t="s">
        <v>16</v>
      </c>
      <c r="C368" s="17" t="s">
        <v>2</v>
      </c>
      <c r="D368" s="17" t="s">
        <v>2178</v>
      </c>
      <c r="E368" s="15" t="s">
        <v>2161</v>
      </c>
      <c r="F368" s="17"/>
      <c r="G368" s="17" t="s">
        <v>15</v>
      </c>
      <c r="H368" s="17"/>
      <c r="I368" s="17" t="s">
        <v>2</v>
      </c>
      <c r="J368" s="17" t="s">
        <v>2</v>
      </c>
      <c r="L368" s="17"/>
    </row>
    <row r="369" spans="1:12" ht="16" outlineLevel="3" collapsed="1" x14ac:dyDescent="0.2">
      <c r="A369" s="17" t="s">
        <v>15</v>
      </c>
      <c r="B369" s="17" t="s">
        <v>22</v>
      </c>
      <c r="C369" t="s">
        <v>2239</v>
      </c>
      <c r="D369" s="17" t="s">
        <v>2179</v>
      </c>
      <c r="E369" s="15" t="s">
        <v>2165</v>
      </c>
      <c r="F369" s="17"/>
      <c r="G369" s="17" t="s">
        <v>15</v>
      </c>
      <c r="H369" s="17" t="s">
        <v>2</v>
      </c>
      <c r="I369" s="17" t="s">
        <v>2173</v>
      </c>
      <c r="J369" s="17" t="s">
        <v>2</v>
      </c>
      <c r="L369" s="17"/>
    </row>
    <row r="370" spans="1:12" ht="16" outlineLevel="3" collapsed="1" x14ac:dyDescent="0.2">
      <c r="A370" s="17" t="s">
        <v>15</v>
      </c>
      <c r="B370" s="17" t="s">
        <v>16</v>
      </c>
      <c r="C370" s="4"/>
      <c r="D370" s="17" t="s">
        <v>2180</v>
      </c>
      <c r="E370" s="58" t="s">
        <v>2162</v>
      </c>
      <c r="F370" s="17"/>
      <c r="G370" s="17" t="s">
        <v>15</v>
      </c>
      <c r="H370" s="17"/>
      <c r="I370" s="17" t="s">
        <v>2</v>
      </c>
      <c r="J370" s="17" t="s">
        <v>2</v>
      </c>
      <c r="L370" s="17"/>
    </row>
    <row r="371" spans="1:12" ht="25" outlineLevel="3" collapsed="1" x14ac:dyDescent="0.2">
      <c r="A371" s="17" t="s">
        <v>15</v>
      </c>
      <c r="B371" s="17" t="s">
        <v>25</v>
      </c>
      <c r="C371" s="18" t="s">
        <v>365</v>
      </c>
      <c r="D371" s="17"/>
      <c r="E371" s="19" t="s">
        <v>1260</v>
      </c>
      <c r="F371" s="17"/>
      <c r="G371" s="17" t="s">
        <v>15</v>
      </c>
      <c r="H371" s="17" t="s">
        <v>2</v>
      </c>
      <c r="I371" s="17" t="s">
        <v>2</v>
      </c>
      <c r="J371" s="17" t="s">
        <v>2</v>
      </c>
      <c r="L371" s="17"/>
    </row>
    <row r="372" spans="1:12" ht="25" outlineLevel="3" collapsed="1" x14ac:dyDescent="0.2">
      <c r="A372" s="17" t="s">
        <v>15</v>
      </c>
      <c r="B372" s="17" t="s">
        <v>25</v>
      </c>
      <c r="C372" s="18" t="s">
        <v>365</v>
      </c>
      <c r="D372" s="17"/>
      <c r="E372" s="19" t="s">
        <v>1258</v>
      </c>
      <c r="F372" s="17"/>
      <c r="G372" s="17" t="s">
        <v>15</v>
      </c>
      <c r="H372" s="17" t="s">
        <v>2</v>
      </c>
      <c r="I372" s="17" t="s">
        <v>2</v>
      </c>
      <c r="J372" s="17" t="s">
        <v>2</v>
      </c>
      <c r="L372" s="17"/>
    </row>
    <row r="373" spans="1:12" ht="16" outlineLevel="3" collapsed="1" x14ac:dyDescent="0.2">
      <c r="A373" s="17" t="s">
        <v>15</v>
      </c>
      <c r="B373" s="17" t="s">
        <v>22</v>
      </c>
      <c r="C373" t="s">
        <v>2239</v>
      </c>
      <c r="D373" s="17" t="s">
        <v>2183</v>
      </c>
      <c r="E373" s="15" t="s">
        <v>1292</v>
      </c>
      <c r="F373" s="17"/>
      <c r="G373" s="17" t="s">
        <v>15</v>
      </c>
      <c r="H373" s="17"/>
      <c r="I373" s="17" t="s">
        <v>2173</v>
      </c>
      <c r="J373" s="17" t="s">
        <v>2</v>
      </c>
      <c r="L373" s="17"/>
    </row>
    <row r="374" spans="1:12" ht="16" outlineLevel="3" collapsed="1" x14ac:dyDescent="0.2">
      <c r="A374" s="17" t="s">
        <v>21</v>
      </c>
      <c r="B374" s="17" t="s">
        <v>16</v>
      </c>
      <c r="C374" s="17" t="s">
        <v>2</v>
      </c>
      <c r="D374" s="17" t="s">
        <v>2184</v>
      </c>
      <c r="E374" s="15" t="s">
        <v>1293</v>
      </c>
      <c r="F374" s="17"/>
      <c r="G374" s="17" t="s">
        <v>15</v>
      </c>
      <c r="H374" s="17"/>
      <c r="I374" s="17" t="s">
        <v>2</v>
      </c>
      <c r="J374" s="17" t="s">
        <v>2</v>
      </c>
      <c r="L374" s="17"/>
    </row>
    <row r="375" spans="1:12" ht="32" outlineLevel="3" collapsed="1" x14ac:dyDescent="0.2">
      <c r="A375" s="17" t="s">
        <v>15</v>
      </c>
      <c r="B375" s="17" t="s">
        <v>22</v>
      </c>
      <c r="C375" t="s">
        <v>2239</v>
      </c>
      <c r="D375" s="22" t="s">
        <v>2185</v>
      </c>
      <c r="E375" s="15" t="s">
        <v>1261</v>
      </c>
      <c r="F375" s="17"/>
      <c r="G375" s="17" t="s">
        <v>15</v>
      </c>
      <c r="H375" s="17"/>
      <c r="I375" s="17" t="s">
        <v>2173</v>
      </c>
      <c r="J375" s="17" t="s">
        <v>2</v>
      </c>
      <c r="L375" s="17"/>
    </row>
    <row r="376" spans="1:12" ht="32" outlineLevel="3" collapsed="1" x14ac:dyDescent="0.2">
      <c r="A376" s="17" t="s">
        <v>21</v>
      </c>
      <c r="B376" s="17" t="s">
        <v>16</v>
      </c>
      <c r="C376" s="17" t="s">
        <v>2</v>
      </c>
      <c r="D376" s="22" t="s">
        <v>2186</v>
      </c>
      <c r="E376" s="15" t="s">
        <v>1266</v>
      </c>
      <c r="F376" s="17"/>
      <c r="G376" s="17" t="s">
        <v>15</v>
      </c>
      <c r="H376" s="17"/>
      <c r="I376" s="17" t="s">
        <v>2</v>
      </c>
      <c r="J376" s="17" t="s">
        <v>2</v>
      </c>
      <c r="L376" s="17"/>
    </row>
    <row r="377" spans="1:12" ht="32" outlineLevel="3" collapsed="1" x14ac:dyDescent="0.2">
      <c r="A377" s="17" t="s">
        <v>15</v>
      </c>
      <c r="B377" s="17" t="s">
        <v>22</v>
      </c>
      <c r="C377" t="s">
        <v>2239</v>
      </c>
      <c r="D377" s="22" t="s">
        <v>2187</v>
      </c>
      <c r="E377" s="15" t="s">
        <v>1263</v>
      </c>
      <c r="F377" s="17"/>
      <c r="G377" s="17" t="s">
        <v>15</v>
      </c>
      <c r="H377" s="17"/>
      <c r="I377" s="17" t="s">
        <v>2173</v>
      </c>
      <c r="J377" s="17" t="s">
        <v>2</v>
      </c>
      <c r="L377" s="17"/>
    </row>
    <row r="378" spans="1:12" ht="32" outlineLevel="3" collapsed="1" x14ac:dyDescent="0.2">
      <c r="A378" s="17" t="s">
        <v>21</v>
      </c>
      <c r="B378" s="17" t="s">
        <v>16</v>
      </c>
      <c r="C378" s="17" t="s">
        <v>2</v>
      </c>
      <c r="D378" s="22" t="s">
        <v>2188</v>
      </c>
      <c r="E378" s="15" t="s">
        <v>1265</v>
      </c>
      <c r="F378" s="17"/>
      <c r="G378" s="17" t="s">
        <v>15</v>
      </c>
      <c r="H378" s="17"/>
      <c r="I378" s="17" t="s">
        <v>2</v>
      </c>
      <c r="J378" s="17" t="s">
        <v>2</v>
      </c>
      <c r="L378" s="17"/>
    </row>
    <row r="379" spans="1:12" ht="32" outlineLevel="3" collapsed="1" x14ac:dyDescent="0.2">
      <c r="A379" s="17" t="s">
        <v>15</v>
      </c>
      <c r="B379" s="17" t="s">
        <v>22</v>
      </c>
      <c r="C379" s="4" t="s">
        <v>2238</v>
      </c>
      <c r="D379" s="22" t="s">
        <v>2189</v>
      </c>
      <c r="E379" s="15" t="s">
        <v>1262</v>
      </c>
      <c r="F379" s="17"/>
      <c r="G379" s="17" t="s">
        <v>15</v>
      </c>
      <c r="H379" s="17"/>
      <c r="I379" s="17" t="s">
        <v>2172</v>
      </c>
      <c r="J379" s="17" t="s">
        <v>2</v>
      </c>
      <c r="L379" s="17"/>
    </row>
    <row r="380" spans="1:12" ht="32" outlineLevel="3" collapsed="1" x14ac:dyDescent="0.2">
      <c r="A380" s="17" t="s">
        <v>21</v>
      </c>
      <c r="B380" s="17" t="s">
        <v>16</v>
      </c>
      <c r="C380" s="17" t="s">
        <v>2</v>
      </c>
      <c r="D380" s="22" t="s">
        <v>2190</v>
      </c>
      <c r="E380" s="15" t="s">
        <v>1264</v>
      </c>
      <c r="F380" s="17"/>
      <c r="G380" s="17" t="s">
        <v>15</v>
      </c>
      <c r="H380" s="17"/>
      <c r="I380" s="17" t="s">
        <v>2</v>
      </c>
      <c r="J380" s="17" t="s">
        <v>2</v>
      </c>
      <c r="L380" s="17"/>
    </row>
    <row r="381" spans="1:12" ht="16" outlineLevel="3" collapsed="1" x14ac:dyDescent="0.2">
      <c r="A381" s="17" t="s">
        <v>15</v>
      </c>
      <c r="B381" s="17" t="s">
        <v>22</v>
      </c>
      <c r="C381" s="4" t="s">
        <v>2238</v>
      </c>
      <c r="D381" s="22" t="s">
        <v>2195</v>
      </c>
      <c r="E381" s="15" t="s">
        <v>1267</v>
      </c>
      <c r="F381" s="17"/>
      <c r="G381" s="17" t="s">
        <v>15</v>
      </c>
      <c r="H381" s="17"/>
      <c r="I381" s="17" t="s">
        <v>2172</v>
      </c>
      <c r="J381" s="17" t="s">
        <v>2</v>
      </c>
      <c r="L381" s="17"/>
    </row>
    <row r="382" spans="1:12" ht="32" outlineLevel="3" collapsed="1" x14ac:dyDescent="0.2">
      <c r="A382" s="17" t="s">
        <v>21</v>
      </c>
      <c r="B382" s="17" t="s">
        <v>16</v>
      </c>
      <c r="C382" s="17" t="s">
        <v>2</v>
      </c>
      <c r="D382" s="22" t="s">
        <v>2196</v>
      </c>
      <c r="E382" s="15" t="s">
        <v>1268</v>
      </c>
      <c r="F382" s="17"/>
      <c r="G382" s="17" t="s">
        <v>15</v>
      </c>
      <c r="H382" s="17"/>
      <c r="I382" s="17"/>
      <c r="J382" s="17" t="s">
        <v>2</v>
      </c>
      <c r="L382" s="17"/>
    </row>
    <row r="383" spans="1:12" ht="16" outlineLevel="3" collapsed="1" x14ac:dyDescent="0.2">
      <c r="A383" s="17" t="s">
        <v>15</v>
      </c>
      <c r="B383" s="17" t="s">
        <v>22</v>
      </c>
      <c r="C383" s="4" t="s">
        <v>2238</v>
      </c>
      <c r="D383" s="22" t="s">
        <v>2191</v>
      </c>
      <c r="E383" s="15" t="s">
        <v>1269</v>
      </c>
      <c r="F383" s="17"/>
      <c r="G383" s="17" t="s">
        <v>15</v>
      </c>
      <c r="H383" s="17"/>
      <c r="I383" s="17" t="s">
        <v>2172</v>
      </c>
      <c r="J383" s="17" t="s">
        <v>2</v>
      </c>
      <c r="L383" s="17"/>
    </row>
    <row r="384" spans="1:12" ht="32" outlineLevel="3" collapsed="1" x14ac:dyDescent="0.2">
      <c r="A384" s="17" t="s">
        <v>21</v>
      </c>
      <c r="B384" s="17" t="s">
        <v>16</v>
      </c>
      <c r="C384" s="17" t="s">
        <v>2</v>
      </c>
      <c r="D384" s="22" t="s">
        <v>2192</v>
      </c>
      <c r="E384" s="15" t="s">
        <v>1270</v>
      </c>
      <c r="F384" s="17"/>
      <c r="G384" s="17" t="s">
        <v>15</v>
      </c>
      <c r="H384" s="17"/>
      <c r="I384" s="17"/>
      <c r="J384" s="17" t="s">
        <v>2</v>
      </c>
      <c r="L384" s="17"/>
    </row>
    <row r="385" spans="1:12" ht="32" outlineLevel="3" collapsed="1" x14ac:dyDescent="0.2">
      <c r="A385" s="17" t="s">
        <v>15</v>
      </c>
      <c r="B385" s="17" t="s">
        <v>22</v>
      </c>
      <c r="C385" s="4" t="s">
        <v>2238</v>
      </c>
      <c r="D385" s="22" t="s">
        <v>2193</v>
      </c>
      <c r="E385" s="15" t="s">
        <v>1271</v>
      </c>
      <c r="F385" s="17"/>
      <c r="G385" s="17" t="s">
        <v>15</v>
      </c>
      <c r="H385" s="17"/>
      <c r="I385" s="17" t="s">
        <v>2172</v>
      </c>
      <c r="J385" s="17" t="s">
        <v>2</v>
      </c>
      <c r="L385" s="17"/>
    </row>
    <row r="386" spans="1:12" ht="32" outlineLevel="3" collapsed="1" x14ac:dyDescent="0.2">
      <c r="A386" s="17" t="s">
        <v>21</v>
      </c>
      <c r="B386" s="17" t="s">
        <v>16</v>
      </c>
      <c r="C386" s="17" t="s">
        <v>2</v>
      </c>
      <c r="D386" s="22" t="s">
        <v>2194</v>
      </c>
      <c r="E386" s="15" t="s">
        <v>1272</v>
      </c>
      <c r="F386" s="17"/>
      <c r="G386" s="17" t="s">
        <v>15</v>
      </c>
      <c r="H386" s="17"/>
      <c r="I386" s="17" t="s">
        <v>2</v>
      </c>
      <c r="J386" s="17" t="s">
        <v>2</v>
      </c>
      <c r="L386" s="17"/>
    </row>
    <row r="387" spans="1:12" ht="16" outlineLevel="3" collapsed="1" x14ac:dyDescent="0.2">
      <c r="A387" s="17" t="s">
        <v>15</v>
      </c>
      <c r="B387" s="17" t="s">
        <v>22</v>
      </c>
      <c r="C387" s="17" t="s">
        <v>2174</v>
      </c>
      <c r="D387" s="17" t="s">
        <v>2197</v>
      </c>
      <c r="E387" s="15" t="s">
        <v>1273</v>
      </c>
      <c r="F387" s="17"/>
      <c r="G387" s="17" t="s">
        <v>15</v>
      </c>
      <c r="H387" s="17"/>
      <c r="I387" s="17" t="s">
        <v>2</v>
      </c>
      <c r="J387" s="17" t="s">
        <v>2</v>
      </c>
      <c r="L387" s="17"/>
    </row>
    <row r="388" spans="1:12" ht="32" outlineLevel="3" collapsed="1" x14ac:dyDescent="0.2">
      <c r="A388" s="17" t="s">
        <v>21</v>
      </c>
      <c r="B388" s="17" t="s">
        <v>16</v>
      </c>
      <c r="C388" s="17" t="s">
        <v>2</v>
      </c>
      <c r="D388" s="17" t="s">
        <v>2198</v>
      </c>
      <c r="E388" s="15" t="s">
        <v>2181</v>
      </c>
      <c r="F388" s="17"/>
      <c r="G388" s="17" t="s">
        <v>15</v>
      </c>
      <c r="H388" s="17"/>
      <c r="I388" s="17"/>
      <c r="J388" s="17" t="s">
        <v>2</v>
      </c>
      <c r="L388" s="17"/>
    </row>
    <row r="389" spans="1:12" ht="16" outlineLevel="3" collapsed="1" x14ac:dyDescent="0.2">
      <c r="A389" s="17" t="s">
        <v>15</v>
      </c>
      <c r="B389" s="17" t="s">
        <v>22</v>
      </c>
      <c r="C389" s="17" t="s">
        <v>2174</v>
      </c>
      <c r="D389" s="17" t="s">
        <v>2199</v>
      </c>
      <c r="E389" s="15" t="s">
        <v>1275</v>
      </c>
      <c r="F389" s="17"/>
      <c r="G389" s="17" t="s">
        <v>15</v>
      </c>
      <c r="H389" s="17"/>
      <c r="I389" s="17" t="s">
        <v>2</v>
      </c>
      <c r="J389" s="17" t="s">
        <v>2</v>
      </c>
      <c r="L389" s="17"/>
    </row>
    <row r="390" spans="1:12" ht="64" outlineLevel="3" collapsed="1" x14ac:dyDescent="0.2">
      <c r="A390" s="17" t="s">
        <v>21</v>
      </c>
      <c r="B390" s="17" t="s">
        <v>16</v>
      </c>
      <c r="C390" s="17" t="s">
        <v>2</v>
      </c>
      <c r="D390" s="17" t="s">
        <v>2200</v>
      </c>
      <c r="E390" s="15" t="s">
        <v>2182</v>
      </c>
      <c r="F390" s="17"/>
      <c r="G390" s="17" t="s">
        <v>15</v>
      </c>
      <c r="H390" s="17"/>
      <c r="I390" s="17" t="s">
        <v>2</v>
      </c>
      <c r="J390" s="17" t="s">
        <v>2</v>
      </c>
      <c r="L390" s="17"/>
    </row>
    <row r="391" spans="1:12" ht="25" outlineLevel="3" collapsed="1" x14ac:dyDescent="0.2">
      <c r="A391" s="17" t="s">
        <v>15</v>
      </c>
      <c r="B391" s="17" t="s">
        <v>25</v>
      </c>
      <c r="C391" s="18" t="s">
        <v>365</v>
      </c>
      <c r="D391" s="17"/>
      <c r="E391" s="19" t="s">
        <v>1256</v>
      </c>
      <c r="F391" s="17"/>
      <c r="G391" s="17" t="s">
        <v>15</v>
      </c>
      <c r="H391" s="17" t="s">
        <v>2</v>
      </c>
      <c r="I391" s="17" t="s">
        <v>2</v>
      </c>
      <c r="J391" s="17" t="s">
        <v>2</v>
      </c>
      <c r="L391" s="17"/>
    </row>
    <row r="392" spans="1:12" ht="16" outlineLevel="3" collapsed="1" x14ac:dyDescent="0.2">
      <c r="A392" s="17" t="s">
        <v>15</v>
      </c>
      <c r="B392" s="17" t="s">
        <v>22</v>
      </c>
      <c r="C392" s="4" t="s">
        <v>2239</v>
      </c>
      <c r="D392" s="17" t="s">
        <v>2201</v>
      </c>
      <c r="E392" s="15" t="s">
        <v>1294</v>
      </c>
      <c r="F392" s="17"/>
      <c r="G392" s="17" t="s">
        <v>15</v>
      </c>
      <c r="H392" s="17" t="s">
        <v>21</v>
      </c>
      <c r="I392" s="17" t="s">
        <v>2</v>
      </c>
      <c r="J392" s="17" t="s">
        <v>2</v>
      </c>
      <c r="L392" s="17"/>
    </row>
    <row r="393" spans="1:12" ht="16" outlineLevel="3" collapsed="1" x14ac:dyDescent="0.2">
      <c r="A393" s="17" t="s">
        <v>21</v>
      </c>
      <c r="B393" s="17" t="s">
        <v>16</v>
      </c>
      <c r="C393" s="17" t="s">
        <v>2</v>
      </c>
      <c r="D393" s="17" t="s">
        <v>2202</v>
      </c>
      <c r="E393" s="15" t="s">
        <v>1293</v>
      </c>
      <c r="F393" s="17"/>
      <c r="G393" s="17" t="s">
        <v>15</v>
      </c>
      <c r="H393" s="17" t="s">
        <v>19</v>
      </c>
      <c r="I393" s="17" t="s">
        <v>2</v>
      </c>
      <c r="J393" s="17" t="s">
        <v>2</v>
      </c>
      <c r="L393" s="17"/>
    </row>
    <row r="394" spans="1:12" ht="32" outlineLevel="3" collapsed="1" x14ac:dyDescent="0.2">
      <c r="A394" s="17" t="s">
        <v>15</v>
      </c>
      <c r="B394" s="17" t="s">
        <v>22</v>
      </c>
      <c r="C394" s="4" t="s">
        <v>2239</v>
      </c>
      <c r="D394" s="22" t="s">
        <v>2203</v>
      </c>
      <c r="E394" s="15" t="s">
        <v>1277</v>
      </c>
      <c r="F394" s="17"/>
      <c r="G394" s="17" t="s">
        <v>15</v>
      </c>
      <c r="H394" s="17" t="s">
        <v>21</v>
      </c>
      <c r="I394" s="17" t="s">
        <v>2</v>
      </c>
      <c r="J394" s="17" t="s">
        <v>2</v>
      </c>
      <c r="L394" s="17"/>
    </row>
    <row r="395" spans="1:12" ht="32" outlineLevel="3" collapsed="1" x14ac:dyDescent="0.2">
      <c r="A395" s="17" t="s">
        <v>21</v>
      </c>
      <c r="B395" s="17" t="s">
        <v>16</v>
      </c>
      <c r="C395" s="17" t="s">
        <v>2</v>
      </c>
      <c r="D395" s="22" t="s">
        <v>2204</v>
      </c>
      <c r="E395" s="15" t="s">
        <v>1266</v>
      </c>
      <c r="F395" s="17"/>
      <c r="G395" s="17" t="s">
        <v>15</v>
      </c>
      <c r="H395" s="17" t="s">
        <v>19</v>
      </c>
      <c r="I395" s="17" t="s">
        <v>2</v>
      </c>
      <c r="J395" s="17" t="s">
        <v>2</v>
      </c>
      <c r="L395" s="17"/>
    </row>
    <row r="396" spans="1:12" ht="32" outlineLevel="3" collapsed="1" x14ac:dyDescent="0.2">
      <c r="A396" s="17" t="s">
        <v>15</v>
      </c>
      <c r="B396" s="17" t="s">
        <v>22</v>
      </c>
      <c r="C396" s="4" t="s">
        <v>2238</v>
      </c>
      <c r="D396" s="22" t="s">
        <v>2205</v>
      </c>
      <c r="E396" s="15" t="s">
        <v>1278</v>
      </c>
      <c r="F396" s="17"/>
      <c r="G396" s="17" t="s">
        <v>15</v>
      </c>
      <c r="H396" s="17" t="s">
        <v>21</v>
      </c>
      <c r="I396" s="17" t="s">
        <v>2</v>
      </c>
      <c r="J396" s="17" t="s">
        <v>2</v>
      </c>
      <c r="L396" s="17"/>
    </row>
    <row r="397" spans="1:12" ht="32" outlineLevel="3" collapsed="1" x14ac:dyDescent="0.2">
      <c r="A397" s="17" t="s">
        <v>21</v>
      </c>
      <c r="B397" s="17" t="s">
        <v>16</v>
      </c>
      <c r="C397" s="17" t="s">
        <v>2</v>
      </c>
      <c r="D397" s="22" t="s">
        <v>2206</v>
      </c>
      <c r="E397" s="15" t="s">
        <v>1265</v>
      </c>
      <c r="F397" s="17"/>
      <c r="G397" s="17" t="s">
        <v>15</v>
      </c>
      <c r="H397" s="17" t="s">
        <v>19</v>
      </c>
      <c r="I397" s="17" t="s">
        <v>2</v>
      </c>
      <c r="J397" s="17" t="s">
        <v>2</v>
      </c>
      <c r="L397" s="17"/>
    </row>
    <row r="398" spans="1:12" ht="32" outlineLevel="3" collapsed="1" x14ac:dyDescent="0.2">
      <c r="A398" s="17" t="s">
        <v>15</v>
      </c>
      <c r="B398" s="17" t="s">
        <v>22</v>
      </c>
      <c r="C398" s="4" t="s">
        <v>2239</v>
      </c>
      <c r="D398" s="22" t="s">
        <v>2207</v>
      </c>
      <c r="E398" s="15" t="s">
        <v>1279</v>
      </c>
      <c r="F398" s="17"/>
      <c r="G398" s="17" t="s">
        <v>15</v>
      </c>
      <c r="H398" s="17" t="s">
        <v>21</v>
      </c>
      <c r="I398" s="17" t="s">
        <v>2</v>
      </c>
      <c r="J398" s="17" t="s">
        <v>2</v>
      </c>
      <c r="L398" s="17"/>
    </row>
    <row r="399" spans="1:12" ht="32" outlineLevel="3" collapsed="1" x14ac:dyDescent="0.2">
      <c r="A399" s="17" t="s">
        <v>21</v>
      </c>
      <c r="B399" s="17" t="s">
        <v>16</v>
      </c>
      <c r="C399" s="17" t="s">
        <v>2</v>
      </c>
      <c r="D399" s="22" t="s">
        <v>2208</v>
      </c>
      <c r="E399" s="15" t="s">
        <v>1264</v>
      </c>
      <c r="F399" s="17"/>
      <c r="G399" s="17" t="s">
        <v>15</v>
      </c>
      <c r="H399" s="17" t="s">
        <v>19</v>
      </c>
      <c r="I399" s="17" t="s">
        <v>2</v>
      </c>
      <c r="J399" s="17" t="s">
        <v>2</v>
      </c>
      <c r="L399" s="17"/>
    </row>
    <row r="400" spans="1:12" ht="16" outlineLevel="3" collapsed="1" x14ac:dyDescent="0.2">
      <c r="A400" s="17" t="s">
        <v>15</v>
      </c>
      <c r="B400" s="17" t="s">
        <v>22</v>
      </c>
      <c r="C400" s="4" t="s">
        <v>2239</v>
      </c>
      <c r="D400" s="22" t="s">
        <v>2209</v>
      </c>
      <c r="E400" s="15" t="s">
        <v>1280</v>
      </c>
      <c r="F400" s="17"/>
      <c r="G400" s="17" t="s">
        <v>15</v>
      </c>
      <c r="H400" s="17" t="s">
        <v>21</v>
      </c>
      <c r="I400" s="17" t="s">
        <v>2</v>
      </c>
      <c r="J400" s="17" t="s">
        <v>2</v>
      </c>
      <c r="L400" s="17"/>
    </row>
    <row r="401" spans="1:12" ht="32" outlineLevel="3" collapsed="1" x14ac:dyDescent="0.2">
      <c r="A401" s="17" t="s">
        <v>21</v>
      </c>
      <c r="B401" s="17" t="s">
        <v>16</v>
      </c>
      <c r="C401" s="17" t="s">
        <v>2</v>
      </c>
      <c r="D401" s="22" t="s">
        <v>2210</v>
      </c>
      <c r="E401" s="15" t="s">
        <v>1268</v>
      </c>
      <c r="F401" s="17"/>
      <c r="G401" s="17" t="s">
        <v>15</v>
      </c>
      <c r="H401" s="17" t="s">
        <v>19</v>
      </c>
      <c r="I401" s="17" t="s">
        <v>2</v>
      </c>
      <c r="J401" s="17" t="s">
        <v>2</v>
      </c>
      <c r="L401" s="17"/>
    </row>
    <row r="402" spans="1:12" ht="16" outlineLevel="3" collapsed="1" x14ac:dyDescent="0.2">
      <c r="A402" s="17" t="s">
        <v>15</v>
      </c>
      <c r="B402" s="17" t="s">
        <v>22</v>
      </c>
      <c r="C402" s="4" t="s">
        <v>2239</v>
      </c>
      <c r="D402" s="22" t="s">
        <v>2211</v>
      </c>
      <c r="E402" s="15" t="s">
        <v>1281</v>
      </c>
      <c r="F402" s="17"/>
      <c r="G402" s="17" t="s">
        <v>15</v>
      </c>
      <c r="H402" s="17" t="s">
        <v>21</v>
      </c>
      <c r="I402" s="17" t="s">
        <v>2</v>
      </c>
      <c r="J402" s="17" t="s">
        <v>2</v>
      </c>
      <c r="L402" s="17"/>
    </row>
    <row r="403" spans="1:12" ht="32" outlineLevel="3" collapsed="1" x14ac:dyDescent="0.2">
      <c r="A403" s="17" t="s">
        <v>21</v>
      </c>
      <c r="B403" s="17" t="s">
        <v>16</v>
      </c>
      <c r="C403" s="17" t="s">
        <v>2</v>
      </c>
      <c r="D403" s="22" t="s">
        <v>2212</v>
      </c>
      <c r="E403" s="15" t="s">
        <v>1270</v>
      </c>
      <c r="F403" s="17"/>
      <c r="G403" s="17" t="s">
        <v>15</v>
      </c>
      <c r="H403" s="17" t="s">
        <v>19</v>
      </c>
      <c r="I403" s="17" t="s">
        <v>2</v>
      </c>
      <c r="J403" s="17" t="s">
        <v>2</v>
      </c>
      <c r="L403" s="17"/>
    </row>
    <row r="404" spans="1:12" ht="32" outlineLevel="3" collapsed="1" x14ac:dyDescent="0.2">
      <c r="A404" s="17" t="s">
        <v>15</v>
      </c>
      <c r="B404" s="17" t="s">
        <v>22</v>
      </c>
      <c r="C404" s="4" t="s">
        <v>2239</v>
      </c>
      <c r="D404" s="22" t="s">
        <v>2213</v>
      </c>
      <c r="E404" s="15" t="s">
        <v>1282</v>
      </c>
      <c r="F404" s="17"/>
      <c r="G404" s="17" t="s">
        <v>15</v>
      </c>
      <c r="H404" s="17" t="s">
        <v>21</v>
      </c>
      <c r="I404" s="17" t="s">
        <v>2</v>
      </c>
      <c r="J404" s="17" t="s">
        <v>2</v>
      </c>
      <c r="L404" s="17"/>
    </row>
    <row r="405" spans="1:12" ht="32" outlineLevel="3" collapsed="1" x14ac:dyDescent="0.2">
      <c r="A405" s="17" t="s">
        <v>21</v>
      </c>
      <c r="B405" s="17" t="s">
        <v>16</v>
      </c>
      <c r="C405" s="17" t="s">
        <v>2</v>
      </c>
      <c r="D405" s="22" t="s">
        <v>2214</v>
      </c>
      <c r="E405" s="15" t="s">
        <v>1272</v>
      </c>
      <c r="F405" s="17"/>
      <c r="G405" s="17" t="s">
        <v>15</v>
      </c>
      <c r="H405" s="17" t="s">
        <v>19</v>
      </c>
      <c r="I405" s="17" t="s">
        <v>2</v>
      </c>
      <c r="J405" s="17" t="s">
        <v>2</v>
      </c>
      <c r="L405" s="17"/>
    </row>
    <row r="406" spans="1:12" ht="16" outlineLevel="3" collapsed="1" x14ac:dyDescent="0.2">
      <c r="A406" s="17" t="s">
        <v>15</v>
      </c>
      <c r="B406" s="17" t="s">
        <v>22</v>
      </c>
      <c r="C406" s="17" t="s">
        <v>2174</v>
      </c>
      <c r="D406" s="17" t="s">
        <v>2215</v>
      </c>
      <c r="E406" s="15" t="s">
        <v>1297</v>
      </c>
      <c r="F406" s="17"/>
      <c r="G406" s="17" t="s">
        <v>15</v>
      </c>
      <c r="H406" s="17" t="s">
        <v>21</v>
      </c>
      <c r="I406" s="17" t="s">
        <v>2</v>
      </c>
      <c r="J406" s="17" t="s">
        <v>2</v>
      </c>
      <c r="L406" s="17"/>
    </row>
    <row r="407" spans="1:12" ht="32" outlineLevel="3" collapsed="1" x14ac:dyDescent="0.2">
      <c r="A407" s="17" t="s">
        <v>21</v>
      </c>
      <c r="B407" s="17" t="s">
        <v>16</v>
      </c>
      <c r="C407" s="17" t="s">
        <v>2</v>
      </c>
      <c r="D407" s="17" t="s">
        <v>2216</v>
      </c>
      <c r="E407" s="15" t="s">
        <v>1274</v>
      </c>
      <c r="F407" s="17"/>
      <c r="G407" s="17" t="s">
        <v>15</v>
      </c>
      <c r="H407" s="17" t="s">
        <v>19</v>
      </c>
      <c r="I407" s="17" t="s">
        <v>2</v>
      </c>
      <c r="J407" s="17" t="s">
        <v>2</v>
      </c>
      <c r="L407" s="17"/>
    </row>
    <row r="408" spans="1:12" ht="16" outlineLevel="3" collapsed="1" x14ac:dyDescent="0.2">
      <c r="A408" s="17" t="s">
        <v>15</v>
      </c>
      <c r="B408" s="17" t="s">
        <v>22</v>
      </c>
      <c r="C408" s="17" t="s">
        <v>2174</v>
      </c>
      <c r="D408" s="17" t="s">
        <v>2217</v>
      </c>
      <c r="E408" s="15" t="s">
        <v>1283</v>
      </c>
      <c r="F408" s="17"/>
      <c r="G408" s="17" t="s">
        <v>15</v>
      </c>
      <c r="H408" s="17" t="s">
        <v>21</v>
      </c>
      <c r="I408" s="17" t="s">
        <v>2</v>
      </c>
      <c r="J408" s="17" t="s">
        <v>2</v>
      </c>
      <c r="L408" s="17"/>
    </row>
    <row r="409" spans="1:12" ht="32" outlineLevel="3" collapsed="1" x14ac:dyDescent="0.2">
      <c r="A409" s="17" t="s">
        <v>21</v>
      </c>
      <c r="B409" s="17" t="s">
        <v>16</v>
      </c>
      <c r="C409" s="17" t="s">
        <v>2</v>
      </c>
      <c r="D409" s="17" t="s">
        <v>2218</v>
      </c>
      <c r="E409" s="15" t="s">
        <v>1276</v>
      </c>
      <c r="F409" s="17"/>
      <c r="G409" s="17" t="s">
        <v>15</v>
      </c>
      <c r="H409" s="17" t="s">
        <v>19</v>
      </c>
      <c r="I409" s="17" t="s">
        <v>2</v>
      </c>
      <c r="J409" s="17" t="s">
        <v>2</v>
      </c>
      <c r="L409" s="17"/>
    </row>
    <row r="410" spans="1:12" ht="25" outlineLevel="3" collapsed="1" x14ac:dyDescent="0.2">
      <c r="A410" s="17" t="s">
        <v>15</v>
      </c>
      <c r="B410" s="17" t="s">
        <v>25</v>
      </c>
      <c r="C410" s="18" t="s">
        <v>365</v>
      </c>
      <c r="D410" s="17"/>
      <c r="E410" s="19" t="s">
        <v>1257</v>
      </c>
      <c r="F410" s="17"/>
      <c r="G410" s="17" t="s">
        <v>15</v>
      </c>
      <c r="H410" s="17" t="s">
        <v>2</v>
      </c>
      <c r="I410" s="17" t="s">
        <v>2</v>
      </c>
      <c r="J410" s="17" t="s">
        <v>2</v>
      </c>
      <c r="L410" s="17"/>
    </row>
    <row r="411" spans="1:12" ht="16" outlineLevel="3" collapsed="1" x14ac:dyDescent="0.2">
      <c r="A411" s="17" t="s">
        <v>15</v>
      </c>
      <c r="B411" s="17" t="s">
        <v>22</v>
      </c>
      <c r="C411" s="4" t="s">
        <v>2239</v>
      </c>
      <c r="D411" s="17" t="s">
        <v>2219</v>
      </c>
      <c r="E411" s="15" t="s">
        <v>1295</v>
      </c>
      <c r="F411" s="17"/>
      <c r="G411" s="17" t="s">
        <v>15</v>
      </c>
      <c r="H411" s="17" t="s">
        <v>21</v>
      </c>
      <c r="I411" s="17" t="s">
        <v>2</v>
      </c>
      <c r="J411" s="17" t="s">
        <v>2</v>
      </c>
      <c r="L411" s="17"/>
    </row>
    <row r="412" spans="1:12" ht="16" outlineLevel="3" collapsed="1" x14ac:dyDescent="0.2">
      <c r="A412" s="17" t="s">
        <v>21</v>
      </c>
      <c r="B412" s="17" t="s">
        <v>16</v>
      </c>
      <c r="C412" s="17" t="s">
        <v>2</v>
      </c>
      <c r="D412" s="17" t="s">
        <v>2220</v>
      </c>
      <c r="E412" s="15" t="s">
        <v>1296</v>
      </c>
      <c r="F412" s="17"/>
      <c r="G412" s="17" t="s">
        <v>15</v>
      </c>
      <c r="H412" s="17" t="s">
        <v>19</v>
      </c>
      <c r="I412" s="17" t="s">
        <v>2</v>
      </c>
      <c r="J412" s="17" t="s">
        <v>2</v>
      </c>
      <c r="L412" s="17"/>
    </row>
    <row r="413" spans="1:12" ht="32" outlineLevel="3" collapsed="1" x14ac:dyDescent="0.2">
      <c r="A413" s="17" t="s">
        <v>15</v>
      </c>
      <c r="B413" s="17" t="s">
        <v>22</v>
      </c>
      <c r="C413" s="4" t="s">
        <v>2239</v>
      </c>
      <c r="D413" s="22" t="s">
        <v>2221</v>
      </c>
      <c r="E413" s="15" t="s">
        <v>1284</v>
      </c>
      <c r="F413" s="17"/>
      <c r="G413" s="17" t="s">
        <v>15</v>
      </c>
      <c r="H413" s="17" t="s">
        <v>21</v>
      </c>
      <c r="I413" s="17" t="s">
        <v>2</v>
      </c>
      <c r="J413" s="17" t="s">
        <v>2</v>
      </c>
      <c r="L413" s="17"/>
    </row>
    <row r="414" spans="1:12" ht="32" outlineLevel="3" collapsed="1" x14ac:dyDescent="0.2">
      <c r="A414" s="17" t="s">
        <v>21</v>
      </c>
      <c r="B414" s="17" t="s">
        <v>16</v>
      </c>
      <c r="C414" s="17" t="s">
        <v>2</v>
      </c>
      <c r="D414" s="22" t="s">
        <v>2222</v>
      </c>
      <c r="E414" s="15" t="s">
        <v>1266</v>
      </c>
      <c r="F414" s="17"/>
      <c r="G414" s="17" t="s">
        <v>15</v>
      </c>
      <c r="H414" s="17" t="s">
        <v>19</v>
      </c>
      <c r="I414" s="17" t="s">
        <v>2</v>
      </c>
      <c r="J414" s="17" t="s">
        <v>2</v>
      </c>
      <c r="L414" s="17"/>
    </row>
    <row r="415" spans="1:12" ht="32" outlineLevel="3" collapsed="1" x14ac:dyDescent="0.2">
      <c r="A415" s="17" t="s">
        <v>15</v>
      </c>
      <c r="B415" s="17" t="s">
        <v>22</v>
      </c>
      <c r="C415" s="4" t="s">
        <v>2239</v>
      </c>
      <c r="D415" s="22" t="s">
        <v>2223</v>
      </c>
      <c r="E415" s="15" t="s">
        <v>1285</v>
      </c>
      <c r="F415" s="17"/>
      <c r="G415" s="17" t="s">
        <v>15</v>
      </c>
      <c r="H415" s="17" t="s">
        <v>21</v>
      </c>
      <c r="I415" s="17" t="s">
        <v>2</v>
      </c>
      <c r="J415" s="17" t="s">
        <v>2</v>
      </c>
      <c r="L415" s="17"/>
    </row>
    <row r="416" spans="1:12" ht="32" outlineLevel="3" collapsed="1" x14ac:dyDescent="0.2">
      <c r="A416" s="17" t="s">
        <v>21</v>
      </c>
      <c r="B416" s="17" t="s">
        <v>16</v>
      </c>
      <c r="C416" s="17" t="s">
        <v>2</v>
      </c>
      <c r="D416" s="22" t="s">
        <v>2224</v>
      </c>
      <c r="E416" s="15" t="s">
        <v>1265</v>
      </c>
      <c r="F416" s="17"/>
      <c r="G416" s="17" t="s">
        <v>15</v>
      </c>
      <c r="H416" s="17" t="s">
        <v>19</v>
      </c>
      <c r="I416" s="17" t="s">
        <v>2</v>
      </c>
      <c r="J416" s="17" t="s">
        <v>2</v>
      </c>
      <c r="L416" s="17"/>
    </row>
    <row r="417" spans="1:12" ht="32" outlineLevel="3" collapsed="1" x14ac:dyDescent="0.2">
      <c r="A417" s="17" t="s">
        <v>15</v>
      </c>
      <c r="B417" s="17" t="s">
        <v>22</v>
      </c>
      <c r="C417" s="4" t="s">
        <v>2239</v>
      </c>
      <c r="D417" s="22" t="s">
        <v>2225</v>
      </c>
      <c r="E417" s="15" t="s">
        <v>1286</v>
      </c>
      <c r="F417" s="17"/>
      <c r="G417" s="17" t="s">
        <v>15</v>
      </c>
      <c r="H417" s="17" t="s">
        <v>21</v>
      </c>
      <c r="I417" s="17" t="s">
        <v>2</v>
      </c>
      <c r="J417" s="17" t="s">
        <v>2</v>
      </c>
      <c r="L417" s="17"/>
    </row>
    <row r="418" spans="1:12" ht="32" outlineLevel="3" collapsed="1" x14ac:dyDescent="0.2">
      <c r="A418" s="17" t="s">
        <v>21</v>
      </c>
      <c r="B418" s="17" t="s">
        <v>16</v>
      </c>
      <c r="C418" s="17" t="s">
        <v>2</v>
      </c>
      <c r="D418" s="22" t="s">
        <v>2226</v>
      </c>
      <c r="E418" s="15" t="s">
        <v>1264</v>
      </c>
      <c r="F418" s="17"/>
      <c r="G418" s="17" t="s">
        <v>15</v>
      </c>
      <c r="H418" s="17" t="s">
        <v>19</v>
      </c>
      <c r="I418" s="17" t="s">
        <v>2</v>
      </c>
      <c r="J418" s="17" t="s">
        <v>2</v>
      </c>
      <c r="L418" s="17"/>
    </row>
    <row r="419" spans="1:12" ht="16" outlineLevel="3" collapsed="1" x14ac:dyDescent="0.2">
      <c r="A419" s="17" t="s">
        <v>15</v>
      </c>
      <c r="B419" s="17" t="s">
        <v>22</v>
      </c>
      <c r="C419" s="4" t="s">
        <v>2239</v>
      </c>
      <c r="D419" s="22" t="s">
        <v>2227</v>
      </c>
      <c r="E419" s="15" t="s">
        <v>1287</v>
      </c>
      <c r="F419" s="17"/>
      <c r="G419" s="17" t="s">
        <v>15</v>
      </c>
      <c r="H419" s="17" t="s">
        <v>21</v>
      </c>
      <c r="I419" s="17" t="s">
        <v>2</v>
      </c>
      <c r="J419" s="17" t="s">
        <v>2</v>
      </c>
      <c r="L419" s="17"/>
    </row>
    <row r="420" spans="1:12" ht="32" outlineLevel="3" collapsed="1" x14ac:dyDescent="0.2">
      <c r="A420" s="17" t="s">
        <v>21</v>
      </c>
      <c r="B420" s="17" t="s">
        <v>16</v>
      </c>
      <c r="C420" s="17" t="s">
        <v>2</v>
      </c>
      <c r="D420" s="22" t="s">
        <v>2228</v>
      </c>
      <c r="E420" s="15" t="s">
        <v>1268</v>
      </c>
      <c r="F420" s="17"/>
      <c r="G420" s="17" t="s">
        <v>15</v>
      </c>
      <c r="H420" s="17" t="s">
        <v>19</v>
      </c>
      <c r="I420" s="17" t="s">
        <v>2</v>
      </c>
      <c r="J420" s="17" t="s">
        <v>2</v>
      </c>
      <c r="L420" s="17"/>
    </row>
    <row r="421" spans="1:12" ht="16" outlineLevel="3" collapsed="1" x14ac:dyDescent="0.2">
      <c r="A421" s="17" t="s">
        <v>15</v>
      </c>
      <c r="B421" s="17" t="s">
        <v>22</v>
      </c>
      <c r="C421" s="4" t="s">
        <v>2239</v>
      </c>
      <c r="D421" s="22" t="s">
        <v>2229</v>
      </c>
      <c r="E421" s="15" t="s">
        <v>1288</v>
      </c>
      <c r="F421" s="17"/>
      <c r="G421" s="17" t="s">
        <v>15</v>
      </c>
      <c r="H421" s="17" t="s">
        <v>21</v>
      </c>
      <c r="I421" s="17" t="s">
        <v>2</v>
      </c>
      <c r="J421" s="17" t="s">
        <v>2</v>
      </c>
      <c r="L421" s="17"/>
    </row>
    <row r="422" spans="1:12" ht="32" outlineLevel="3" collapsed="1" x14ac:dyDescent="0.2">
      <c r="A422" s="17" t="s">
        <v>21</v>
      </c>
      <c r="B422" s="17" t="s">
        <v>16</v>
      </c>
      <c r="C422" s="17" t="s">
        <v>2</v>
      </c>
      <c r="D422" s="22" t="s">
        <v>2230</v>
      </c>
      <c r="E422" s="15" t="s">
        <v>1270</v>
      </c>
      <c r="F422" s="17"/>
      <c r="G422" s="17" t="s">
        <v>15</v>
      </c>
      <c r="H422" s="17" t="s">
        <v>19</v>
      </c>
      <c r="I422" s="17" t="s">
        <v>2</v>
      </c>
      <c r="J422" s="17" t="s">
        <v>2</v>
      </c>
      <c r="L422" s="17"/>
    </row>
    <row r="423" spans="1:12" ht="32" outlineLevel="3" collapsed="1" x14ac:dyDescent="0.2">
      <c r="A423" s="17" t="s">
        <v>15</v>
      </c>
      <c r="B423" s="17" t="s">
        <v>22</v>
      </c>
      <c r="C423" s="4" t="s">
        <v>2239</v>
      </c>
      <c r="D423" s="22" t="s">
        <v>2231</v>
      </c>
      <c r="E423" s="15" t="s">
        <v>1289</v>
      </c>
      <c r="F423" s="17"/>
      <c r="G423" s="17" t="s">
        <v>15</v>
      </c>
      <c r="H423" s="17" t="s">
        <v>21</v>
      </c>
      <c r="I423" s="17" t="s">
        <v>2</v>
      </c>
      <c r="J423" s="17" t="s">
        <v>2</v>
      </c>
      <c r="L423" s="17"/>
    </row>
    <row r="424" spans="1:12" ht="32" outlineLevel="3" collapsed="1" x14ac:dyDescent="0.2">
      <c r="A424" s="17" t="s">
        <v>21</v>
      </c>
      <c r="B424" s="17" t="s">
        <v>16</v>
      </c>
      <c r="C424" s="17" t="s">
        <v>2</v>
      </c>
      <c r="D424" s="22" t="s">
        <v>2232</v>
      </c>
      <c r="E424" s="15" t="s">
        <v>1272</v>
      </c>
      <c r="F424" s="17"/>
      <c r="G424" s="17" t="s">
        <v>15</v>
      </c>
      <c r="H424" s="17" t="s">
        <v>19</v>
      </c>
      <c r="I424" s="17" t="s">
        <v>2</v>
      </c>
      <c r="J424" s="17" t="s">
        <v>2</v>
      </c>
      <c r="L424" s="17"/>
    </row>
    <row r="425" spans="1:12" ht="16" outlineLevel="3" collapsed="1" x14ac:dyDescent="0.2">
      <c r="A425" s="17" t="s">
        <v>15</v>
      </c>
      <c r="B425" s="17" t="s">
        <v>22</v>
      </c>
      <c r="C425" s="17" t="s">
        <v>2174</v>
      </c>
      <c r="D425" s="17" t="s">
        <v>2233</v>
      </c>
      <c r="E425" s="15" t="s">
        <v>1290</v>
      </c>
      <c r="F425" s="17"/>
      <c r="G425" s="17" t="s">
        <v>15</v>
      </c>
      <c r="H425" s="17" t="s">
        <v>21</v>
      </c>
      <c r="I425" s="17" t="s">
        <v>2</v>
      </c>
      <c r="J425" s="17" t="s">
        <v>2</v>
      </c>
      <c r="L425" s="17"/>
    </row>
    <row r="426" spans="1:12" ht="32" outlineLevel="3" collapsed="1" x14ac:dyDescent="0.2">
      <c r="A426" s="17" t="s">
        <v>21</v>
      </c>
      <c r="B426" s="17" t="s">
        <v>16</v>
      </c>
      <c r="C426" s="17" t="s">
        <v>2</v>
      </c>
      <c r="D426" s="17" t="s">
        <v>2234</v>
      </c>
      <c r="E426" s="15" t="s">
        <v>1274</v>
      </c>
      <c r="F426" s="17"/>
      <c r="G426" s="17" t="s">
        <v>15</v>
      </c>
      <c r="H426" s="17" t="s">
        <v>19</v>
      </c>
      <c r="I426" s="17" t="s">
        <v>2</v>
      </c>
      <c r="J426" s="17" t="s">
        <v>2</v>
      </c>
      <c r="L426" s="17"/>
    </row>
    <row r="427" spans="1:12" ht="16" outlineLevel="3" collapsed="1" x14ac:dyDescent="0.2">
      <c r="A427" s="17" t="s">
        <v>15</v>
      </c>
      <c r="B427" s="17" t="s">
        <v>22</v>
      </c>
      <c r="C427" s="17" t="s">
        <v>2174</v>
      </c>
      <c r="D427" s="17" t="s">
        <v>2235</v>
      </c>
      <c r="E427" s="15" t="s">
        <v>1291</v>
      </c>
      <c r="F427" s="17"/>
      <c r="G427" s="17" t="s">
        <v>15</v>
      </c>
      <c r="H427" s="17" t="s">
        <v>21</v>
      </c>
      <c r="I427" s="17" t="s">
        <v>2</v>
      </c>
      <c r="J427" s="17" t="s">
        <v>2</v>
      </c>
      <c r="L427" s="17"/>
    </row>
    <row r="428" spans="1:12" ht="32" outlineLevel="3" collapsed="1" x14ac:dyDescent="0.2">
      <c r="A428" s="17" t="s">
        <v>21</v>
      </c>
      <c r="B428" s="17" t="s">
        <v>16</v>
      </c>
      <c r="C428" s="17" t="s">
        <v>2</v>
      </c>
      <c r="D428" s="17" t="s">
        <v>2236</v>
      </c>
      <c r="E428" s="15" t="s">
        <v>1276</v>
      </c>
      <c r="F428" s="17"/>
      <c r="G428" s="17" t="s">
        <v>15</v>
      </c>
      <c r="H428" s="17" t="s">
        <v>19</v>
      </c>
      <c r="I428" s="17" t="s">
        <v>2</v>
      </c>
      <c r="J428" s="17" t="s">
        <v>2</v>
      </c>
      <c r="L428" s="17"/>
    </row>
    <row r="429" spans="1:12" ht="114" customHeight="1" outlineLevel="3" collapsed="1" x14ac:dyDescent="0.2">
      <c r="A429" s="4" t="s">
        <v>15</v>
      </c>
      <c r="B429" s="4" t="s">
        <v>520</v>
      </c>
      <c r="C429" s="4" t="s">
        <v>2</v>
      </c>
      <c r="D429" s="4"/>
      <c r="E429" s="12" t="s">
        <v>1089</v>
      </c>
      <c r="F429" s="4"/>
      <c r="G429" s="4" t="s">
        <v>21</v>
      </c>
      <c r="H429" s="4" t="s">
        <v>1090</v>
      </c>
      <c r="I429" s="4" t="s">
        <v>2</v>
      </c>
      <c r="J429" s="4" t="s">
        <v>2</v>
      </c>
      <c r="L429" s="4" t="s">
        <v>838</v>
      </c>
    </row>
    <row r="430" spans="1:12" ht="25" outlineLevel="2" x14ac:dyDescent="0.2">
      <c r="A430" s="4" t="s">
        <v>15</v>
      </c>
      <c r="B430" s="4" t="s">
        <v>25</v>
      </c>
      <c r="C430" s="6" t="s">
        <v>365</v>
      </c>
      <c r="D430" s="4"/>
      <c r="E430" s="13" t="s">
        <v>1091</v>
      </c>
      <c r="F430" s="4"/>
      <c r="G430" s="4" t="s">
        <v>15</v>
      </c>
      <c r="H430" s="4" t="s">
        <v>2</v>
      </c>
      <c r="I430" s="4" t="s">
        <v>2</v>
      </c>
      <c r="J430" s="4" t="s">
        <v>2</v>
      </c>
      <c r="L430" s="4" t="s">
        <v>536</v>
      </c>
    </row>
    <row r="431" spans="1:12" ht="102" customHeight="1" outlineLevel="2" collapsed="1" x14ac:dyDescent="0.2">
      <c r="A431" s="4" t="s">
        <v>21</v>
      </c>
      <c r="B431" s="4" t="s">
        <v>16</v>
      </c>
      <c r="C431" s="4" t="s">
        <v>2</v>
      </c>
      <c r="D431" s="4" t="s">
        <v>2079</v>
      </c>
      <c r="E431" s="12" t="s">
        <v>762</v>
      </c>
      <c r="F431" s="4"/>
      <c r="G431" s="4" t="s">
        <v>15</v>
      </c>
      <c r="H431" s="4" t="s">
        <v>19</v>
      </c>
      <c r="I431" s="4" t="s">
        <v>2</v>
      </c>
      <c r="J431" s="4" t="s">
        <v>2</v>
      </c>
      <c r="L431" s="4" t="s">
        <v>843</v>
      </c>
    </row>
    <row r="432" spans="1:12" ht="25" outlineLevel="2" collapsed="1" x14ac:dyDescent="0.2">
      <c r="A432" s="4" t="s">
        <v>15</v>
      </c>
      <c r="B432" s="4" t="s">
        <v>25</v>
      </c>
      <c r="C432" s="6" t="s">
        <v>365</v>
      </c>
      <c r="D432" s="4"/>
      <c r="E432" s="13" t="s">
        <v>1092</v>
      </c>
      <c r="F432" s="4"/>
      <c r="G432" s="4" t="s">
        <v>15</v>
      </c>
      <c r="H432" s="4" t="s">
        <v>2</v>
      </c>
      <c r="I432" s="4" t="s">
        <v>2</v>
      </c>
      <c r="J432" s="4" t="s">
        <v>2</v>
      </c>
      <c r="L432" s="4" t="s">
        <v>851</v>
      </c>
    </row>
    <row r="433" spans="1:12" ht="409.6" outlineLevel="2" collapsed="1" x14ac:dyDescent="0.2">
      <c r="A433" s="4" t="s">
        <v>15</v>
      </c>
      <c r="B433" s="4" t="s">
        <v>25</v>
      </c>
      <c r="C433" s="6" t="s">
        <v>365</v>
      </c>
      <c r="D433" s="4"/>
      <c r="E433" s="13" t="s">
        <v>1298</v>
      </c>
      <c r="F433" s="4"/>
      <c r="G433" s="4" t="s">
        <v>15</v>
      </c>
      <c r="H433" s="4" t="s">
        <v>2</v>
      </c>
      <c r="I433" s="4" t="s">
        <v>2</v>
      </c>
      <c r="J433" s="4" t="s">
        <v>2</v>
      </c>
      <c r="L433" s="4" t="s">
        <v>852</v>
      </c>
    </row>
    <row r="434" spans="1:12" ht="25" outlineLevel="2" x14ac:dyDescent="0.2">
      <c r="A434" s="4" t="s">
        <v>15</v>
      </c>
      <c r="B434" s="4" t="s">
        <v>25</v>
      </c>
      <c r="C434" s="6" t="s">
        <v>365</v>
      </c>
      <c r="D434" s="4"/>
      <c r="E434" s="13" t="s">
        <v>1299</v>
      </c>
      <c r="F434" s="4"/>
      <c r="G434" s="4" t="s">
        <v>15</v>
      </c>
      <c r="H434" s="4" t="s">
        <v>2</v>
      </c>
      <c r="I434" s="4" t="s">
        <v>2</v>
      </c>
      <c r="J434" s="4" t="s">
        <v>2</v>
      </c>
      <c r="L434" s="4" t="s">
        <v>2275</v>
      </c>
    </row>
    <row r="435" spans="1:12" s="21" customFormat="1" ht="16" outlineLevel="2" x14ac:dyDescent="0.2">
      <c r="A435" s="21" t="s">
        <v>21</v>
      </c>
      <c r="B435" s="22" t="s">
        <v>22</v>
      </c>
      <c r="C435" s="22" t="s">
        <v>1609</v>
      </c>
      <c r="D435"/>
      <c r="E435" s="23" t="s">
        <v>1306</v>
      </c>
      <c r="F435" s="22"/>
      <c r="G435" s="22" t="s">
        <v>15</v>
      </c>
      <c r="H435" s="22" t="s">
        <v>21</v>
      </c>
      <c r="I435" s="22" t="s">
        <v>2</v>
      </c>
      <c r="J435" s="22" t="s">
        <v>2</v>
      </c>
      <c r="L435" s="21" t="s">
        <v>2275</v>
      </c>
    </row>
    <row r="436" spans="1:12" s="21" customFormat="1" ht="32" outlineLevel="2" x14ac:dyDescent="0.2">
      <c r="A436" s="22" t="s">
        <v>21</v>
      </c>
      <c r="B436" s="22" t="s">
        <v>22</v>
      </c>
      <c r="C436" s="22" t="s">
        <v>171</v>
      </c>
      <c r="D436" s="22"/>
      <c r="E436" s="23" t="s">
        <v>1308</v>
      </c>
      <c r="F436" s="22"/>
      <c r="G436" s="22"/>
      <c r="H436" s="22"/>
      <c r="I436" s="22"/>
      <c r="J436" s="22"/>
      <c r="L436" s="22" t="s">
        <v>2275</v>
      </c>
    </row>
    <row r="437" spans="1:12" ht="25" outlineLevel="2" x14ac:dyDescent="0.2">
      <c r="A437" s="4" t="s">
        <v>15</v>
      </c>
      <c r="B437" s="4" t="s">
        <v>25</v>
      </c>
      <c r="C437" s="6" t="s">
        <v>365</v>
      </c>
      <c r="D437" s="4"/>
      <c r="E437" s="13" t="s">
        <v>1611</v>
      </c>
      <c r="F437" s="4"/>
      <c r="G437" s="4" t="s">
        <v>15</v>
      </c>
      <c r="H437" s="4" t="s">
        <v>2</v>
      </c>
      <c r="I437" s="4" t="s">
        <v>2</v>
      </c>
      <c r="J437" s="4" t="s">
        <v>2</v>
      </c>
      <c r="L437" s="4" t="s">
        <v>2275</v>
      </c>
    </row>
    <row r="438" spans="1:12" ht="325" outlineLevel="2" x14ac:dyDescent="0.2">
      <c r="A438" s="4" t="s">
        <v>15</v>
      </c>
      <c r="B438" s="4" t="s">
        <v>25</v>
      </c>
      <c r="C438" s="6"/>
      <c r="D438" s="4"/>
      <c r="E438" s="13" t="s">
        <v>1612</v>
      </c>
      <c r="F438" s="4"/>
      <c r="G438" s="4"/>
      <c r="H438" s="4"/>
      <c r="I438" s="4"/>
      <c r="J438" s="4"/>
      <c r="L438" s="4" t="s">
        <v>2275</v>
      </c>
    </row>
    <row r="439" spans="1:12" ht="25" outlineLevel="2" collapsed="1" x14ac:dyDescent="0.3">
      <c r="A439" s="4" t="s">
        <v>15</v>
      </c>
      <c r="B439" s="4" t="s">
        <v>25</v>
      </c>
      <c r="C439" s="7"/>
      <c r="D439" s="4"/>
      <c r="E439" s="13" t="s">
        <v>1301</v>
      </c>
      <c r="F439" s="4"/>
      <c r="G439" s="4" t="s">
        <v>15</v>
      </c>
      <c r="H439" s="4" t="s">
        <v>2</v>
      </c>
      <c r="I439" s="4" t="s">
        <v>2</v>
      </c>
      <c r="J439" s="4" t="s">
        <v>2</v>
      </c>
      <c r="L439" s="4" t="s">
        <v>2275</v>
      </c>
    </row>
    <row r="440" spans="1:12" ht="25" outlineLevel="2" collapsed="1" x14ac:dyDescent="0.2">
      <c r="A440" s="4" t="s">
        <v>15</v>
      </c>
      <c r="B440" s="4" t="s">
        <v>25</v>
      </c>
      <c r="C440" s="6" t="s">
        <v>365</v>
      </c>
      <c r="D440" s="4"/>
      <c r="E440" s="13" t="s">
        <v>1093</v>
      </c>
      <c r="F440" s="4"/>
      <c r="G440" s="4" t="s">
        <v>15</v>
      </c>
      <c r="H440" s="4" t="s">
        <v>2</v>
      </c>
      <c r="I440" s="4" t="s">
        <v>2</v>
      </c>
      <c r="J440" s="4" t="s">
        <v>2</v>
      </c>
      <c r="L440" s="4" t="s">
        <v>537</v>
      </c>
    </row>
    <row r="441" spans="1:12" ht="96" outlineLevel="2" collapsed="1" x14ac:dyDescent="0.2">
      <c r="A441" s="4" t="s">
        <v>21</v>
      </c>
      <c r="B441" s="4" t="s">
        <v>16</v>
      </c>
      <c r="C441" s="4" t="s">
        <v>2</v>
      </c>
      <c r="D441" s="4" t="s">
        <v>2150</v>
      </c>
      <c r="E441" s="12" t="s">
        <v>1300</v>
      </c>
      <c r="F441" s="4"/>
      <c r="G441" s="4" t="s">
        <v>15</v>
      </c>
      <c r="H441" s="4" t="s">
        <v>19</v>
      </c>
      <c r="I441" s="4" t="s">
        <v>2</v>
      </c>
      <c r="J441" s="4" t="s">
        <v>2</v>
      </c>
      <c r="L441" s="4" t="s">
        <v>2275</v>
      </c>
    </row>
    <row r="442" spans="1:12" ht="32" outlineLevel="2" x14ac:dyDescent="0.2">
      <c r="A442" s="4"/>
      <c r="B442" s="4" t="s">
        <v>16</v>
      </c>
      <c r="C442" s="6"/>
      <c r="D442" s="4" t="s">
        <v>2151</v>
      </c>
      <c r="E442" s="34" t="s">
        <v>1613</v>
      </c>
      <c r="F442" s="4"/>
      <c r="G442" s="4"/>
      <c r="H442" s="4"/>
      <c r="I442" s="4"/>
      <c r="J442" s="4"/>
      <c r="L442" s="4" t="s">
        <v>2275</v>
      </c>
    </row>
    <row r="443" spans="1:12" ht="25" outlineLevel="2" collapsed="1" x14ac:dyDescent="0.2">
      <c r="A443" s="4" t="s">
        <v>15</v>
      </c>
      <c r="B443" s="4" t="s">
        <v>25</v>
      </c>
      <c r="C443" s="6" t="s">
        <v>365</v>
      </c>
      <c r="D443" s="4"/>
      <c r="E443" s="13" t="s">
        <v>1094</v>
      </c>
      <c r="F443" s="4"/>
      <c r="G443" s="4" t="s">
        <v>15</v>
      </c>
      <c r="H443" s="4" t="s">
        <v>2</v>
      </c>
      <c r="I443" s="4" t="s">
        <v>2</v>
      </c>
      <c r="J443" s="4" t="s">
        <v>2</v>
      </c>
      <c r="L443" s="4" t="s">
        <v>854</v>
      </c>
    </row>
    <row r="444" spans="1:12" ht="208" outlineLevel="2" collapsed="1" x14ac:dyDescent="0.2">
      <c r="A444" s="4" t="s">
        <v>21</v>
      </c>
      <c r="B444" s="4" t="s">
        <v>16</v>
      </c>
      <c r="C444" s="4" t="s">
        <v>2</v>
      </c>
      <c r="D444" s="4" t="s">
        <v>2152</v>
      </c>
      <c r="E444" s="12" t="s">
        <v>1095</v>
      </c>
      <c r="F444" s="4"/>
      <c r="G444" s="4" t="s">
        <v>15</v>
      </c>
      <c r="H444" s="4" t="s">
        <v>19</v>
      </c>
      <c r="I444" s="4" t="s">
        <v>2</v>
      </c>
      <c r="J444" s="4" t="s">
        <v>2</v>
      </c>
      <c r="L444" s="4" t="s">
        <v>856</v>
      </c>
    </row>
    <row r="445" spans="1:12" ht="32" outlineLevel="2" collapsed="1" x14ac:dyDescent="0.2">
      <c r="A445" s="4" t="s">
        <v>21</v>
      </c>
      <c r="B445" s="4" t="s">
        <v>16</v>
      </c>
      <c r="C445" s="4" t="s">
        <v>2</v>
      </c>
      <c r="D445" s="4" t="s">
        <v>2153</v>
      </c>
      <c r="E445" s="12" t="s">
        <v>1613</v>
      </c>
      <c r="F445" s="4"/>
      <c r="G445" s="4" t="s">
        <v>15</v>
      </c>
      <c r="H445" s="4" t="s">
        <v>19</v>
      </c>
      <c r="I445" s="4" t="s">
        <v>2</v>
      </c>
      <c r="J445" s="4" t="s">
        <v>2</v>
      </c>
      <c r="L445" s="4" t="s">
        <v>2275</v>
      </c>
    </row>
    <row r="446" spans="1:12" ht="25" outlineLevel="2" collapsed="1" x14ac:dyDescent="0.2">
      <c r="A446" s="4" t="s">
        <v>15</v>
      </c>
      <c r="B446" s="4" t="s">
        <v>25</v>
      </c>
      <c r="C446" s="6" t="s">
        <v>365</v>
      </c>
      <c r="D446" s="4"/>
      <c r="E446" s="13" t="s">
        <v>1096</v>
      </c>
      <c r="F446" s="4"/>
      <c r="G446" s="4" t="s">
        <v>15</v>
      </c>
      <c r="H446" s="4" t="s">
        <v>2</v>
      </c>
      <c r="I446" s="4" t="s">
        <v>2</v>
      </c>
      <c r="J446" s="4" t="s">
        <v>2</v>
      </c>
      <c r="L446" s="4" t="s">
        <v>859</v>
      </c>
    </row>
    <row r="447" spans="1:12" ht="64" outlineLevel="2" collapsed="1" x14ac:dyDescent="0.2">
      <c r="A447" s="4" t="s">
        <v>21</v>
      </c>
      <c r="B447" s="4" t="s">
        <v>16</v>
      </c>
      <c r="C447" s="4" t="s">
        <v>2</v>
      </c>
      <c r="D447" s="4" t="s">
        <v>2080</v>
      </c>
      <c r="E447" s="12" t="s">
        <v>1097</v>
      </c>
      <c r="F447" s="4"/>
      <c r="G447" s="4" t="s">
        <v>15</v>
      </c>
      <c r="H447" s="4" t="s">
        <v>19</v>
      </c>
      <c r="I447" s="4" t="s">
        <v>2</v>
      </c>
      <c r="J447" s="4" t="s">
        <v>2</v>
      </c>
      <c r="L447" s="4" t="s">
        <v>861</v>
      </c>
    </row>
    <row r="448" spans="1:12" ht="16" outlineLevel="2" x14ac:dyDescent="0.2">
      <c r="A448" s="4" t="s">
        <v>15</v>
      </c>
      <c r="B448" s="4" t="s">
        <v>25</v>
      </c>
      <c r="C448" s="6" t="s">
        <v>365</v>
      </c>
      <c r="D448" s="4"/>
      <c r="E448" s="12" t="s">
        <v>1614</v>
      </c>
      <c r="F448" s="4"/>
      <c r="G448" s="4"/>
      <c r="H448" s="4"/>
      <c r="I448" s="4"/>
      <c r="J448" s="4"/>
      <c r="L448" s="4" t="s">
        <v>2275</v>
      </c>
    </row>
    <row r="449" spans="1:12" ht="16" outlineLevel="2" x14ac:dyDescent="0.2">
      <c r="A449" s="4" t="s">
        <v>21</v>
      </c>
      <c r="B449" s="35" t="s">
        <v>22</v>
      </c>
      <c r="C449" s="4" t="s">
        <v>171</v>
      </c>
      <c r="D449" s="4" t="s">
        <v>1939</v>
      </c>
      <c r="E449" s="12" t="s">
        <v>1615</v>
      </c>
      <c r="F449" s="4"/>
      <c r="G449" s="4"/>
      <c r="H449" s="4"/>
      <c r="I449" s="4"/>
      <c r="J449" s="4"/>
      <c r="L449" s="4" t="s">
        <v>2275</v>
      </c>
    </row>
    <row r="450" spans="1:12" ht="80" outlineLevel="2" x14ac:dyDescent="0.2">
      <c r="A450" s="4"/>
      <c r="B450" s="35" t="s">
        <v>16</v>
      </c>
      <c r="C450" s="4"/>
      <c r="D450" s="4"/>
      <c r="E450" s="12" t="s">
        <v>1616</v>
      </c>
      <c r="F450" s="4"/>
      <c r="G450" s="4"/>
      <c r="H450" s="4"/>
      <c r="I450" s="4"/>
      <c r="J450" s="4"/>
      <c r="L450" s="4" t="s">
        <v>2275</v>
      </c>
    </row>
    <row r="451" spans="1:12" ht="16" outlineLevel="2" x14ac:dyDescent="0.2">
      <c r="A451" s="17" t="s">
        <v>21</v>
      </c>
      <c r="B451" t="s">
        <v>1178</v>
      </c>
      <c r="C451" s="17" t="s">
        <v>1098</v>
      </c>
      <c r="D451" s="17" t="s">
        <v>1099</v>
      </c>
      <c r="E451" s="15" t="s">
        <v>1098</v>
      </c>
      <c r="F451" s="17"/>
      <c r="G451" s="17" t="s">
        <v>15</v>
      </c>
      <c r="H451" s="17" t="s">
        <v>19</v>
      </c>
      <c r="I451" s="17" t="s">
        <v>544</v>
      </c>
      <c r="J451" s="17" t="s">
        <v>544</v>
      </c>
      <c r="L451" s="17" t="s">
        <v>1099</v>
      </c>
    </row>
    <row r="452" spans="1:12" ht="25" outlineLevel="3" collapsed="1" x14ac:dyDescent="0.2">
      <c r="A452" s="4" t="s">
        <v>15</v>
      </c>
      <c r="B452" s="4" t="s">
        <v>25</v>
      </c>
      <c r="C452" s="6" t="s">
        <v>365</v>
      </c>
      <c r="D452" s="4"/>
      <c r="E452" s="13" t="s">
        <v>1100</v>
      </c>
      <c r="F452" s="4"/>
      <c r="G452" s="4" t="s">
        <v>15</v>
      </c>
      <c r="H452" s="4" t="s">
        <v>2</v>
      </c>
      <c r="I452" s="4" t="s">
        <v>2</v>
      </c>
      <c r="J452" s="4" t="s">
        <v>2</v>
      </c>
      <c r="L452" s="4" t="s">
        <v>20</v>
      </c>
    </row>
    <row r="453" spans="1:12" ht="256" outlineLevel="3" collapsed="1" x14ac:dyDescent="0.2">
      <c r="A453" s="4" t="s">
        <v>15</v>
      </c>
      <c r="B453" s="4" t="s">
        <v>16</v>
      </c>
      <c r="C453" s="4" t="s">
        <v>2</v>
      </c>
      <c r="D453" s="4"/>
      <c r="E453" s="12" t="s">
        <v>1101</v>
      </c>
      <c r="F453" s="4"/>
      <c r="G453" s="4" t="s">
        <v>15</v>
      </c>
      <c r="H453" s="4" t="s">
        <v>19</v>
      </c>
      <c r="I453" s="4" t="s">
        <v>2</v>
      </c>
      <c r="J453" s="4" t="s">
        <v>2</v>
      </c>
      <c r="L453" s="4" t="s">
        <v>24</v>
      </c>
    </row>
    <row r="454" spans="1:12" ht="50" outlineLevel="3" collapsed="1" x14ac:dyDescent="0.2">
      <c r="A454" s="4" t="s">
        <v>15</v>
      </c>
      <c r="B454" s="4" t="s">
        <v>25</v>
      </c>
      <c r="C454" s="6" t="s">
        <v>365</v>
      </c>
      <c r="D454" s="4"/>
      <c r="E454" s="13" t="s">
        <v>1102</v>
      </c>
      <c r="F454" s="4"/>
      <c r="G454" s="4" t="s">
        <v>15</v>
      </c>
      <c r="H454" s="4" t="s">
        <v>2</v>
      </c>
      <c r="I454" s="4" t="s">
        <v>2</v>
      </c>
      <c r="J454" s="4" t="s">
        <v>2</v>
      </c>
      <c r="L454" s="4" t="s">
        <v>27</v>
      </c>
    </row>
    <row r="455" spans="1:12" ht="225" outlineLevel="3" collapsed="1" x14ac:dyDescent="0.2">
      <c r="A455" s="4" t="s">
        <v>15</v>
      </c>
      <c r="B455" s="4" t="s">
        <v>25</v>
      </c>
      <c r="C455" s="6" t="s">
        <v>365</v>
      </c>
      <c r="D455" s="4"/>
      <c r="E455" s="13" t="s">
        <v>1103</v>
      </c>
      <c r="F455" s="4"/>
      <c r="G455" s="4" t="s">
        <v>15</v>
      </c>
      <c r="H455" s="4" t="s">
        <v>2</v>
      </c>
      <c r="I455" s="4" t="s">
        <v>2</v>
      </c>
      <c r="J455" s="4" t="s">
        <v>2</v>
      </c>
      <c r="L455" s="4" t="s">
        <v>29</v>
      </c>
    </row>
    <row r="456" spans="1:12" ht="50" outlineLevel="3" collapsed="1" x14ac:dyDescent="0.2">
      <c r="A456" s="4" t="s">
        <v>15</v>
      </c>
      <c r="B456" s="4" t="s">
        <v>25</v>
      </c>
      <c r="C456" s="6" t="s">
        <v>365</v>
      </c>
      <c r="D456" s="4"/>
      <c r="E456" s="13" t="s">
        <v>1104</v>
      </c>
      <c r="F456" s="4"/>
      <c r="G456" s="4" t="s">
        <v>15</v>
      </c>
      <c r="H456" s="4" t="s">
        <v>2</v>
      </c>
      <c r="I456" s="4" t="s">
        <v>2</v>
      </c>
      <c r="J456" s="4" t="s">
        <v>2</v>
      </c>
      <c r="L456" s="4" t="s">
        <v>31</v>
      </c>
    </row>
    <row r="457" spans="1:12" ht="409.6" outlineLevel="3" collapsed="1" x14ac:dyDescent="0.2">
      <c r="A457" s="4" t="s">
        <v>15</v>
      </c>
      <c r="B457" s="4" t="s">
        <v>25</v>
      </c>
      <c r="C457" s="6" t="s">
        <v>365</v>
      </c>
      <c r="D457" s="4"/>
      <c r="E457" s="13" t="s">
        <v>1105</v>
      </c>
      <c r="F457" s="4"/>
      <c r="G457" s="4" t="s">
        <v>15</v>
      </c>
      <c r="H457" s="4" t="s">
        <v>2</v>
      </c>
      <c r="I457" s="4" t="s">
        <v>2</v>
      </c>
      <c r="J457" s="4" t="s">
        <v>2</v>
      </c>
      <c r="L457" s="4" t="s">
        <v>33</v>
      </c>
    </row>
    <row r="458" spans="1:12" ht="16" outlineLevel="3" collapsed="1" x14ac:dyDescent="0.2">
      <c r="A458" s="4" t="s">
        <v>15</v>
      </c>
      <c r="B458" s="4" t="s">
        <v>16</v>
      </c>
      <c r="C458" s="4" t="s">
        <v>2</v>
      </c>
      <c r="D458" s="4"/>
      <c r="E458" s="12" t="s">
        <v>1106</v>
      </c>
      <c r="F458" s="4"/>
      <c r="G458" s="4" t="s">
        <v>15</v>
      </c>
      <c r="H458" s="4" t="s">
        <v>19</v>
      </c>
      <c r="I458" s="4" t="s">
        <v>2</v>
      </c>
      <c r="J458" s="4" t="s">
        <v>2</v>
      </c>
      <c r="L458" s="4" t="s">
        <v>35</v>
      </c>
    </row>
    <row r="459" spans="1:12" ht="50" outlineLevel="3" collapsed="1" x14ac:dyDescent="0.2">
      <c r="A459" s="4" t="s">
        <v>15</v>
      </c>
      <c r="B459" s="4" t="s">
        <v>25</v>
      </c>
      <c r="C459" s="6" t="s">
        <v>365</v>
      </c>
      <c r="D459" s="4"/>
      <c r="E459" s="13" t="s">
        <v>1107</v>
      </c>
      <c r="F459" s="4"/>
      <c r="G459" s="4" t="s">
        <v>15</v>
      </c>
      <c r="H459" s="4" t="s">
        <v>2</v>
      </c>
      <c r="I459" s="4" t="s">
        <v>2</v>
      </c>
      <c r="J459" s="4" t="s">
        <v>2</v>
      </c>
      <c r="L459" s="4" t="s">
        <v>37</v>
      </c>
    </row>
    <row r="460" spans="1:12" ht="409.6" outlineLevel="3" collapsed="1" x14ac:dyDescent="0.2">
      <c r="A460" s="4" t="s">
        <v>15</v>
      </c>
      <c r="B460" s="4" t="s">
        <v>25</v>
      </c>
      <c r="C460" s="6" t="s">
        <v>365</v>
      </c>
      <c r="D460" s="4"/>
      <c r="E460" s="13" t="s">
        <v>1108</v>
      </c>
      <c r="F460" s="4"/>
      <c r="G460" s="4" t="s">
        <v>15</v>
      </c>
      <c r="H460" s="4" t="s">
        <v>2</v>
      </c>
      <c r="I460" s="4" t="s">
        <v>2</v>
      </c>
      <c r="J460" s="4" t="s">
        <v>2</v>
      </c>
      <c r="L460" s="4" t="s">
        <v>39</v>
      </c>
    </row>
    <row r="461" spans="1:12" ht="16" outlineLevel="3" collapsed="1" x14ac:dyDescent="0.2">
      <c r="A461" s="4" t="s">
        <v>15</v>
      </c>
      <c r="B461" s="4" t="s">
        <v>16</v>
      </c>
      <c r="C461" s="4" t="s">
        <v>2</v>
      </c>
      <c r="D461" s="4"/>
      <c r="E461" s="12" t="s">
        <v>1109</v>
      </c>
      <c r="F461" s="4"/>
      <c r="G461" s="4" t="s">
        <v>15</v>
      </c>
      <c r="H461" s="4" t="s">
        <v>19</v>
      </c>
      <c r="I461" s="4" t="s">
        <v>2</v>
      </c>
      <c r="J461" s="4" t="s">
        <v>2</v>
      </c>
      <c r="L461" s="4" t="s">
        <v>41</v>
      </c>
    </row>
    <row r="462" spans="1:12" ht="32" outlineLevel="3" collapsed="1" x14ac:dyDescent="0.2">
      <c r="A462" s="4" t="s">
        <v>15</v>
      </c>
      <c r="B462" s="4" t="s">
        <v>22</v>
      </c>
      <c r="C462" t="s">
        <v>1318</v>
      </c>
      <c r="D462" s="4"/>
      <c r="E462" s="12" t="s">
        <v>1110</v>
      </c>
      <c r="F462" s="4"/>
      <c r="G462" s="4" t="s">
        <v>15</v>
      </c>
      <c r="H462" s="4" t="s">
        <v>1111</v>
      </c>
      <c r="I462" s="4" t="s">
        <v>2</v>
      </c>
      <c r="J462" s="4" t="s">
        <v>2</v>
      </c>
      <c r="L462" s="4" t="s">
        <v>43</v>
      </c>
    </row>
    <row r="463" spans="1:12" ht="16" outlineLevel="3" x14ac:dyDescent="0.2">
      <c r="A463" s="5" t="s">
        <v>15</v>
      </c>
      <c r="B463" t="s">
        <v>1178</v>
      </c>
      <c r="C463" s="5" t="s">
        <v>1617</v>
      </c>
      <c r="D463" s="5"/>
      <c r="E463" s="11" t="s">
        <v>1112</v>
      </c>
      <c r="F463" s="5" t="b">
        <f>EXACT(H462,"Step 3 (Investment Analysis)")</f>
        <v>0</v>
      </c>
      <c r="G463" s="5" t="s">
        <v>15</v>
      </c>
      <c r="H463" s="5" t="s">
        <v>2</v>
      </c>
      <c r="I463" s="5" t="s">
        <v>2</v>
      </c>
      <c r="J463" s="5" t="s">
        <v>2</v>
      </c>
      <c r="L463" s="5" t="s">
        <v>51</v>
      </c>
    </row>
    <row r="464" spans="1:12" ht="250" outlineLevel="4" collapsed="1" x14ac:dyDescent="0.2">
      <c r="A464" s="4" t="s">
        <v>15</v>
      </c>
      <c r="B464" s="4" t="s">
        <v>25</v>
      </c>
      <c r="C464" s="6" t="s">
        <v>365</v>
      </c>
      <c r="D464" s="4"/>
      <c r="E464" s="13" t="s">
        <v>1113</v>
      </c>
      <c r="F464" s="4"/>
      <c r="G464" s="4" t="s">
        <v>15</v>
      </c>
      <c r="H464" s="4" t="s">
        <v>2</v>
      </c>
      <c r="I464" s="4" t="s">
        <v>2</v>
      </c>
      <c r="J464" s="4" t="s">
        <v>2</v>
      </c>
      <c r="L464" s="4" t="s">
        <v>20</v>
      </c>
    </row>
    <row r="465" spans="1:12" ht="32" outlineLevel="4" collapsed="1" x14ac:dyDescent="0.2">
      <c r="A465" s="4" t="s">
        <v>15</v>
      </c>
      <c r="B465" s="4" t="s">
        <v>22</v>
      </c>
      <c r="C465" t="s">
        <v>1318</v>
      </c>
      <c r="D465" s="4"/>
      <c r="E465" s="12" t="s">
        <v>1114</v>
      </c>
      <c r="F465" s="4"/>
      <c r="G465" s="4" t="s">
        <v>15</v>
      </c>
      <c r="H465" s="4" t="s">
        <v>1115</v>
      </c>
      <c r="I465" s="4" t="s">
        <v>2</v>
      </c>
      <c r="J465" s="4" t="s">
        <v>2</v>
      </c>
      <c r="L465" s="4" t="s">
        <v>24</v>
      </c>
    </row>
    <row r="466" spans="1:12" ht="16" outlineLevel="4" x14ac:dyDescent="0.2">
      <c r="A466" s="5" t="s">
        <v>15</v>
      </c>
      <c r="B466" t="s">
        <v>1178</v>
      </c>
      <c r="C466" s="5" t="s">
        <v>1618</v>
      </c>
      <c r="D466" s="5"/>
      <c r="E466" s="11" t="s">
        <v>1116</v>
      </c>
      <c r="F466" s="5" t="b">
        <f>EXACT(H465,"b) Option 2: Benchmark analysis")</f>
        <v>0</v>
      </c>
      <c r="G466" s="5" t="s">
        <v>15</v>
      </c>
      <c r="H466" s="5" t="s">
        <v>2</v>
      </c>
      <c r="I466" s="5" t="s">
        <v>2</v>
      </c>
      <c r="J466" s="5" t="s">
        <v>2</v>
      </c>
      <c r="L466" s="5" t="s">
        <v>31</v>
      </c>
    </row>
    <row r="467" spans="1:12" ht="400" outlineLevel="5" collapsed="1" x14ac:dyDescent="0.2">
      <c r="A467" s="4" t="s">
        <v>15</v>
      </c>
      <c r="B467" s="4" t="s">
        <v>25</v>
      </c>
      <c r="C467" s="6" t="s">
        <v>365</v>
      </c>
      <c r="D467" s="4"/>
      <c r="E467" s="13" t="s">
        <v>1117</v>
      </c>
      <c r="F467" s="4"/>
      <c r="G467" s="4" t="s">
        <v>15</v>
      </c>
      <c r="H467" s="4" t="s">
        <v>2</v>
      </c>
      <c r="I467" s="4" t="s">
        <v>2</v>
      </c>
      <c r="J467" s="4" t="s">
        <v>2</v>
      </c>
      <c r="L467" s="4" t="s">
        <v>20</v>
      </c>
    </row>
    <row r="468" spans="1:12" ht="16" outlineLevel="5" collapsed="1" x14ac:dyDescent="0.2">
      <c r="A468" s="4" t="s">
        <v>15</v>
      </c>
      <c r="B468" s="4" t="s">
        <v>16</v>
      </c>
      <c r="C468" s="4" t="s">
        <v>2</v>
      </c>
      <c r="D468" s="4"/>
      <c r="E468" s="12" t="s">
        <v>1109</v>
      </c>
      <c r="F468" s="4"/>
      <c r="G468" s="4" t="s">
        <v>15</v>
      </c>
      <c r="H468" s="4" t="s">
        <v>19</v>
      </c>
      <c r="I468" s="4" t="s">
        <v>2</v>
      </c>
      <c r="J468" s="4" t="s">
        <v>2</v>
      </c>
      <c r="L468" s="4" t="s">
        <v>24</v>
      </c>
    </row>
    <row r="469" spans="1:12" ht="16" outlineLevel="5" collapsed="1" x14ac:dyDescent="0.2">
      <c r="A469" s="4" t="s">
        <v>15</v>
      </c>
      <c r="B469" s="4" t="s">
        <v>520</v>
      </c>
      <c r="C469" s="4" t="s">
        <v>2</v>
      </c>
      <c r="D469" s="4"/>
      <c r="E469" s="12" t="s">
        <v>1118</v>
      </c>
      <c r="F469" s="4"/>
      <c r="G469" s="4" t="s">
        <v>21</v>
      </c>
      <c r="H469" s="4" t="s">
        <v>1119</v>
      </c>
      <c r="I469" s="4" t="s">
        <v>2</v>
      </c>
      <c r="J469" s="4" t="s">
        <v>2</v>
      </c>
      <c r="L469" s="4" t="s">
        <v>27</v>
      </c>
    </row>
    <row r="470" spans="1:12" ht="16" outlineLevel="4" x14ac:dyDescent="0.2">
      <c r="A470" s="5" t="s">
        <v>15</v>
      </c>
      <c r="B470" t="s">
        <v>1178</v>
      </c>
      <c r="C470" s="5" t="s">
        <v>1619</v>
      </c>
      <c r="D470" s="5"/>
      <c r="E470" s="11" t="s">
        <v>1120</v>
      </c>
      <c r="F470" s="5" t="b">
        <f>EXACT(H465,"a) Option 1: Investment comparison analysis")</f>
        <v>1</v>
      </c>
      <c r="G470" s="5" t="s">
        <v>15</v>
      </c>
      <c r="H470" s="5" t="s">
        <v>2</v>
      </c>
      <c r="I470" s="5" t="s">
        <v>2</v>
      </c>
      <c r="J470" s="5" t="s">
        <v>2</v>
      </c>
      <c r="L470" s="5" t="s">
        <v>29</v>
      </c>
    </row>
    <row r="471" spans="1:12" ht="400" outlineLevel="5" collapsed="1" x14ac:dyDescent="0.2">
      <c r="A471" s="4" t="s">
        <v>15</v>
      </c>
      <c r="B471" s="4" t="s">
        <v>25</v>
      </c>
      <c r="C471" s="6" t="s">
        <v>365</v>
      </c>
      <c r="D471" s="4"/>
      <c r="E471" s="13" t="s">
        <v>1121</v>
      </c>
      <c r="F471" s="4"/>
      <c r="G471" s="4" t="s">
        <v>15</v>
      </c>
      <c r="H471" s="4" t="s">
        <v>2</v>
      </c>
      <c r="I471" s="4" t="s">
        <v>2</v>
      </c>
      <c r="J471" s="4" t="s">
        <v>2</v>
      </c>
      <c r="L471" s="4" t="s">
        <v>20</v>
      </c>
    </row>
    <row r="472" spans="1:12" ht="16" outlineLevel="5" collapsed="1" x14ac:dyDescent="0.2">
      <c r="A472" s="4" t="s">
        <v>15</v>
      </c>
      <c r="B472" s="4" t="s">
        <v>16</v>
      </c>
      <c r="C472" s="4" t="s">
        <v>2</v>
      </c>
      <c r="D472" s="4"/>
      <c r="E472" s="12" t="s">
        <v>1109</v>
      </c>
      <c r="F472" s="4"/>
      <c r="G472" s="4" t="s">
        <v>15</v>
      </c>
      <c r="H472" s="4" t="s">
        <v>19</v>
      </c>
      <c r="I472" s="4" t="s">
        <v>2</v>
      </c>
      <c r="J472" s="4" t="s">
        <v>2</v>
      </c>
      <c r="L472" s="4" t="s">
        <v>24</v>
      </c>
    </row>
    <row r="473" spans="1:12" ht="16" outlineLevel="5" collapsed="1" x14ac:dyDescent="0.2">
      <c r="A473" s="4" t="s">
        <v>15</v>
      </c>
      <c r="B473" s="4" t="s">
        <v>520</v>
      </c>
      <c r="C473" s="4" t="s">
        <v>2</v>
      </c>
      <c r="D473" s="4"/>
      <c r="E473" s="12" t="s">
        <v>1118</v>
      </c>
      <c r="F473" s="4"/>
      <c r="G473" s="4" t="s">
        <v>21</v>
      </c>
      <c r="H473" s="4" t="s">
        <v>1122</v>
      </c>
      <c r="I473" s="4" t="s">
        <v>2</v>
      </c>
      <c r="J473" s="4" t="s">
        <v>2</v>
      </c>
      <c r="L473" s="4" t="s">
        <v>27</v>
      </c>
    </row>
    <row r="474" spans="1:12" ht="16" outlineLevel="4" x14ac:dyDescent="0.2">
      <c r="A474" s="4" t="s">
        <v>15</v>
      </c>
      <c r="B474" s="4" t="s">
        <v>16</v>
      </c>
      <c r="C474" s="4" t="s">
        <v>2</v>
      </c>
      <c r="D474" s="4"/>
      <c r="E474" s="12" t="s">
        <v>1123</v>
      </c>
      <c r="F474" s="4"/>
      <c r="G474" s="4" t="s">
        <v>15</v>
      </c>
      <c r="H474" s="4" t="s">
        <v>19</v>
      </c>
      <c r="I474" s="4" t="s">
        <v>2</v>
      </c>
      <c r="J474" s="4" t="s">
        <v>2</v>
      </c>
      <c r="L474" s="4" t="s">
        <v>27</v>
      </c>
    </row>
    <row r="475" spans="1:12" ht="64" outlineLevel="4" collapsed="1" x14ac:dyDescent="0.2">
      <c r="A475" s="4" t="s">
        <v>15</v>
      </c>
      <c r="B475" s="4" t="s">
        <v>22</v>
      </c>
      <c r="C475" s="4" t="s">
        <v>171</v>
      </c>
      <c r="D475" s="4"/>
      <c r="E475" s="12" t="s">
        <v>1124</v>
      </c>
      <c r="F475" s="4"/>
      <c r="G475" s="4" t="s">
        <v>15</v>
      </c>
      <c r="H475" s="4" t="s">
        <v>21</v>
      </c>
      <c r="I475" s="4" t="s">
        <v>2</v>
      </c>
      <c r="J475" s="4" t="s">
        <v>2</v>
      </c>
      <c r="L475" s="4" t="s">
        <v>33</v>
      </c>
    </row>
    <row r="476" spans="1:12" ht="16" outlineLevel="4" x14ac:dyDescent="0.2">
      <c r="A476" s="5" t="s">
        <v>15</v>
      </c>
      <c r="B476" t="s">
        <v>1178</v>
      </c>
      <c r="C476" s="5" t="s">
        <v>1620</v>
      </c>
      <c r="D476" s="5"/>
      <c r="E476" s="11" t="s">
        <v>1125</v>
      </c>
      <c r="F476" s="5" t="b">
        <f>EXACT(H475,"Yes")</f>
        <v>1</v>
      </c>
      <c r="G476" s="5" t="s">
        <v>15</v>
      </c>
      <c r="H476" s="5" t="s">
        <v>2</v>
      </c>
      <c r="I476" s="5" t="s">
        <v>2</v>
      </c>
      <c r="J476" s="5" t="s">
        <v>2</v>
      </c>
      <c r="L476" s="5" t="s">
        <v>37</v>
      </c>
    </row>
    <row r="477" spans="1:12" ht="150" outlineLevel="5" collapsed="1" x14ac:dyDescent="0.2">
      <c r="A477" s="4" t="s">
        <v>15</v>
      </c>
      <c r="B477" s="4" t="s">
        <v>25</v>
      </c>
      <c r="C477" s="6" t="s">
        <v>365</v>
      </c>
      <c r="D477" s="4"/>
      <c r="E477" s="13" t="s">
        <v>1126</v>
      </c>
      <c r="F477" s="4"/>
      <c r="G477" s="4" t="s">
        <v>15</v>
      </c>
      <c r="H477" s="4" t="s">
        <v>2</v>
      </c>
      <c r="I477" s="4" t="s">
        <v>2</v>
      </c>
      <c r="J477" s="4" t="s">
        <v>2</v>
      </c>
      <c r="L477" s="4" t="s">
        <v>20</v>
      </c>
    </row>
    <row r="478" spans="1:12" ht="50" outlineLevel="5" collapsed="1" x14ac:dyDescent="0.2">
      <c r="A478" s="4" t="s">
        <v>15</v>
      </c>
      <c r="B478" s="4" t="s">
        <v>25</v>
      </c>
      <c r="C478" s="6" t="s">
        <v>365</v>
      </c>
      <c r="D478" s="4"/>
      <c r="E478" s="13" t="s">
        <v>1127</v>
      </c>
      <c r="F478" s="4"/>
      <c r="G478" s="4" t="s">
        <v>15</v>
      </c>
      <c r="H478" s="4" t="s">
        <v>2</v>
      </c>
      <c r="I478" s="4" t="s">
        <v>2</v>
      </c>
      <c r="J478" s="4" t="s">
        <v>2</v>
      </c>
      <c r="L478" s="4" t="s">
        <v>24</v>
      </c>
    </row>
    <row r="479" spans="1:12" ht="409.6" outlineLevel="5" collapsed="1" x14ac:dyDescent="0.2">
      <c r="A479" s="4" t="s">
        <v>15</v>
      </c>
      <c r="B479" s="4" t="s">
        <v>25</v>
      </c>
      <c r="C479" s="6" t="s">
        <v>365</v>
      </c>
      <c r="D479" s="4"/>
      <c r="E479" s="13" t="s">
        <v>1128</v>
      </c>
      <c r="F479" s="4"/>
      <c r="G479" s="4" t="s">
        <v>15</v>
      </c>
      <c r="H479" s="4" t="s">
        <v>2</v>
      </c>
      <c r="I479" s="4" t="s">
        <v>2</v>
      </c>
      <c r="J479" s="4" t="s">
        <v>2</v>
      </c>
      <c r="L479" s="4" t="s">
        <v>27</v>
      </c>
    </row>
    <row r="480" spans="1:12" ht="16" outlineLevel="5" collapsed="1" x14ac:dyDescent="0.2">
      <c r="A480" s="4" t="s">
        <v>15</v>
      </c>
      <c r="B480" s="4" t="s">
        <v>22</v>
      </c>
      <c r="C480" t="s">
        <v>1319</v>
      </c>
      <c r="D480" s="4"/>
      <c r="E480" s="12" t="s">
        <v>1129</v>
      </c>
      <c r="F480" s="4"/>
      <c r="G480" s="4" t="s">
        <v>15</v>
      </c>
      <c r="H480" s="4" t="s">
        <v>1130</v>
      </c>
      <c r="I480" s="4" t="s">
        <v>2</v>
      </c>
      <c r="J480" s="4" t="s">
        <v>2</v>
      </c>
      <c r="L480" s="4" t="s">
        <v>29</v>
      </c>
    </row>
    <row r="481" spans="1:12" ht="50" outlineLevel="5" collapsed="1" x14ac:dyDescent="0.2">
      <c r="A481" s="4" t="s">
        <v>15</v>
      </c>
      <c r="B481" s="4" t="s">
        <v>25</v>
      </c>
      <c r="C481" s="6" t="s">
        <v>365</v>
      </c>
      <c r="D481" s="4"/>
      <c r="E481" s="13" t="s">
        <v>1131</v>
      </c>
      <c r="F481" s="4"/>
      <c r="G481" s="4" t="s">
        <v>15</v>
      </c>
      <c r="H481" s="4" t="s">
        <v>2</v>
      </c>
      <c r="I481" s="4" t="s">
        <v>2</v>
      </c>
      <c r="J481" s="4" t="s">
        <v>2</v>
      </c>
      <c r="L481" s="4" t="s">
        <v>31</v>
      </c>
    </row>
    <row r="482" spans="1:12" ht="32" outlineLevel="5" collapsed="1" x14ac:dyDescent="0.2">
      <c r="A482" s="4" t="s">
        <v>15</v>
      </c>
      <c r="B482" s="4" t="s">
        <v>16</v>
      </c>
      <c r="C482" s="4" t="s">
        <v>2</v>
      </c>
      <c r="D482" s="4"/>
      <c r="E482" s="12" t="s">
        <v>1132</v>
      </c>
      <c r="F482" s="4"/>
      <c r="G482" s="4" t="s">
        <v>15</v>
      </c>
      <c r="H482" s="4" t="s">
        <v>19</v>
      </c>
      <c r="I482" s="4" t="s">
        <v>2</v>
      </c>
      <c r="J482" s="4" t="s">
        <v>2</v>
      </c>
      <c r="L482" s="4" t="s">
        <v>33</v>
      </c>
    </row>
    <row r="483" spans="1:12" ht="240" outlineLevel="5" collapsed="1" x14ac:dyDescent="0.2">
      <c r="A483" s="4" t="s">
        <v>15</v>
      </c>
      <c r="B483" s="4" t="s">
        <v>16</v>
      </c>
      <c r="C483" s="4" t="s">
        <v>2</v>
      </c>
      <c r="D483" s="4"/>
      <c r="E483" s="12" t="s">
        <v>1133</v>
      </c>
      <c r="F483" s="4"/>
      <c r="G483" s="4" t="s">
        <v>15</v>
      </c>
      <c r="H483" s="4" t="s">
        <v>19</v>
      </c>
      <c r="I483" s="4" t="s">
        <v>2</v>
      </c>
      <c r="J483" s="4" t="s">
        <v>2</v>
      </c>
      <c r="L483" s="4" t="s">
        <v>35</v>
      </c>
    </row>
    <row r="484" spans="1:12" ht="48" outlineLevel="5" collapsed="1" x14ac:dyDescent="0.2">
      <c r="A484" s="4" t="s">
        <v>15</v>
      </c>
      <c r="B484" s="4" t="s">
        <v>16</v>
      </c>
      <c r="C484" s="4" t="s">
        <v>2</v>
      </c>
      <c r="D484" s="4"/>
      <c r="E484" s="12" t="s">
        <v>1134</v>
      </c>
      <c r="F484" s="4"/>
      <c r="G484" s="4" t="s">
        <v>15</v>
      </c>
      <c r="H484" s="4" t="s">
        <v>19</v>
      </c>
      <c r="I484" s="4" t="s">
        <v>2</v>
      </c>
      <c r="J484" s="4" t="s">
        <v>2</v>
      </c>
      <c r="L484" s="4" t="s">
        <v>37</v>
      </c>
    </row>
    <row r="485" spans="1:12" ht="240" outlineLevel="5" collapsed="1" x14ac:dyDescent="0.2">
      <c r="A485" s="4" t="s">
        <v>15</v>
      </c>
      <c r="B485" s="4" t="s">
        <v>16</v>
      </c>
      <c r="C485" s="4" t="s">
        <v>2</v>
      </c>
      <c r="D485" s="4"/>
      <c r="E485" s="12" t="s">
        <v>1135</v>
      </c>
      <c r="F485" s="4"/>
      <c r="G485" s="4" t="s">
        <v>15</v>
      </c>
      <c r="H485" s="4" t="s">
        <v>19</v>
      </c>
      <c r="I485" s="4" t="s">
        <v>2</v>
      </c>
      <c r="J485" s="4" t="s">
        <v>2</v>
      </c>
      <c r="L485" s="4" t="s">
        <v>39</v>
      </c>
    </row>
    <row r="486" spans="1:12" ht="32" outlineLevel="5" collapsed="1" x14ac:dyDescent="0.2">
      <c r="A486" s="4" t="s">
        <v>15</v>
      </c>
      <c r="B486" s="4" t="s">
        <v>16</v>
      </c>
      <c r="C486" s="4" t="s">
        <v>2</v>
      </c>
      <c r="D486" s="4"/>
      <c r="E486" s="12" t="s">
        <v>1136</v>
      </c>
      <c r="F486" s="4"/>
      <c r="G486" s="4" t="s">
        <v>15</v>
      </c>
      <c r="H486" s="4" t="s">
        <v>19</v>
      </c>
      <c r="I486" s="4" t="s">
        <v>2</v>
      </c>
      <c r="J486" s="4" t="s">
        <v>2</v>
      </c>
      <c r="L486" s="4" t="s">
        <v>41</v>
      </c>
    </row>
    <row r="487" spans="1:12" ht="50" outlineLevel="5" collapsed="1" x14ac:dyDescent="0.2">
      <c r="A487" s="4" t="s">
        <v>15</v>
      </c>
      <c r="B487" s="4" t="s">
        <v>25</v>
      </c>
      <c r="C487" s="6" t="s">
        <v>365</v>
      </c>
      <c r="D487" s="4"/>
      <c r="E487" s="13" t="s">
        <v>1137</v>
      </c>
      <c r="F487" s="4"/>
      <c r="G487" s="4" t="s">
        <v>15</v>
      </c>
      <c r="H487" s="4" t="s">
        <v>2</v>
      </c>
      <c r="I487" s="4" t="s">
        <v>2</v>
      </c>
      <c r="J487" s="4" t="s">
        <v>2</v>
      </c>
      <c r="L487" s="4" t="s">
        <v>43</v>
      </c>
    </row>
    <row r="488" spans="1:12" ht="256" outlineLevel="5" collapsed="1" x14ac:dyDescent="0.2">
      <c r="A488" s="4" t="s">
        <v>15</v>
      </c>
      <c r="B488" s="4" t="s">
        <v>16</v>
      </c>
      <c r="C488" s="4" t="s">
        <v>2</v>
      </c>
      <c r="D488" s="4"/>
      <c r="E488" s="12" t="s">
        <v>1138</v>
      </c>
      <c r="F488" s="4"/>
      <c r="G488" s="4" t="s">
        <v>15</v>
      </c>
      <c r="H488" s="4" t="s">
        <v>19</v>
      </c>
      <c r="I488" s="4" t="s">
        <v>2</v>
      </c>
      <c r="J488" s="4" t="s">
        <v>2</v>
      </c>
      <c r="L488" s="4" t="s">
        <v>47</v>
      </c>
    </row>
    <row r="489" spans="1:12" ht="16" outlineLevel="5" collapsed="1" x14ac:dyDescent="0.2">
      <c r="A489" s="4" t="s">
        <v>15</v>
      </c>
      <c r="B489" s="4" t="s">
        <v>22</v>
      </c>
      <c r="C489" s="4" t="s">
        <v>171</v>
      </c>
      <c r="D489" s="4"/>
      <c r="E489" s="12" t="s">
        <v>1139</v>
      </c>
      <c r="F489" s="4"/>
      <c r="G489" s="4" t="s">
        <v>15</v>
      </c>
      <c r="H489" s="4" t="s">
        <v>21</v>
      </c>
      <c r="I489" s="4" t="s">
        <v>2</v>
      </c>
      <c r="J489" s="4" t="s">
        <v>2</v>
      </c>
      <c r="L489" s="4" t="s">
        <v>51</v>
      </c>
    </row>
    <row r="490" spans="1:12" ht="25" outlineLevel="5" collapsed="1" x14ac:dyDescent="0.2">
      <c r="A490" s="4" t="s">
        <v>15</v>
      </c>
      <c r="B490" s="4" t="s">
        <v>25</v>
      </c>
      <c r="C490" s="6" t="s">
        <v>365</v>
      </c>
      <c r="D490" s="4"/>
      <c r="E490" s="13" t="s">
        <v>1140</v>
      </c>
      <c r="F490" s="4" t="b">
        <f>EXACT(H489,"No")</f>
        <v>0</v>
      </c>
      <c r="G490" s="4" t="s">
        <v>15</v>
      </c>
      <c r="H490" s="4" t="s">
        <v>2</v>
      </c>
      <c r="I490" s="4" t="s">
        <v>2</v>
      </c>
      <c r="J490" s="4" t="s">
        <v>2</v>
      </c>
      <c r="L490" s="4" t="s">
        <v>55</v>
      </c>
    </row>
    <row r="491" spans="1:12" ht="25" outlineLevel="5" collapsed="1" x14ac:dyDescent="0.2">
      <c r="A491" s="4" t="s">
        <v>15</v>
      </c>
      <c r="B491" s="4" t="s">
        <v>25</v>
      </c>
      <c r="C491" s="6" t="s">
        <v>365</v>
      </c>
      <c r="D491" s="4"/>
      <c r="E491" s="13" t="s">
        <v>1141</v>
      </c>
      <c r="F491" s="4" t="b">
        <f>EXACT(H489,"Yes")</f>
        <v>1</v>
      </c>
      <c r="G491" s="4" t="s">
        <v>15</v>
      </c>
      <c r="H491" s="4" t="s">
        <v>2</v>
      </c>
      <c r="I491" s="4" t="s">
        <v>2</v>
      </c>
      <c r="J491" s="4" t="s">
        <v>2</v>
      </c>
      <c r="L491" s="4" t="s">
        <v>53</v>
      </c>
    </row>
    <row r="492" spans="1:12" ht="25" outlineLevel="4" x14ac:dyDescent="0.2">
      <c r="A492" s="4" t="s">
        <v>15</v>
      </c>
      <c r="B492" s="4" t="s">
        <v>25</v>
      </c>
      <c r="C492" s="6" t="s">
        <v>365</v>
      </c>
      <c r="D492" s="4"/>
      <c r="E492" s="13" t="s">
        <v>1141</v>
      </c>
      <c r="F492" s="4" t="b">
        <f>EXACT(H475,"No")</f>
        <v>0</v>
      </c>
      <c r="G492" s="4" t="s">
        <v>15</v>
      </c>
      <c r="H492" s="4" t="s">
        <v>2</v>
      </c>
      <c r="I492" s="4" t="s">
        <v>2</v>
      </c>
      <c r="J492" s="4" t="s">
        <v>2</v>
      </c>
      <c r="L492" s="4" t="s">
        <v>35</v>
      </c>
    </row>
    <row r="493" spans="1:12" ht="16" outlineLevel="3" x14ac:dyDescent="0.2">
      <c r="A493" s="5" t="s">
        <v>15</v>
      </c>
      <c r="B493" t="s">
        <v>1178</v>
      </c>
      <c r="C493" s="5" t="s">
        <v>1621</v>
      </c>
      <c r="D493" s="5"/>
      <c r="E493" s="11" t="s">
        <v>1142</v>
      </c>
      <c r="F493" s="5" t="b">
        <f>EXACT(H462,"Step 2 (Barrier Analysis)")</f>
        <v>1</v>
      </c>
      <c r="G493" s="5" t="s">
        <v>15</v>
      </c>
      <c r="H493" s="5" t="s">
        <v>2</v>
      </c>
      <c r="I493" s="5" t="s">
        <v>2</v>
      </c>
      <c r="J493" s="5" t="s">
        <v>2</v>
      </c>
      <c r="L493" s="5" t="s">
        <v>47</v>
      </c>
    </row>
    <row r="494" spans="1:12" ht="409.6" outlineLevel="4" collapsed="1" x14ac:dyDescent="0.2">
      <c r="A494" s="4" t="s">
        <v>15</v>
      </c>
      <c r="B494" s="4" t="s">
        <v>25</v>
      </c>
      <c r="C494" s="6" t="s">
        <v>365</v>
      </c>
      <c r="D494" s="4"/>
      <c r="E494" s="13" t="s">
        <v>1143</v>
      </c>
      <c r="F494" s="4"/>
      <c r="G494" s="4" t="s">
        <v>15</v>
      </c>
      <c r="H494" s="4" t="s">
        <v>2</v>
      </c>
      <c r="I494" s="4" t="s">
        <v>2</v>
      </c>
      <c r="J494" s="4" t="s">
        <v>2</v>
      </c>
      <c r="L494" s="4" t="s">
        <v>20</v>
      </c>
    </row>
    <row r="495" spans="1:12" ht="50" outlineLevel="4" collapsed="1" x14ac:dyDescent="0.2">
      <c r="A495" s="4" t="s">
        <v>15</v>
      </c>
      <c r="B495" s="4" t="s">
        <v>25</v>
      </c>
      <c r="C495" s="6" t="s">
        <v>365</v>
      </c>
      <c r="D495" s="4"/>
      <c r="E495" s="13" t="s">
        <v>1144</v>
      </c>
      <c r="F495" s="4"/>
      <c r="G495" s="4" t="s">
        <v>15</v>
      </c>
      <c r="H495" s="4" t="s">
        <v>2</v>
      </c>
      <c r="I495" s="4" t="s">
        <v>2</v>
      </c>
      <c r="J495" s="4" t="s">
        <v>2</v>
      </c>
      <c r="L495" s="4" t="s">
        <v>24</v>
      </c>
    </row>
    <row r="496" spans="1:12" ht="275" outlineLevel="4" collapsed="1" x14ac:dyDescent="0.2">
      <c r="A496" s="4" t="s">
        <v>15</v>
      </c>
      <c r="B496" s="4" t="s">
        <v>25</v>
      </c>
      <c r="C496" s="6" t="s">
        <v>365</v>
      </c>
      <c r="D496" s="4"/>
      <c r="E496" s="13" t="s">
        <v>1145</v>
      </c>
      <c r="F496" s="4"/>
      <c r="G496" s="4" t="s">
        <v>15</v>
      </c>
      <c r="H496" s="4" t="s">
        <v>2</v>
      </c>
      <c r="I496" s="4" t="s">
        <v>2</v>
      </c>
      <c r="J496" s="4" t="s">
        <v>2</v>
      </c>
      <c r="L496" s="4" t="s">
        <v>27</v>
      </c>
    </row>
    <row r="497" spans="1:12" ht="16" outlineLevel="4" collapsed="1" x14ac:dyDescent="0.2">
      <c r="A497" s="4" t="s">
        <v>15</v>
      </c>
      <c r="B497" s="4" t="s">
        <v>16</v>
      </c>
      <c r="C497" s="4" t="s">
        <v>2</v>
      </c>
      <c r="D497" s="4"/>
      <c r="E497" s="12" t="s">
        <v>1146</v>
      </c>
      <c r="F497" s="4"/>
      <c r="G497" s="4" t="s">
        <v>15</v>
      </c>
      <c r="H497" s="4" t="s">
        <v>19</v>
      </c>
      <c r="I497" s="4" t="s">
        <v>2</v>
      </c>
      <c r="J497" s="4" t="s">
        <v>2</v>
      </c>
      <c r="L497" s="4" t="s">
        <v>29</v>
      </c>
    </row>
    <row r="498" spans="1:12" ht="50" outlineLevel="4" collapsed="1" x14ac:dyDescent="0.2">
      <c r="A498" s="4" t="s">
        <v>15</v>
      </c>
      <c r="B498" s="4" t="s">
        <v>25</v>
      </c>
      <c r="C498" s="6" t="s">
        <v>365</v>
      </c>
      <c r="D498" s="4"/>
      <c r="E498" s="13" t="s">
        <v>1147</v>
      </c>
      <c r="F498" s="4"/>
      <c r="G498" s="4" t="s">
        <v>15</v>
      </c>
      <c r="H498" s="4" t="s">
        <v>2</v>
      </c>
      <c r="I498" s="4" t="s">
        <v>2</v>
      </c>
      <c r="J498" s="4" t="s">
        <v>2</v>
      </c>
      <c r="L498" s="4" t="s">
        <v>31</v>
      </c>
    </row>
    <row r="499" spans="1:12" ht="200" outlineLevel="4" collapsed="1" x14ac:dyDescent="0.2">
      <c r="A499" s="4" t="s">
        <v>15</v>
      </c>
      <c r="B499" s="4" t="s">
        <v>25</v>
      </c>
      <c r="C499" s="6" t="s">
        <v>365</v>
      </c>
      <c r="D499" s="4"/>
      <c r="E499" s="13" t="s">
        <v>1148</v>
      </c>
      <c r="F499" s="4"/>
      <c r="G499" s="4" t="s">
        <v>15</v>
      </c>
      <c r="H499" s="4" t="s">
        <v>2</v>
      </c>
      <c r="I499" s="4" t="s">
        <v>2</v>
      </c>
      <c r="J499" s="4" t="s">
        <v>2</v>
      </c>
      <c r="L499" s="4" t="s">
        <v>33</v>
      </c>
    </row>
    <row r="500" spans="1:12" ht="16" outlineLevel="4" collapsed="1" x14ac:dyDescent="0.2">
      <c r="A500" s="4" t="s">
        <v>15</v>
      </c>
      <c r="B500" s="4" t="s">
        <v>16</v>
      </c>
      <c r="C500" s="4" t="s">
        <v>2</v>
      </c>
      <c r="D500" s="4"/>
      <c r="E500" s="12" t="s">
        <v>1109</v>
      </c>
      <c r="F500" s="4"/>
      <c r="G500" s="4" t="s">
        <v>15</v>
      </c>
      <c r="H500" s="4" t="s">
        <v>19</v>
      </c>
      <c r="I500" s="4" t="s">
        <v>2</v>
      </c>
      <c r="J500" s="4" t="s">
        <v>2</v>
      </c>
      <c r="L500" s="4" t="s">
        <v>35</v>
      </c>
    </row>
    <row r="501" spans="1:12" ht="16" outlineLevel="4" collapsed="1" x14ac:dyDescent="0.2">
      <c r="A501" s="4" t="s">
        <v>15</v>
      </c>
      <c r="B501" s="4" t="s">
        <v>520</v>
      </c>
      <c r="C501" s="4" t="s">
        <v>2</v>
      </c>
      <c r="D501" s="4"/>
      <c r="E501" s="12" t="s">
        <v>1149</v>
      </c>
      <c r="F501" s="4"/>
      <c r="G501" s="4" t="s">
        <v>21</v>
      </c>
      <c r="H501" s="4" t="s">
        <v>1150</v>
      </c>
      <c r="I501" s="4" t="s">
        <v>2</v>
      </c>
      <c r="J501" s="4" t="s">
        <v>2</v>
      </c>
      <c r="L501" s="4" t="s">
        <v>37</v>
      </c>
    </row>
    <row r="502" spans="1:12" ht="75" outlineLevel="4" collapsed="1" x14ac:dyDescent="0.2">
      <c r="A502" s="4" t="s">
        <v>15</v>
      </c>
      <c r="B502" s="4" t="s">
        <v>25</v>
      </c>
      <c r="C502" s="6" t="s">
        <v>365</v>
      </c>
      <c r="D502" s="4"/>
      <c r="E502" s="13" t="s">
        <v>1151</v>
      </c>
      <c r="F502" s="4"/>
      <c r="G502" s="4" t="s">
        <v>15</v>
      </c>
      <c r="H502" s="4" t="s">
        <v>2</v>
      </c>
      <c r="I502" s="4" t="s">
        <v>2</v>
      </c>
      <c r="J502" s="4" t="s">
        <v>2</v>
      </c>
      <c r="L502" s="4" t="s">
        <v>39</v>
      </c>
    </row>
    <row r="503" spans="1:12" ht="225" outlineLevel="4" collapsed="1" x14ac:dyDescent="0.2">
      <c r="A503" s="4" t="s">
        <v>15</v>
      </c>
      <c r="B503" s="4" t="s">
        <v>25</v>
      </c>
      <c r="C503" s="6" t="s">
        <v>365</v>
      </c>
      <c r="D503" s="4"/>
      <c r="E503" s="13" t="s">
        <v>1152</v>
      </c>
      <c r="F503" s="4"/>
      <c r="G503" s="4" t="s">
        <v>15</v>
      </c>
      <c r="H503" s="4" t="s">
        <v>2</v>
      </c>
      <c r="I503" s="4" t="s">
        <v>2</v>
      </c>
      <c r="J503" s="4" t="s">
        <v>2</v>
      </c>
      <c r="L503" s="4" t="s">
        <v>41</v>
      </c>
    </row>
    <row r="504" spans="1:12" ht="16" outlineLevel="4" collapsed="1" x14ac:dyDescent="0.2">
      <c r="A504" s="4" t="s">
        <v>15</v>
      </c>
      <c r="B504" s="4" t="s">
        <v>16</v>
      </c>
      <c r="C504" s="4" t="s">
        <v>2</v>
      </c>
      <c r="D504" s="4"/>
      <c r="E504" s="12" t="s">
        <v>1109</v>
      </c>
      <c r="F504" s="4"/>
      <c r="G504" s="4" t="s">
        <v>15</v>
      </c>
      <c r="H504" s="4" t="s">
        <v>19</v>
      </c>
      <c r="I504" s="4" t="s">
        <v>2</v>
      </c>
      <c r="J504" s="4" t="s">
        <v>2</v>
      </c>
      <c r="L504" s="4" t="s">
        <v>43</v>
      </c>
    </row>
    <row r="505" spans="1:12" ht="16" outlineLevel="4" collapsed="1" x14ac:dyDescent="0.2">
      <c r="A505" s="4" t="s">
        <v>15</v>
      </c>
      <c r="B505" s="4" t="s">
        <v>520</v>
      </c>
      <c r="C505" s="4" t="s">
        <v>2</v>
      </c>
      <c r="D505" s="4"/>
      <c r="E505" s="12" t="s">
        <v>1149</v>
      </c>
      <c r="F505" s="4"/>
      <c r="G505" s="4" t="s">
        <v>21</v>
      </c>
      <c r="H505" s="4" t="s">
        <v>1153</v>
      </c>
      <c r="I505" s="4" t="s">
        <v>2</v>
      </c>
      <c r="J505" s="4" t="s">
        <v>2</v>
      </c>
      <c r="L505" s="4" t="s">
        <v>47</v>
      </c>
    </row>
    <row r="506" spans="1:12" ht="50" outlineLevel="4" collapsed="1" x14ac:dyDescent="0.2">
      <c r="A506" s="4" t="s">
        <v>15</v>
      </c>
      <c r="B506" s="4" t="s">
        <v>25</v>
      </c>
      <c r="C506" s="6" t="s">
        <v>365</v>
      </c>
      <c r="D506" s="4"/>
      <c r="E506" s="13" t="s">
        <v>1154</v>
      </c>
      <c r="F506" s="4"/>
      <c r="G506" s="4" t="s">
        <v>15</v>
      </c>
      <c r="H506" s="4" t="s">
        <v>2</v>
      </c>
      <c r="I506" s="4" t="s">
        <v>2</v>
      </c>
      <c r="J506" s="4" t="s">
        <v>2</v>
      </c>
      <c r="L506" s="4" t="s">
        <v>51</v>
      </c>
    </row>
    <row r="507" spans="1:12" ht="125" outlineLevel="4" collapsed="1" x14ac:dyDescent="0.2">
      <c r="A507" s="4" t="s">
        <v>15</v>
      </c>
      <c r="B507" s="4" t="s">
        <v>25</v>
      </c>
      <c r="C507" s="6" t="s">
        <v>365</v>
      </c>
      <c r="D507" s="4"/>
      <c r="E507" s="13" t="s">
        <v>1155</v>
      </c>
      <c r="F507" s="4"/>
      <c r="G507" s="4" t="s">
        <v>15</v>
      </c>
      <c r="H507" s="4" t="s">
        <v>2</v>
      </c>
      <c r="I507" s="4" t="s">
        <v>2</v>
      </c>
      <c r="J507" s="4" t="s">
        <v>2</v>
      </c>
      <c r="L507" s="4" t="s">
        <v>53</v>
      </c>
    </row>
    <row r="508" spans="1:12" ht="16" outlineLevel="4" collapsed="1" x14ac:dyDescent="0.2">
      <c r="A508" s="4" t="s">
        <v>15</v>
      </c>
      <c r="B508" s="4" t="s">
        <v>16</v>
      </c>
      <c r="C508" s="4" t="s">
        <v>2</v>
      </c>
      <c r="D508" s="4"/>
      <c r="E508" s="12" t="s">
        <v>1109</v>
      </c>
      <c r="F508" s="4"/>
      <c r="G508" s="4" t="s">
        <v>15</v>
      </c>
      <c r="H508" s="4" t="s">
        <v>19</v>
      </c>
      <c r="I508" s="4" t="s">
        <v>2</v>
      </c>
      <c r="J508" s="4" t="s">
        <v>2</v>
      </c>
      <c r="L508" s="4" t="s">
        <v>55</v>
      </c>
    </row>
    <row r="509" spans="1:12" ht="16" outlineLevel="4" collapsed="1" x14ac:dyDescent="0.2">
      <c r="A509" s="4" t="s">
        <v>15</v>
      </c>
      <c r="B509" s="4" t="s">
        <v>520</v>
      </c>
      <c r="C509" s="4" t="s">
        <v>2</v>
      </c>
      <c r="D509" s="4"/>
      <c r="E509" s="12" t="s">
        <v>1149</v>
      </c>
      <c r="F509" s="4"/>
      <c r="G509" s="4" t="s">
        <v>21</v>
      </c>
      <c r="H509" s="4" t="s">
        <v>1156</v>
      </c>
      <c r="I509" s="4" t="s">
        <v>2</v>
      </c>
      <c r="J509" s="4" t="s">
        <v>2</v>
      </c>
      <c r="L509" s="4" t="s">
        <v>57</v>
      </c>
    </row>
    <row r="510" spans="1:12" ht="64" outlineLevel="4" collapsed="1" x14ac:dyDescent="0.2">
      <c r="A510" s="4" t="s">
        <v>15</v>
      </c>
      <c r="B510" s="4" t="s">
        <v>22</v>
      </c>
      <c r="C510" s="4" t="s">
        <v>171</v>
      </c>
      <c r="D510" s="4"/>
      <c r="E510" s="12" t="s">
        <v>1157</v>
      </c>
      <c r="F510" s="4"/>
      <c r="G510" s="4" t="s">
        <v>15</v>
      </c>
      <c r="H510" s="4" t="s">
        <v>15</v>
      </c>
      <c r="I510" s="4" t="s">
        <v>2</v>
      </c>
      <c r="J510" s="4" t="s">
        <v>2</v>
      </c>
      <c r="L510" s="4" t="s">
        <v>59</v>
      </c>
    </row>
    <row r="511" spans="1:12" ht="16" outlineLevel="4" x14ac:dyDescent="0.2">
      <c r="A511" s="5" t="s">
        <v>15</v>
      </c>
      <c r="B511" t="s">
        <v>1620</v>
      </c>
      <c r="C511" s="5" t="s">
        <v>1620</v>
      </c>
      <c r="D511" s="5"/>
      <c r="E511" s="11" t="s">
        <v>1125</v>
      </c>
      <c r="F511" s="5" t="b">
        <f>EXACT(H510,"Yes")</f>
        <v>0</v>
      </c>
      <c r="G511" s="5" t="s">
        <v>15</v>
      </c>
      <c r="H511" s="5" t="s">
        <v>2</v>
      </c>
      <c r="I511" s="5" t="s">
        <v>2</v>
      </c>
      <c r="J511" s="5" t="s">
        <v>2</v>
      </c>
      <c r="L511" s="5" t="s">
        <v>63</v>
      </c>
    </row>
    <row r="512" spans="1:12" ht="150" outlineLevel="5" collapsed="1" x14ac:dyDescent="0.2">
      <c r="A512" s="4" t="s">
        <v>15</v>
      </c>
      <c r="B512" s="4" t="s">
        <v>25</v>
      </c>
      <c r="C512" s="6" t="s">
        <v>365</v>
      </c>
      <c r="D512" s="4"/>
      <c r="E512" s="13" t="s">
        <v>1126</v>
      </c>
      <c r="F512" s="4"/>
      <c r="G512" s="4" t="s">
        <v>15</v>
      </c>
      <c r="H512" s="4" t="s">
        <v>2</v>
      </c>
      <c r="I512" s="4" t="s">
        <v>2</v>
      </c>
      <c r="J512" s="4" t="s">
        <v>2</v>
      </c>
      <c r="L512" s="4" t="s">
        <v>20</v>
      </c>
    </row>
    <row r="513" spans="1:12" ht="50" outlineLevel="5" collapsed="1" x14ac:dyDescent="0.2">
      <c r="A513" s="4" t="s">
        <v>15</v>
      </c>
      <c r="B513" s="4" t="s">
        <v>25</v>
      </c>
      <c r="C513" s="6" t="s">
        <v>365</v>
      </c>
      <c r="D513" s="4"/>
      <c r="E513" s="13" t="s">
        <v>1127</v>
      </c>
      <c r="F513" s="4"/>
      <c r="G513" s="4" t="s">
        <v>15</v>
      </c>
      <c r="H513" s="4" t="s">
        <v>2</v>
      </c>
      <c r="I513" s="4" t="s">
        <v>2</v>
      </c>
      <c r="J513" s="4" t="s">
        <v>2</v>
      </c>
      <c r="L513" s="4" t="s">
        <v>24</v>
      </c>
    </row>
    <row r="514" spans="1:12" ht="409.6" outlineLevel="5" collapsed="1" x14ac:dyDescent="0.2">
      <c r="A514" s="4" t="s">
        <v>15</v>
      </c>
      <c r="B514" s="4" t="s">
        <v>25</v>
      </c>
      <c r="C514" s="6" t="s">
        <v>365</v>
      </c>
      <c r="D514" s="4"/>
      <c r="E514" s="13" t="s">
        <v>1128</v>
      </c>
      <c r="F514" s="4"/>
      <c r="G514" s="4" t="s">
        <v>15</v>
      </c>
      <c r="H514" s="4" t="s">
        <v>2</v>
      </c>
      <c r="I514" s="4" t="s">
        <v>2</v>
      </c>
      <c r="J514" s="4" t="s">
        <v>2</v>
      </c>
      <c r="L514" s="4" t="s">
        <v>27</v>
      </c>
    </row>
    <row r="515" spans="1:12" ht="16" outlineLevel="5" collapsed="1" x14ac:dyDescent="0.2">
      <c r="A515" s="17" t="s">
        <v>15</v>
      </c>
      <c r="B515" s="17" t="s">
        <v>22</v>
      </c>
      <c r="C515" t="s">
        <v>1319</v>
      </c>
      <c r="D515" s="17"/>
      <c r="E515" s="15" t="s">
        <v>1129</v>
      </c>
      <c r="F515" s="17"/>
      <c r="G515" s="17" t="s">
        <v>15</v>
      </c>
      <c r="H515" s="17" t="s">
        <v>1130</v>
      </c>
      <c r="I515" s="17" t="s">
        <v>2</v>
      </c>
      <c r="J515" s="17" t="s">
        <v>2</v>
      </c>
      <c r="L515" s="17" t="s">
        <v>29</v>
      </c>
    </row>
    <row r="516" spans="1:12" ht="50" outlineLevel="5" collapsed="1" x14ac:dyDescent="0.2">
      <c r="A516" s="4" t="s">
        <v>15</v>
      </c>
      <c r="B516" s="4" t="s">
        <v>25</v>
      </c>
      <c r="C516" s="6" t="s">
        <v>365</v>
      </c>
      <c r="D516" s="4"/>
      <c r="E516" s="13" t="s">
        <v>1131</v>
      </c>
      <c r="F516" s="4"/>
      <c r="G516" s="4" t="s">
        <v>15</v>
      </c>
      <c r="H516" s="4" t="s">
        <v>2</v>
      </c>
      <c r="I516" s="4" t="s">
        <v>2</v>
      </c>
      <c r="J516" s="4" t="s">
        <v>2</v>
      </c>
      <c r="L516" s="4" t="s">
        <v>31</v>
      </c>
    </row>
    <row r="517" spans="1:12" ht="32" outlineLevel="5" collapsed="1" x14ac:dyDescent="0.2">
      <c r="A517" s="4" t="s">
        <v>15</v>
      </c>
      <c r="B517" s="4" t="s">
        <v>16</v>
      </c>
      <c r="C517" s="4" t="s">
        <v>2</v>
      </c>
      <c r="D517" s="4"/>
      <c r="E517" s="12" t="s">
        <v>1132</v>
      </c>
      <c r="F517" s="4"/>
      <c r="G517" s="4" t="s">
        <v>15</v>
      </c>
      <c r="H517" s="4" t="s">
        <v>19</v>
      </c>
      <c r="I517" s="4" t="s">
        <v>2</v>
      </c>
      <c r="J517" s="4" t="s">
        <v>2</v>
      </c>
      <c r="L517" s="4" t="s">
        <v>33</v>
      </c>
    </row>
    <row r="518" spans="1:12" ht="240" outlineLevel="5" collapsed="1" x14ac:dyDescent="0.2">
      <c r="A518" s="4" t="s">
        <v>15</v>
      </c>
      <c r="B518" s="4" t="s">
        <v>16</v>
      </c>
      <c r="C518" s="4" t="s">
        <v>2</v>
      </c>
      <c r="D518" s="4"/>
      <c r="E518" s="12" t="s">
        <v>1133</v>
      </c>
      <c r="F518" s="4"/>
      <c r="G518" s="4" t="s">
        <v>15</v>
      </c>
      <c r="H518" s="4" t="s">
        <v>19</v>
      </c>
      <c r="I518" s="4" t="s">
        <v>2</v>
      </c>
      <c r="J518" s="4" t="s">
        <v>2</v>
      </c>
      <c r="L518" s="4" t="s">
        <v>35</v>
      </c>
    </row>
    <row r="519" spans="1:12" ht="48" outlineLevel="5" collapsed="1" x14ac:dyDescent="0.2">
      <c r="A519" s="4" t="s">
        <v>15</v>
      </c>
      <c r="B519" s="4" t="s">
        <v>16</v>
      </c>
      <c r="C519" s="4" t="s">
        <v>2</v>
      </c>
      <c r="D519" s="4"/>
      <c r="E519" s="12" t="s">
        <v>1134</v>
      </c>
      <c r="F519" s="4"/>
      <c r="G519" s="4" t="s">
        <v>15</v>
      </c>
      <c r="H519" s="4" t="s">
        <v>19</v>
      </c>
      <c r="I519" s="4" t="s">
        <v>2</v>
      </c>
      <c r="J519" s="4" t="s">
        <v>2</v>
      </c>
      <c r="L519" s="4" t="s">
        <v>37</v>
      </c>
    </row>
    <row r="520" spans="1:12" ht="240" outlineLevel="5" collapsed="1" x14ac:dyDescent="0.2">
      <c r="A520" s="4" t="s">
        <v>15</v>
      </c>
      <c r="B520" s="4" t="s">
        <v>16</v>
      </c>
      <c r="C520" s="4" t="s">
        <v>2</v>
      </c>
      <c r="D520" s="4"/>
      <c r="E520" s="12" t="s">
        <v>1135</v>
      </c>
      <c r="F520" s="4"/>
      <c r="G520" s="4" t="s">
        <v>15</v>
      </c>
      <c r="H520" s="4" t="s">
        <v>19</v>
      </c>
      <c r="I520" s="4" t="s">
        <v>2</v>
      </c>
      <c r="J520" s="4" t="s">
        <v>2</v>
      </c>
      <c r="L520" s="4" t="s">
        <v>39</v>
      </c>
    </row>
    <row r="521" spans="1:12" ht="32" outlineLevel="5" collapsed="1" x14ac:dyDescent="0.2">
      <c r="A521" s="4" t="s">
        <v>15</v>
      </c>
      <c r="B521" s="4" t="s">
        <v>16</v>
      </c>
      <c r="C521" s="4" t="s">
        <v>2</v>
      </c>
      <c r="D521" s="4"/>
      <c r="E521" s="12" t="s">
        <v>1136</v>
      </c>
      <c r="F521" s="4"/>
      <c r="G521" s="4" t="s">
        <v>15</v>
      </c>
      <c r="H521" s="4" t="s">
        <v>19</v>
      </c>
      <c r="I521" s="4" t="s">
        <v>2</v>
      </c>
      <c r="J521" s="4" t="s">
        <v>2</v>
      </c>
      <c r="L521" s="4" t="s">
        <v>41</v>
      </c>
    </row>
    <row r="522" spans="1:12" ht="50" outlineLevel="5" collapsed="1" x14ac:dyDescent="0.2">
      <c r="A522" s="4" t="s">
        <v>15</v>
      </c>
      <c r="B522" s="4" t="s">
        <v>25</v>
      </c>
      <c r="C522" s="6" t="s">
        <v>365</v>
      </c>
      <c r="D522" s="4"/>
      <c r="E522" s="13" t="s">
        <v>1137</v>
      </c>
      <c r="F522" s="4"/>
      <c r="G522" s="4" t="s">
        <v>15</v>
      </c>
      <c r="H522" s="4" t="s">
        <v>2</v>
      </c>
      <c r="I522" s="4" t="s">
        <v>2</v>
      </c>
      <c r="J522" s="4" t="s">
        <v>2</v>
      </c>
      <c r="L522" s="4" t="s">
        <v>43</v>
      </c>
    </row>
    <row r="523" spans="1:12" ht="256" outlineLevel="5" collapsed="1" x14ac:dyDescent="0.2">
      <c r="A523" s="4" t="s">
        <v>15</v>
      </c>
      <c r="B523" s="4" t="s">
        <v>16</v>
      </c>
      <c r="C523" s="4" t="s">
        <v>2</v>
      </c>
      <c r="D523" s="4"/>
      <c r="E523" s="12" t="s">
        <v>1138</v>
      </c>
      <c r="F523" s="4"/>
      <c r="G523" s="4" t="s">
        <v>15</v>
      </c>
      <c r="H523" s="4" t="s">
        <v>19</v>
      </c>
      <c r="I523" s="4" t="s">
        <v>2</v>
      </c>
      <c r="J523" s="4" t="s">
        <v>2</v>
      </c>
      <c r="L523" s="4" t="s">
        <v>47</v>
      </c>
    </row>
    <row r="524" spans="1:12" ht="16" outlineLevel="5" collapsed="1" x14ac:dyDescent="0.2">
      <c r="A524" s="17" t="s">
        <v>15</v>
      </c>
      <c r="B524" s="17" t="s">
        <v>22</v>
      </c>
      <c r="C524" t="s">
        <v>171</v>
      </c>
      <c r="D524" s="17"/>
      <c r="E524" s="15" t="s">
        <v>1139</v>
      </c>
      <c r="F524" s="17"/>
      <c r="G524" s="17" t="s">
        <v>15</v>
      </c>
      <c r="H524" s="17" t="s">
        <v>21</v>
      </c>
      <c r="I524" s="17" t="s">
        <v>2</v>
      </c>
      <c r="J524" s="17" t="s">
        <v>2</v>
      </c>
      <c r="L524" s="17" t="s">
        <v>51</v>
      </c>
    </row>
    <row r="525" spans="1:12" ht="25" outlineLevel="5" collapsed="1" x14ac:dyDescent="0.2">
      <c r="A525" s="4" t="s">
        <v>15</v>
      </c>
      <c r="B525" s="4" t="s">
        <v>25</v>
      </c>
      <c r="C525" s="6" t="s">
        <v>365</v>
      </c>
      <c r="D525" s="4"/>
      <c r="E525" s="13" t="s">
        <v>1140</v>
      </c>
      <c r="F525" s="4" t="b">
        <f>EXACT(H524,"No")</f>
        <v>0</v>
      </c>
      <c r="G525" s="4" t="s">
        <v>15</v>
      </c>
      <c r="H525" s="4" t="s">
        <v>2</v>
      </c>
      <c r="I525" s="4" t="s">
        <v>2</v>
      </c>
      <c r="J525" s="4" t="s">
        <v>2</v>
      </c>
      <c r="L525" s="4" t="s">
        <v>55</v>
      </c>
    </row>
    <row r="526" spans="1:12" ht="25" outlineLevel="5" collapsed="1" x14ac:dyDescent="0.2">
      <c r="A526" s="4" t="s">
        <v>15</v>
      </c>
      <c r="B526" s="4" t="s">
        <v>25</v>
      </c>
      <c r="C526" s="6" t="s">
        <v>365</v>
      </c>
      <c r="D526" s="4"/>
      <c r="E526" s="13" t="s">
        <v>1141</v>
      </c>
      <c r="F526" s="4" t="b">
        <f>EXACT(H524,"Yes")</f>
        <v>1</v>
      </c>
      <c r="G526" s="4" t="s">
        <v>15</v>
      </c>
      <c r="H526" s="4" t="s">
        <v>2</v>
      </c>
      <c r="I526" s="4" t="s">
        <v>2</v>
      </c>
      <c r="J526" s="4" t="s">
        <v>2</v>
      </c>
      <c r="L526" s="4" t="s">
        <v>53</v>
      </c>
    </row>
    <row r="527" spans="1:12" ht="16" outlineLevel="4" x14ac:dyDescent="0.2">
      <c r="A527" s="5" t="s">
        <v>15</v>
      </c>
      <c r="B527" t="s">
        <v>1178</v>
      </c>
      <c r="C527" s="5" t="s">
        <v>1112</v>
      </c>
      <c r="D527" s="5"/>
      <c r="E527" s="11" t="s">
        <v>1112</v>
      </c>
      <c r="F527" s="5" t="b">
        <f>EXACT(H510,"No")</f>
        <v>1</v>
      </c>
      <c r="G527" s="5" t="s">
        <v>15</v>
      </c>
      <c r="H527" s="5" t="s">
        <v>2</v>
      </c>
      <c r="I527" s="5" t="s">
        <v>2</v>
      </c>
      <c r="J527" s="5" t="s">
        <v>2</v>
      </c>
      <c r="L527" s="5" t="s">
        <v>61</v>
      </c>
    </row>
    <row r="528" spans="1:12" ht="250" outlineLevel="5" collapsed="1" x14ac:dyDescent="0.2">
      <c r="A528" s="4" t="s">
        <v>15</v>
      </c>
      <c r="B528" s="4" t="s">
        <v>25</v>
      </c>
      <c r="C528" s="6" t="s">
        <v>365</v>
      </c>
      <c r="D528" s="4"/>
      <c r="E528" s="13" t="s">
        <v>1113</v>
      </c>
      <c r="F528" s="4"/>
      <c r="G528" s="4" t="s">
        <v>15</v>
      </c>
      <c r="H528" s="4" t="s">
        <v>2</v>
      </c>
      <c r="I528" s="4" t="s">
        <v>2</v>
      </c>
      <c r="J528" s="4" t="s">
        <v>2</v>
      </c>
      <c r="L528" s="4" t="s">
        <v>20</v>
      </c>
    </row>
    <row r="529" spans="1:12" ht="32" outlineLevel="5" collapsed="1" x14ac:dyDescent="0.2">
      <c r="A529" s="17" t="s">
        <v>15</v>
      </c>
      <c r="B529" s="17" t="s">
        <v>22</v>
      </c>
      <c r="C529" t="s">
        <v>1318</v>
      </c>
      <c r="D529" s="17"/>
      <c r="E529" s="15" t="s">
        <v>1114</v>
      </c>
      <c r="F529" s="17"/>
      <c r="G529" s="17" t="s">
        <v>15</v>
      </c>
      <c r="H529" s="17" t="s">
        <v>1115</v>
      </c>
      <c r="I529" s="17" t="s">
        <v>2</v>
      </c>
      <c r="J529" s="17" t="s">
        <v>2</v>
      </c>
      <c r="L529" s="17" t="s">
        <v>24</v>
      </c>
    </row>
    <row r="530" spans="1:12" ht="16" outlineLevel="5" x14ac:dyDescent="0.2">
      <c r="A530" s="5" t="s">
        <v>15</v>
      </c>
      <c r="B530" t="s">
        <v>1178</v>
      </c>
      <c r="C530" s="5" t="s">
        <v>1116</v>
      </c>
      <c r="D530" s="5"/>
      <c r="E530" s="11" t="s">
        <v>1116</v>
      </c>
      <c r="F530" s="5" t="b">
        <f>EXACT(H529,"b) Option 2: Benchmark analysis")</f>
        <v>0</v>
      </c>
      <c r="G530" s="5" t="s">
        <v>15</v>
      </c>
      <c r="H530" s="5" t="s">
        <v>2</v>
      </c>
      <c r="I530" s="5" t="s">
        <v>2</v>
      </c>
      <c r="J530" s="5" t="s">
        <v>2</v>
      </c>
      <c r="L530" s="5" t="s">
        <v>31</v>
      </c>
    </row>
    <row r="531" spans="1:12" ht="400" outlineLevel="6" collapsed="1" x14ac:dyDescent="0.2">
      <c r="A531" s="4" t="s">
        <v>15</v>
      </c>
      <c r="B531" s="4" t="s">
        <v>25</v>
      </c>
      <c r="C531" s="6" t="s">
        <v>365</v>
      </c>
      <c r="D531" s="4"/>
      <c r="E531" s="13" t="s">
        <v>1117</v>
      </c>
      <c r="F531" s="4"/>
      <c r="G531" s="4" t="s">
        <v>15</v>
      </c>
      <c r="H531" s="4" t="s">
        <v>2</v>
      </c>
      <c r="I531" s="4" t="s">
        <v>2</v>
      </c>
      <c r="J531" s="4" t="s">
        <v>2</v>
      </c>
      <c r="L531" s="4" t="s">
        <v>20</v>
      </c>
    </row>
    <row r="532" spans="1:12" ht="16" outlineLevel="6" collapsed="1" x14ac:dyDescent="0.2">
      <c r="A532" s="4" t="s">
        <v>15</v>
      </c>
      <c r="B532" s="4" t="s">
        <v>16</v>
      </c>
      <c r="C532" s="4" t="s">
        <v>2</v>
      </c>
      <c r="D532" s="4"/>
      <c r="E532" s="12" t="s">
        <v>1109</v>
      </c>
      <c r="F532" s="4"/>
      <c r="G532" s="4" t="s">
        <v>15</v>
      </c>
      <c r="H532" s="4" t="s">
        <v>19</v>
      </c>
      <c r="I532" s="4" t="s">
        <v>2</v>
      </c>
      <c r="J532" s="4" t="s">
        <v>2</v>
      </c>
      <c r="L532" s="4" t="s">
        <v>24</v>
      </c>
    </row>
    <row r="533" spans="1:12" ht="16" outlineLevel="6" collapsed="1" x14ac:dyDescent="0.2">
      <c r="A533" s="4" t="s">
        <v>15</v>
      </c>
      <c r="B533" s="4" t="s">
        <v>520</v>
      </c>
      <c r="C533" s="4" t="s">
        <v>2</v>
      </c>
      <c r="D533" s="4"/>
      <c r="E533" s="12" t="s">
        <v>1118</v>
      </c>
      <c r="F533" s="4"/>
      <c r="G533" s="4" t="s">
        <v>21</v>
      </c>
      <c r="H533" s="4" t="s">
        <v>1158</v>
      </c>
      <c r="I533" s="4" t="s">
        <v>2</v>
      </c>
      <c r="J533" s="4" t="s">
        <v>2</v>
      </c>
      <c r="L533" s="4" t="s">
        <v>27</v>
      </c>
    </row>
    <row r="534" spans="1:12" ht="32" outlineLevel="5" x14ac:dyDescent="0.2">
      <c r="A534" s="5" t="s">
        <v>15</v>
      </c>
      <c r="B534" t="s">
        <v>1178</v>
      </c>
      <c r="C534" s="5" t="s">
        <v>1120</v>
      </c>
      <c r="D534" s="5"/>
      <c r="E534" s="11" t="s">
        <v>1120</v>
      </c>
      <c r="F534" s="5" t="b">
        <f>EXACT(H529,"a) Option 1: Investment comparison analysis")</f>
        <v>1</v>
      </c>
      <c r="G534" s="5" t="s">
        <v>15</v>
      </c>
      <c r="H534" s="5" t="s">
        <v>2</v>
      </c>
      <c r="I534" s="5" t="s">
        <v>2</v>
      </c>
      <c r="J534" s="5" t="s">
        <v>2</v>
      </c>
      <c r="L534" s="5" t="s">
        <v>29</v>
      </c>
    </row>
    <row r="535" spans="1:12" ht="400" outlineLevel="6" collapsed="1" x14ac:dyDescent="0.2">
      <c r="A535" s="4" t="s">
        <v>15</v>
      </c>
      <c r="B535" s="4" t="s">
        <v>25</v>
      </c>
      <c r="C535" s="6" t="s">
        <v>365</v>
      </c>
      <c r="D535" s="4"/>
      <c r="E535" s="13" t="s">
        <v>1121</v>
      </c>
      <c r="F535" s="4"/>
      <c r="G535" s="4" t="s">
        <v>15</v>
      </c>
      <c r="H535" s="4" t="s">
        <v>2</v>
      </c>
      <c r="I535" s="4" t="s">
        <v>2</v>
      </c>
      <c r="J535" s="4" t="s">
        <v>2</v>
      </c>
      <c r="L535" s="4" t="s">
        <v>20</v>
      </c>
    </row>
    <row r="536" spans="1:12" ht="16" outlineLevel="6" collapsed="1" x14ac:dyDescent="0.2">
      <c r="A536" s="4" t="s">
        <v>15</v>
      </c>
      <c r="B536" s="4" t="s">
        <v>16</v>
      </c>
      <c r="C536" s="4" t="s">
        <v>2</v>
      </c>
      <c r="D536" s="4"/>
      <c r="E536" s="12" t="s">
        <v>1109</v>
      </c>
      <c r="F536" s="4"/>
      <c r="G536" s="4" t="s">
        <v>15</v>
      </c>
      <c r="H536" s="4" t="s">
        <v>19</v>
      </c>
      <c r="I536" s="4" t="s">
        <v>2</v>
      </c>
      <c r="J536" s="4" t="s">
        <v>2</v>
      </c>
      <c r="L536" s="4" t="s">
        <v>24</v>
      </c>
    </row>
    <row r="537" spans="1:12" ht="16" outlineLevel="6" collapsed="1" x14ac:dyDescent="0.2">
      <c r="A537" s="4" t="s">
        <v>15</v>
      </c>
      <c r="B537" s="4" t="s">
        <v>520</v>
      </c>
      <c r="C537" s="4" t="s">
        <v>2</v>
      </c>
      <c r="D537" s="4"/>
      <c r="E537" s="12" t="s">
        <v>1118</v>
      </c>
      <c r="F537" s="4"/>
      <c r="G537" s="4" t="s">
        <v>21</v>
      </c>
      <c r="H537" s="4" t="s">
        <v>1159</v>
      </c>
      <c r="I537" s="4" t="s">
        <v>2</v>
      </c>
      <c r="J537" s="4" t="s">
        <v>2</v>
      </c>
      <c r="L537" s="4" t="s">
        <v>27</v>
      </c>
    </row>
    <row r="538" spans="1:12" ht="16" outlineLevel="5" x14ac:dyDescent="0.2">
      <c r="A538" s="4" t="s">
        <v>15</v>
      </c>
      <c r="B538" s="4" t="s">
        <v>16</v>
      </c>
      <c r="C538" s="4" t="s">
        <v>2</v>
      </c>
      <c r="D538" s="4"/>
      <c r="E538" s="12" t="s">
        <v>1123</v>
      </c>
      <c r="F538" s="4"/>
      <c r="G538" s="4" t="s">
        <v>15</v>
      </c>
      <c r="H538" s="4" t="s">
        <v>19</v>
      </c>
      <c r="I538" s="4" t="s">
        <v>2</v>
      </c>
      <c r="J538" s="4" t="s">
        <v>2</v>
      </c>
      <c r="L538" s="4" t="s">
        <v>27</v>
      </c>
    </row>
    <row r="539" spans="1:12" ht="64" outlineLevel="5" collapsed="1" x14ac:dyDescent="0.2">
      <c r="A539" s="4" t="s">
        <v>15</v>
      </c>
      <c r="B539" s="4" t="s">
        <v>22</v>
      </c>
      <c r="C539" t="s">
        <v>171</v>
      </c>
      <c r="D539" s="4"/>
      <c r="E539" s="12" t="s">
        <v>1124</v>
      </c>
      <c r="F539" s="4"/>
      <c r="G539" s="4" t="s">
        <v>15</v>
      </c>
      <c r="H539" s="4" t="s">
        <v>21</v>
      </c>
      <c r="I539" s="4" t="s">
        <v>2</v>
      </c>
      <c r="J539" s="4" t="s">
        <v>2</v>
      </c>
      <c r="L539" s="4" t="s">
        <v>33</v>
      </c>
    </row>
    <row r="540" spans="1:12" ht="16" outlineLevel="5" x14ac:dyDescent="0.2">
      <c r="A540" s="17" t="s">
        <v>15</v>
      </c>
      <c r="B540" t="s">
        <v>1178</v>
      </c>
      <c r="C540" s="17" t="s">
        <v>1663</v>
      </c>
      <c r="D540" s="17"/>
      <c r="E540" s="15" t="s">
        <v>1125</v>
      </c>
      <c r="F540" s="17" t="b">
        <f>EXACT(H539,"Yes")</f>
        <v>1</v>
      </c>
      <c r="G540" s="17" t="s">
        <v>15</v>
      </c>
      <c r="H540" s="17" t="s">
        <v>2</v>
      </c>
      <c r="I540" s="17" t="s">
        <v>2</v>
      </c>
      <c r="J540" s="17" t="s">
        <v>2</v>
      </c>
      <c r="L540" s="17" t="s">
        <v>37</v>
      </c>
    </row>
    <row r="541" spans="1:12" ht="150" outlineLevel="6" collapsed="1" x14ac:dyDescent="0.2">
      <c r="A541" s="4" t="s">
        <v>15</v>
      </c>
      <c r="B541" s="4" t="s">
        <v>25</v>
      </c>
      <c r="C541" s="6" t="s">
        <v>365</v>
      </c>
      <c r="D541" s="4"/>
      <c r="E541" s="13" t="s">
        <v>1126</v>
      </c>
      <c r="F541" s="4"/>
      <c r="G541" s="4" t="s">
        <v>15</v>
      </c>
      <c r="H541" s="4" t="s">
        <v>2</v>
      </c>
      <c r="I541" s="4" t="s">
        <v>2</v>
      </c>
      <c r="J541" s="4" t="s">
        <v>2</v>
      </c>
      <c r="L541" s="4" t="s">
        <v>20</v>
      </c>
    </row>
    <row r="542" spans="1:12" ht="50" outlineLevel="6" collapsed="1" x14ac:dyDescent="0.2">
      <c r="A542" s="4" t="s">
        <v>15</v>
      </c>
      <c r="B542" s="4" t="s">
        <v>25</v>
      </c>
      <c r="C542" s="6" t="s">
        <v>365</v>
      </c>
      <c r="D542" s="4"/>
      <c r="E542" s="13" t="s">
        <v>1127</v>
      </c>
      <c r="F542" s="4"/>
      <c r="G542" s="4" t="s">
        <v>15</v>
      </c>
      <c r="H542" s="4" t="s">
        <v>2</v>
      </c>
      <c r="I542" s="4" t="s">
        <v>2</v>
      </c>
      <c r="J542" s="4" t="s">
        <v>2</v>
      </c>
      <c r="L542" s="4" t="s">
        <v>24</v>
      </c>
    </row>
    <row r="543" spans="1:12" ht="409.6" outlineLevel="6" collapsed="1" x14ac:dyDescent="0.2">
      <c r="A543" s="4" t="s">
        <v>15</v>
      </c>
      <c r="B543" s="4" t="s">
        <v>25</v>
      </c>
      <c r="C543" s="6" t="s">
        <v>365</v>
      </c>
      <c r="D543" s="4"/>
      <c r="E543" s="13" t="s">
        <v>1128</v>
      </c>
      <c r="F543" s="4"/>
      <c r="G543" s="4" t="s">
        <v>15</v>
      </c>
      <c r="H543" s="4" t="s">
        <v>2</v>
      </c>
      <c r="I543" s="4" t="s">
        <v>2</v>
      </c>
      <c r="J543" s="4" t="s">
        <v>2</v>
      </c>
      <c r="L543" s="4" t="s">
        <v>27</v>
      </c>
    </row>
    <row r="544" spans="1:12" ht="16" outlineLevel="6" collapsed="1" x14ac:dyDescent="0.2">
      <c r="A544" s="17" t="s">
        <v>15</v>
      </c>
      <c r="B544" s="17" t="s">
        <v>22</v>
      </c>
      <c r="C544" t="s">
        <v>1319</v>
      </c>
      <c r="D544" s="17"/>
      <c r="E544" s="15" t="s">
        <v>1129</v>
      </c>
      <c r="F544" s="17"/>
      <c r="G544" s="17" t="s">
        <v>15</v>
      </c>
      <c r="H544" s="17" t="s">
        <v>1130</v>
      </c>
      <c r="I544" s="17" t="s">
        <v>2</v>
      </c>
      <c r="J544" s="17" t="s">
        <v>2</v>
      </c>
      <c r="L544" s="17" t="s">
        <v>29</v>
      </c>
    </row>
    <row r="545" spans="1:12" ht="50" outlineLevel="6" collapsed="1" x14ac:dyDescent="0.2">
      <c r="A545" s="4" t="s">
        <v>15</v>
      </c>
      <c r="B545" s="4" t="s">
        <v>25</v>
      </c>
      <c r="C545" s="6" t="s">
        <v>365</v>
      </c>
      <c r="D545" s="4"/>
      <c r="E545" s="13" t="s">
        <v>1131</v>
      </c>
      <c r="F545" s="4"/>
      <c r="G545" s="4" t="s">
        <v>15</v>
      </c>
      <c r="H545" s="4" t="s">
        <v>2</v>
      </c>
      <c r="I545" s="4" t="s">
        <v>2</v>
      </c>
      <c r="J545" s="4" t="s">
        <v>2</v>
      </c>
      <c r="L545" s="4" t="s">
        <v>31</v>
      </c>
    </row>
    <row r="546" spans="1:12" ht="32" outlineLevel="6" collapsed="1" x14ac:dyDescent="0.2">
      <c r="A546" s="4" t="s">
        <v>15</v>
      </c>
      <c r="B546" s="4" t="s">
        <v>16</v>
      </c>
      <c r="C546" s="4" t="s">
        <v>2</v>
      </c>
      <c r="D546" s="4"/>
      <c r="E546" s="12" t="s">
        <v>1132</v>
      </c>
      <c r="F546" s="4"/>
      <c r="G546" s="4" t="s">
        <v>15</v>
      </c>
      <c r="H546" s="4" t="s">
        <v>19</v>
      </c>
      <c r="I546" s="4" t="s">
        <v>2</v>
      </c>
      <c r="J546" s="4" t="s">
        <v>2</v>
      </c>
      <c r="L546" s="4" t="s">
        <v>33</v>
      </c>
    </row>
    <row r="547" spans="1:12" ht="240" outlineLevel="6" collapsed="1" x14ac:dyDescent="0.2">
      <c r="A547" s="4" t="s">
        <v>15</v>
      </c>
      <c r="B547" s="4" t="s">
        <v>16</v>
      </c>
      <c r="C547" s="4" t="s">
        <v>2</v>
      </c>
      <c r="D547" s="4"/>
      <c r="E547" s="12" t="s">
        <v>1133</v>
      </c>
      <c r="F547" s="4"/>
      <c r="G547" s="4" t="s">
        <v>15</v>
      </c>
      <c r="H547" s="4" t="s">
        <v>19</v>
      </c>
      <c r="I547" s="4" t="s">
        <v>2</v>
      </c>
      <c r="J547" s="4" t="s">
        <v>2</v>
      </c>
      <c r="L547" s="4" t="s">
        <v>35</v>
      </c>
    </row>
    <row r="548" spans="1:12" ht="48" outlineLevel="6" collapsed="1" x14ac:dyDescent="0.2">
      <c r="A548" s="4" t="s">
        <v>15</v>
      </c>
      <c r="B548" s="4" t="s">
        <v>16</v>
      </c>
      <c r="C548" s="4" t="s">
        <v>2</v>
      </c>
      <c r="D548" s="4"/>
      <c r="E548" s="12" t="s">
        <v>1134</v>
      </c>
      <c r="F548" s="4"/>
      <c r="G548" s="4" t="s">
        <v>15</v>
      </c>
      <c r="H548" s="4" t="s">
        <v>19</v>
      </c>
      <c r="I548" s="4" t="s">
        <v>2</v>
      </c>
      <c r="J548" s="4" t="s">
        <v>2</v>
      </c>
      <c r="L548" s="4" t="s">
        <v>37</v>
      </c>
    </row>
    <row r="549" spans="1:12" ht="240" outlineLevel="6" collapsed="1" x14ac:dyDescent="0.2">
      <c r="A549" s="4" t="s">
        <v>15</v>
      </c>
      <c r="B549" s="4" t="s">
        <v>16</v>
      </c>
      <c r="C549" s="4" t="s">
        <v>2</v>
      </c>
      <c r="D549" s="4"/>
      <c r="E549" s="12" t="s">
        <v>1135</v>
      </c>
      <c r="F549" s="4"/>
      <c r="G549" s="4" t="s">
        <v>15</v>
      </c>
      <c r="H549" s="4" t="s">
        <v>19</v>
      </c>
      <c r="I549" s="4" t="s">
        <v>2</v>
      </c>
      <c r="J549" s="4" t="s">
        <v>2</v>
      </c>
      <c r="L549" s="4" t="s">
        <v>39</v>
      </c>
    </row>
    <row r="550" spans="1:12" ht="32" outlineLevel="6" collapsed="1" x14ac:dyDescent="0.2">
      <c r="A550" s="4" t="s">
        <v>15</v>
      </c>
      <c r="B550" s="4" t="s">
        <v>16</v>
      </c>
      <c r="C550" s="4" t="s">
        <v>2</v>
      </c>
      <c r="D550" s="4"/>
      <c r="E550" s="12" t="s">
        <v>1136</v>
      </c>
      <c r="F550" s="4"/>
      <c r="G550" s="4" t="s">
        <v>15</v>
      </c>
      <c r="H550" s="4" t="s">
        <v>19</v>
      </c>
      <c r="I550" s="4" t="s">
        <v>2</v>
      </c>
      <c r="J550" s="4" t="s">
        <v>2</v>
      </c>
      <c r="L550" s="4" t="s">
        <v>41</v>
      </c>
    </row>
    <row r="551" spans="1:12" ht="50" outlineLevel="6" collapsed="1" x14ac:dyDescent="0.2">
      <c r="A551" s="4" t="s">
        <v>15</v>
      </c>
      <c r="B551" s="4" t="s">
        <v>25</v>
      </c>
      <c r="C551" s="6" t="s">
        <v>365</v>
      </c>
      <c r="D551" s="4"/>
      <c r="E551" s="13" t="s">
        <v>1137</v>
      </c>
      <c r="F551" s="4"/>
      <c r="G551" s="4" t="s">
        <v>15</v>
      </c>
      <c r="H551" s="4" t="s">
        <v>2</v>
      </c>
      <c r="I551" s="4" t="s">
        <v>2</v>
      </c>
      <c r="J551" s="4" t="s">
        <v>2</v>
      </c>
      <c r="L551" s="4" t="s">
        <v>43</v>
      </c>
    </row>
    <row r="552" spans="1:12" ht="256" outlineLevel="6" collapsed="1" x14ac:dyDescent="0.2">
      <c r="A552" s="4" t="s">
        <v>15</v>
      </c>
      <c r="B552" s="4" t="s">
        <v>16</v>
      </c>
      <c r="C552" s="4" t="s">
        <v>2</v>
      </c>
      <c r="D552" s="4"/>
      <c r="E552" s="12" t="s">
        <v>1138</v>
      </c>
      <c r="F552" s="4"/>
      <c r="G552" s="4" t="s">
        <v>15</v>
      </c>
      <c r="H552" s="4" t="s">
        <v>19</v>
      </c>
      <c r="I552" s="4" t="s">
        <v>2</v>
      </c>
      <c r="J552" s="4" t="s">
        <v>2</v>
      </c>
      <c r="L552" s="4" t="s">
        <v>47</v>
      </c>
    </row>
    <row r="553" spans="1:12" ht="16" outlineLevel="6" collapsed="1" x14ac:dyDescent="0.2">
      <c r="A553" s="17" t="s">
        <v>15</v>
      </c>
      <c r="B553" s="17" t="s">
        <v>22</v>
      </c>
      <c r="C553" t="s">
        <v>171</v>
      </c>
      <c r="D553" s="17"/>
      <c r="E553" s="15" t="s">
        <v>1139</v>
      </c>
      <c r="F553" s="17"/>
      <c r="G553" s="17" t="s">
        <v>15</v>
      </c>
      <c r="H553" s="17" t="s">
        <v>21</v>
      </c>
      <c r="I553" s="17" t="s">
        <v>2</v>
      </c>
      <c r="J553" s="17" t="s">
        <v>2</v>
      </c>
      <c r="L553" s="17" t="s">
        <v>51</v>
      </c>
    </row>
    <row r="554" spans="1:12" ht="17" outlineLevel="6" collapsed="1" x14ac:dyDescent="0.2">
      <c r="A554" s="4" t="s">
        <v>15</v>
      </c>
      <c r="B554" s="4" t="s">
        <v>25</v>
      </c>
      <c r="C554" s="6" t="s">
        <v>365</v>
      </c>
      <c r="D554" s="4"/>
      <c r="E554" s="44" t="s">
        <v>1140</v>
      </c>
      <c r="F554" s="4" t="b">
        <f>EXACT(H553,"No")</f>
        <v>0</v>
      </c>
      <c r="G554" s="4" t="s">
        <v>15</v>
      </c>
      <c r="H554" s="4" t="s">
        <v>2</v>
      </c>
      <c r="I554" s="4" t="s">
        <v>2</v>
      </c>
      <c r="J554" s="4" t="s">
        <v>2</v>
      </c>
      <c r="L554" s="4" t="s">
        <v>55</v>
      </c>
    </row>
    <row r="555" spans="1:12" ht="17" outlineLevel="6" collapsed="1" x14ac:dyDescent="0.2">
      <c r="A555" s="4" t="s">
        <v>15</v>
      </c>
      <c r="B555" s="4" t="s">
        <v>25</v>
      </c>
      <c r="C555" s="6" t="s">
        <v>365</v>
      </c>
      <c r="D555" s="4"/>
      <c r="E555" s="44" t="s">
        <v>1141</v>
      </c>
      <c r="F555" s="4" t="b">
        <f>EXACT(H553,"Yes")</f>
        <v>1</v>
      </c>
      <c r="G555" s="4" t="s">
        <v>15</v>
      </c>
      <c r="H555" s="4" t="s">
        <v>2</v>
      </c>
      <c r="I555" s="4" t="s">
        <v>2</v>
      </c>
      <c r="J555" s="4" t="s">
        <v>2</v>
      </c>
      <c r="L555" s="4" t="s">
        <v>53</v>
      </c>
    </row>
    <row r="556" spans="1:12" ht="17" outlineLevel="5" x14ac:dyDescent="0.2">
      <c r="A556" s="4" t="s">
        <v>15</v>
      </c>
      <c r="B556" s="4" t="s">
        <v>25</v>
      </c>
      <c r="C556" s="6" t="s">
        <v>365</v>
      </c>
      <c r="D556" s="4"/>
      <c r="E556" s="44" t="s">
        <v>1141</v>
      </c>
      <c r="F556" s="4" t="b">
        <f>EXACT(H539,"No")</f>
        <v>0</v>
      </c>
      <c r="G556" s="4" t="s">
        <v>15</v>
      </c>
      <c r="H556" s="4" t="s">
        <v>2</v>
      </c>
      <c r="I556" s="4" t="s">
        <v>2</v>
      </c>
      <c r="J556" s="4" t="s">
        <v>2</v>
      </c>
      <c r="L556" s="4" t="s">
        <v>35</v>
      </c>
    </row>
    <row r="557" spans="1:12" ht="25" outlineLevel="2" x14ac:dyDescent="0.2">
      <c r="A557" s="4" t="s">
        <v>15</v>
      </c>
      <c r="B557" s="4" t="s">
        <v>25</v>
      </c>
      <c r="C557" s="6" t="s">
        <v>365</v>
      </c>
      <c r="D557" s="4"/>
      <c r="E557" s="13" t="s">
        <v>1160</v>
      </c>
      <c r="F557" s="4"/>
      <c r="G557" s="4" t="s">
        <v>15</v>
      </c>
      <c r="H557" s="4" t="s">
        <v>2</v>
      </c>
      <c r="I557" s="4" t="s">
        <v>2</v>
      </c>
      <c r="J557" s="4" t="s">
        <v>2</v>
      </c>
      <c r="L557" s="4" t="s">
        <v>654</v>
      </c>
    </row>
    <row r="558" spans="1:12" ht="16" outlineLevel="2" collapsed="1" x14ac:dyDescent="0.2">
      <c r="A558" s="4" t="s">
        <v>15</v>
      </c>
      <c r="B558" s="4" t="s">
        <v>22</v>
      </c>
      <c r="C558" s="4" t="s">
        <v>171</v>
      </c>
      <c r="D558" s="4"/>
      <c r="E558" s="12" t="s">
        <v>1161</v>
      </c>
      <c r="F558" s="4"/>
      <c r="G558" s="4" t="s">
        <v>15</v>
      </c>
      <c r="H558" s="4" t="s">
        <v>15</v>
      </c>
      <c r="I558" s="4" t="s">
        <v>2</v>
      </c>
      <c r="J558" s="4" t="s">
        <v>2</v>
      </c>
      <c r="L558" s="4" t="s">
        <v>863</v>
      </c>
    </row>
    <row r="559" spans="1:12" ht="96" outlineLevel="2" collapsed="1" x14ac:dyDescent="0.2">
      <c r="A559" s="4" t="s">
        <v>15</v>
      </c>
      <c r="B559" s="4" t="s">
        <v>16</v>
      </c>
      <c r="C559" s="4" t="s">
        <v>2</v>
      </c>
      <c r="D559" s="4"/>
      <c r="E559" s="12" t="s">
        <v>1162</v>
      </c>
      <c r="F559" s="4" t="b">
        <f>EXACT(H558,"Yes")</f>
        <v>0</v>
      </c>
      <c r="G559" s="4" t="s">
        <v>15</v>
      </c>
      <c r="H559" s="4" t="s">
        <v>19</v>
      </c>
      <c r="I559" s="4" t="s">
        <v>2</v>
      </c>
      <c r="J559" s="4" t="s">
        <v>2</v>
      </c>
      <c r="L559" s="4" t="s">
        <v>865</v>
      </c>
    </row>
    <row r="560" spans="1:12" ht="25" outlineLevel="1" x14ac:dyDescent="0.2">
      <c r="A560" s="17" t="s">
        <v>15</v>
      </c>
      <c r="B560" s="17" t="s">
        <v>25</v>
      </c>
      <c r="C560" s="18" t="s">
        <v>365</v>
      </c>
      <c r="D560" s="17"/>
      <c r="E560" s="19" t="s">
        <v>1163</v>
      </c>
      <c r="F560" s="17"/>
      <c r="G560" s="17" t="s">
        <v>15</v>
      </c>
      <c r="H560" s="17" t="s">
        <v>2</v>
      </c>
      <c r="I560" s="17" t="s">
        <v>2</v>
      </c>
      <c r="J560" s="17" t="s">
        <v>2</v>
      </c>
      <c r="L560" s="17"/>
    </row>
    <row r="561" spans="1:12" ht="16" outlineLevel="1" x14ac:dyDescent="0.2">
      <c r="A561" s="5" t="s">
        <v>15</v>
      </c>
      <c r="B561" t="s">
        <v>1178</v>
      </c>
      <c r="C561" s="5" t="s">
        <v>1164</v>
      </c>
      <c r="D561" s="5" t="s">
        <v>515</v>
      </c>
      <c r="E561" s="11" t="s">
        <v>1164</v>
      </c>
      <c r="F561" s="5"/>
      <c r="G561" s="5" t="s">
        <v>15</v>
      </c>
      <c r="H561" s="5" t="s">
        <v>2</v>
      </c>
      <c r="I561" s="5" t="s">
        <v>2</v>
      </c>
      <c r="J561" s="5" t="s">
        <v>2</v>
      </c>
      <c r="L561" s="5"/>
    </row>
    <row r="562" spans="1:12" ht="64" outlineLevel="2" collapsed="1" x14ac:dyDescent="0.2">
      <c r="A562" s="4"/>
      <c r="B562" s="4" t="s">
        <v>25</v>
      </c>
      <c r="C562" s="4" t="s">
        <v>2</v>
      </c>
      <c r="D562" s="4"/>
      <c r="E562" s="12" t="s">
        <v>516</v>
      </c>
      <c r="F562" s="4"/>
      <c r="G562" s="4" t="s">
        <v>15</v>
      </c>
      <c r="H562" s="4" t="s">
        <v>19</v>
      </c>
      <c r="I562" s="4" t="s">
        <v>2</v>
      </c>
      <c r="J562" s="4" t="s">
        <v>2</v>
      </c>
      <c r="L562" s="4"/>
    </row>
    <row r="563" spans="1:12" ht="16" outlineLevel="2" x14ac:dyDescent="0.2">
      <c r="A563" s="4" t="s">
        <v>15</v>
      </c>
      <c r="B563" s="4" t="s">
        <v>16</v>
      </c>
      <c r="C563" s="4"/>
      <c r="D563" s="4" t="s">
        <v>1626</v>
      </c>
      <c r="E563" s="12" t="s">
        <v>1622</v>
      </c>
      <c r="F563" s="4"/>
      <c r="G563" s="4"/>
      <c r="H563" s="4"/>
      <c r="I563" s="4"/>
      <c r="J563" s="4"/>
      <c r="L563" s="4"/>
    </row>
    <row r="564" spans="1:12" ht="16" outlineLevel="2" x14ac:dyDescent="0.2">
      <c r="A564" s="4" t="s">
        <v>15</v>
      </c>
      <c r="B564" s="4" t="s">
        <v>16</v>
      </c>
      <c r="C564" s="4"/>
      <c r="D564" s="4" t="s">
        <v>1627</v>
      </c>
      <c r="E564" s="12" t="s">
        <v>1623</v>
      </c>
      <c r="F564" s="4"/>
      <c r="G564" s="4"/>
      <c r="H564" s="4"/>
      <c r="I564" s="4"/>
      <c r="J564" s="4"/>
      <c r="L564" s="4"/>
    </row>
    <row r="565" spans="1:12" ht="16" outlineLevel="2" x14ac:dyDescent="0.2">
      <c r="A565" s="4" t="s">
        <v>15</v>
      </c>
      <c r="B565" s="4" t="s">
        <v>16</v>
      </c>
      <c r="C565" s="4"/>
      <c r="D565" s="4" t="s">
        <v>1628</v>
      </c>
      <c r="E565" s="12" t="s">
        <v>1624</v>
      </c>
      <c r="F565" s="4"/>
      <c r="G565" s="4"/>
      <c r="H565" s="4"/>
      <c r="I565" s="4"/>
      <c r="J565" s="4"/>
      <c r="L565" s="4"/>
    </row>
    <row r="566" spans="1:12" ht="25" outlineLevel="2" collapsed="1" x14ac:dyDescent="0.2">
      <c r="A566" s="4" t="s">
        <v>15</v>
      </c>
      <c r="B566" s="4" t="s">
        <v>25</v>
      </c>
      <c r="C566" s="6" t="s">
        <v>365</v>
      </c>
      <c r="D566" s="4"/>
      <c r="E566" s="13" t="s">
        <v>1165</v>
      </c>
      <c r="F566" s="4"/>
      <c r="G566" s="4" t="s">
        <v>15</v>
      </c>
      <c r="H566" s="4" t="s">
        <v>2</v>
      </c>
      <c r="I566" s="4" t="s">
        <v>2</v>
      </c>
      <c r="J566" s="4" t="s">
        <v>2</v>
      </c>
      <c r="L566" s="4"/>
    </row>
    <row r="567" spans="1:12" ht="103" customHeight="1" outlineLevel="2" collapsed="1" x14ac:dyDescent="0.2">
      <c r="A567" s="4" t="s">
        <v>15</v>
      </c>
      <c r="B567" s="4" t="s">
        <v>25</v>
      </c>
      <c r="C567" s="4" t="s">
        <v>2</v>
      </c>
      <c r="D567" s="4"/>
      <c r="E567" s="12" t="s">
        <v>1625</v>
      </c>
      <c r="F567" s="4"/>
      <c r="G567" s="4" t="s">
        <v>15</v>
      </c>
      <c r="H567" s="4" t="s">
        <v>517</v>
      </c>
      <c r="I567" s="4" t="s">
        <v>2</v>
      </c>
      <c r="J567" s="4" t="s">
        <v>2</v>
      </c>
      <c r="L567" s="4"/>
    </row>
    <row r="568" spans="1:12" ht="16" outlineLevel="2" x14ac:dyDescent="0.2">
      <c r="A568" s="4" t="s">
        <v>15</v>
      </c>
      <c r="B568" s="4" t="s">
        <v>16</v>
      </c>
      <c r="C568" s="4"/>
      <c r="D568" s="45" t="s">
        <v>1629</v>
      </c>
      <c r="E568" s="12" t="s">
        <v>1622</v>
      </c>
      <c r="F568" s="4"/>
      <c r="G568" s="4"/>
      <c r="H568" s="4"/>
      <c r="I568" s="4"/>
      <c r="J568" s="4"/>
      <c r="L568" s="56"/>
    </row>
    <row r="569" spans="1:12" ht="32" outlineLevel="2" x14ac:dyDescent="0.2">
      <c r="A569" s="4" t="s">
        <v>15</v>
      </c>
      <c r="B569" s="4" t="s">
        <v>22</v>
      </c>
      <c r="C569" s="4" t="s">
        <v>1631</v>
      </c>
      <c r="D569" s="45" t="s">
        <v>1630</v>
      </c>
      <c r="E569" s="12" t="s">
        <v>1623</v>
      </c>
      <c r="F569" s="4"/>
      <c r="G569" s="4"/>
      <c r="H569" t="s">
        <v>1632</v>
      </c>
      <c r="I569" s="4"/>
      <c r="J569" s="4"/>
      <c r="L569" s="56"/>
    </row>
    <row r="570" spans="1:12" ht="16" outlineLevel="2" x14ac:dyDescent="0.2">
      <c r="A570" s="46"/>
      <c r="B570" s="47" t="s">
        <v>1178</v>
      </c>
      <c r="C570" s="4" t="s">
        <v>1650</v>
      </c>
      <c r="D570" s="48"/>
      <c r="E570" s="4" t="s">
        <v>1650</v>
      </c>
      <c r="F570" s="36" t="b">
        <f>EXACT(H569,"Option P.1: High Technology Production Facility")</f>
        <v>1</v>
      </c>
      <c r="G570" s="4"/>
      <c r="I570" s="4"/>
      <c r="J570" s="4"/>
      <c r="L570" s="35"/>
    </row>
    <row r="571" spans="1:12" ht="32" outlineLevel="2" x14ac:dyDescent="0.2">
      <c r="A571" s="46"/>
      <c r="B571" s="47" t="s">
        <v>16</v>
      </c>
      <c r="C571" s="4"/>
      <c r="D571" s="49"/>
      <c r="E571" s="12" t="s">
        <v>1634</v>
      </c>
      <c r="F571" s="36"/>
      <c r="G571" s="4"/>
      <c r="H571" s="4"/>
      <c r="I571" s="4"/>
      <c r="J571" s="4"/>
      <c r="L571" s="35"/>
    </row>
    <row r="572" spans="1:12" ht="16" outlineLevel="2" x14ac:dyDescent="0.2">
      <c r="A572" s="4"/>
      <c r="B572" s="4" t="s">
        <v>16</v>
      </c>
      <c r="C572" s="4"/>
      <c r="D572" s="15"/>
      <c r="E572" s="12" t="s">
        <v>1635</v>
      </c>
      <c r="F572" s="36"/>
      <c r="G572" s="4"/>
      <c r="H572" s="4"/>
      <c r="I572" s="4"/>
      <c r="J572" s="4"/>
      <c r="L572" s="4"/>
    </row>
    <row r="573" spans="1:12" ht="16" outlineLevel="2" x14ac:dyDescent="0.2">
      <c r="A573" s="4"/>
      <c r="B573" s="4" t="s">
        <v>16</v>
      </c>
      <c r="C573" s="4"/>
      <c r="D573" s="12"/>
      <c r="E573" s="12" t="s">
        <v>1636</v>
      </c>
      <c r="F573" s="37"/>
      <c r="G573" s="4"/>
      <c r="H573" s="4"/>
      <c r="I573" s="4"/>
      <c r="J573" s="4"/>
      <c r="L573" s="4"/>
    </row>
    <row r="574" spans="1:12" ht="32" outlineLevel="2" x14ac:dyDescent="0.2">
      <c r="A574" s="4"/>
      <c r="B574" s="4" t="s">
        <v>25</v>
      </c>
      <c r="C574" s="4"/>
      <c r="D574" s="4"/>
      <c r="E574" s="12" t="s">
        <v>1637</v>
      </c>
      <c r="F574" s="37"/>
      <c r="G574" s="4"/>
      <c r="H574" s="4"/>
      <c r="I574" s="4"/>
      <c r="J574" s="4"/>
      <c r="L574" s="4"/>
    </row>
    <row r="575" spans="1:12" ht="16" outlineLevel="2" x14ac:dyDescent="0.2">
      <c r="A575" s="4"/>
      <c r="B575" s="4" t="s">
        <v>16</v>
      </c>
      <c r="C575" s="4"/>
      <c r="D575" s="4"/>
      <c r="E575" s="12" t="s">
        <v>1640</v>
      </c>
      <c r="F575" s="37"/>
      <c r="G575" s="4"/>
      <c r="H575" s="4"/>
      <c r="I575" s="4"/>
      <c r="J575" s="4"/>
      <c r="L575" s="4"/>
    </row>
    <row r="576" spans="1:12" ht="32" outlineLevel="2" x14ac:dyDescent="0.2">
      <c r="A576" s="4"/>
      <c r="B576" s="4" t="s">
        <v>25</v>
      </c>
      <c r="C576" s="4"/>
      <c r="D576" s="4"/>
      <c r="E576" s="12" t="s">
        <v>1638</v>
      </c>
      <c r="F576" s="37"/>
      <c r="G576" s="4"/>
      <c r="H576" s="4"/>
      <c r="I576" s="4"/>
      <c r="J576" s="4"/>
      <c r="L576" s="4"/>
    </row>
    <row r="577" spans="1:12" ht="16" outlineLevel="2" x14ac:dyDescent="0.2">
      <c r="A577" s="4"/>
      <c r="B577" s="4" t="s">
        <v>16</v>
      </c>
      <c r="C577" s="4"/>
      <c r="D577" s="4"/>
      <c r="E577" s="12" t="s">
        <v>1640</v>
      </c>
      <c r="F577" s="37"/>
      <c r="G577" s="4"/>
      <c r="H577" s="4"/>
      <c r="I577" s="4"/>
      <c r="J577" s="4"/>
      <c r="L577" s="4"/>
    </row>
    <row r="578" spans="1:12" ht="32" outlineLevel="2" x14ac:dyDescent="0.2">
      <c r="A578" s="4"/>
      <c r="B578" s="4" t="s">
        <v>25</v>
      </c>
      <c r="C578" s="4"/>
      <c r="D578" s="4"/>
      <c r="E578" s="12" t="s">
        <v>1639</v>
      </c>
      <c r="F578" s="37"/>
      <c r="G578" s="4"/>
      <c r="H578" s="4"/>
      <c r="I578" s="4"/>
      <c r="J578" s="4"/>
      <c r="L578" s="4"/>
    </row>
    <row r="579" spans="1:12" ht="16" outlineLevel="2" x14ac:dyDescent="0.2">
      <c r="A579" s="4"/>
      <c r="B579" s="4" t="s">
        <v>16</v>
      </c>
      <c r="C579" s="4"/>
      <c r="D579" s="4"/>
      <c r="E579" s="12" t="s">
        <v>1640</v>
      </c>
      <c r="F579" s="37"/>
      <c r="G579" s="4"/>
      <c r="H579" s="4"/>
      <c r="I579" s="4"/>
      <c r="J579" s="4"/>
      <c r="L579" s="4"/>
    </row>
    <row r="580" spans="1:12" ht="16" outlineLevel="2" x14ac:dyDescent="0.2">
      <c r="A580" s="4"/>
      <c r="B580" s="4" t="s">
        <v>1178</v>
      </c>
      <c r="C580" s="4" t="s">
        <v>1651</v>
      </c>
      <c r="D580" s="4"/>
      <c r="E580" s="4" t="s">
        <v>1651</v>
      </c>
      <c r="F580" s="36" t="b">
        <f>EXACT(H569,"Option P.2: Low Technology Production Facility")</f>
        <v>0</v>
      </c>
      <c r="G580" s="4"/>
      <c r="H580" s="4"/>
      <c r="I580" s="4"/>
      <c r="J580" s="4"/>
      <c r="L580" s="4"/>
    </row>
    <row r="581" spans="1:12" ht="32" outlineLevel="2" x14ac:dyDescent="0.2">
      <c r="A581" s="4"/>
      <c r="B581" s="4" t="s">
        <v>16</v>
      </c>
      <c r="C581" s="4"/>
      <c r="D581" s="4"/>
      <c r="E581" s="12" t="s">
        <v>1644</v>
      </c>
      <c r="F581" s="36"/>
      <c r="G581" s="4"/>
      <c r="H581" s="4"/>
      <c r="I581" s="4"/>
      <c r="J581" s="4"/>
      <c r="L581" s="4"/>
    </row>
    <row r="582" spans="1:12" ht="16" outlineLevel="2" x14ac:dyDescent="0.2">
      <c r="A582" s="4"/>
      <c r="B582" s="4" t="s">
        <v>25</v>
      </c>
      <c r="C582" s="4"/>
      <c r="D582" s="4"/>
      <c r="E582" s="12" t="s">
        <v>1643</v>
      </c>
      <c r="F582" s="37"/>
      <c r="G582" s="4"/>
      <c r="H582" s="4"/>
      <c r="I582" s="4"/>
      <c r="J582" s="4"/>
      <c r="L582" s="4"/>
    </row>
    <row r="583" spans="1:12" ht="16" outlineLevel="2" x14ac:dyDescent="0.2">
      <c r="A583" s="4"/>
      <c r="B583" s="4" t="s">
        <v>16</v>
      </c>
      <c r="C583" s="4"/>
      <c r="D583" s="4"/>
      <c r="E583" s="12" t="s">
        <v>1640</v>
      </c>
      <c r="F583" s="37"/>
      <c r="G583" s="4"/>
      <c r="H583" s="4"/>
      <c r="I583" s="4"/>
      <c r="J583" s="4"/>
      <c r="L583" s="4"/>
    </row>
    <row r="584" spans="1:12" ht="32" outlineLevel="2" x14ac:dyDescent="0.2">
      <c r="A584" s="4"/>
      <c r="B584" s="4" t="s">
        <v>25</v>
      </c>
      <c r="C584" s="4"/>
      <c r="D584" s="4"/>
      <c r="E584" s="12" t="s">
        <v>1645</v>
      </c>
      <c r="F584" s="37"/>
      <c r="G584" s="4"/>
      <c r="H584" s="4"/>
      <c r="I584" s="4"/>
      <c r="J584" s="4"/>
      <c r="L584" s="4"/>
    </row>
    <row r="585" spans="1:12" ht="16" outlineLevel="2" x14ac:dyDescent="0.2">
      <c r="A585" s="4"/>
      <c r="B585" s="4" t="s">
        <v>16</v>
      </c>
      <c r="C585" s="4"/>
      <c r="D585" s="4"/>
      <c r="E585" s="12" t="s">
        <v>1640</v>
      </c>
      <c r="F585" s="37"/>
      <c r="G585" s="4"/>
      <c r="H585" s="4"/>
      <c r="I585" s="4"/>
      <c r="J585" s="4"/>
      <c r="L585" s="4"/>
    </row>
    <row r="586" spans="1:12" ht="16" outlineLevel="2" x14ac:dyDescent="0.2">
      <c r="A586" s="4"/>
      <c r="B586" s="4" t="s">
        <v>16</v>
      </c>
      <c r="C586" s="4"/>
      <c r="D586" s="4"/>
      <c r="E586" s="12" t="s">
        <v>1646</v>
      </c>
      <c r="F586" s="37"/>
      <c r="G586" s="4"/>
      <c r="H586" s="4"/>
      <c r="I586" s="4"/>
      <c r="J586" s="4"/>
      <c r="L586" s="4"/>
    </row>
    <row r="587" spans="1:12" ht="32" outlineLevel="2" x14ac:dyDescent="0.2">
      <c r="A587" s="4"/>
      <c r="B587" s="4" t="s">
        <v>25</v>
      </c>
      <c r="C587" s="4"/>
      <c r="D587" s="4"/>
      <c r="E587" s="12" t="s">
        <v>1647</v>
      </c>
      <c r="F587" s="37"/>
      <c r="G587" s="4"/>
      <c r="H587" s="4"/>
      <c r="I587" s="4"/>
      <c r="J587" s="4"/>
      <c r="L587" s="4"/>
    </row>
    <row r="588" spans="1:12" ht="16" outlineLevel="2" x14ac:dyDescent="0.2">
      <c r="A588" s="4"/>
      <c r="B588" s="4" t="s">
        <v>16</v>
      </c>
      <c r="C588" s="4"/>
      <c r="D588" s="4"/>
      <c r="E588" s="12" t="s">
        <v>1640</v>
      </c>
      <c r="F588" s="37"/>
      <c r="G588" s="4"/>
      <c r="H588" s="4"/>
      <c r="I588" s="4"/>
      <c r="J588" s="4"/>
      <c r="L588" s="4"/>
    </row>
    <row r="589" spans="1:12" ht="32" outlineLevel="2" x14ac:dyDescent="0.2">
      <c r="A589" s="4"/>
      <c r="B589" s="4" t="s">
        <v>25</v>
      </c>
      <c r="C589" s="4"/>
      <c r="D589" s="4"/>
      <c r="E589" s="12" t="s">
        <v>1648</v>
      </c>
      <c r="F589" s="37"/>
      <c r="G589" s="4"/>
      <c r="H589" s="4"/>
      <c r="I589" s="4"/>
      <c r="J589" s="4"/>
      <c r="L589" s="4"/>
    </row>
    <row r="590" spans="1:12" ht="16" outlineLevel="2" x14ac:dyDescent="0.2">
      <c r="A590" s="4"/>
      <c r="B590" s="4" t="s">
        <v>16</v>
      </c>
      <c r="C590" s="4"/>
      <c r="D590" s="4"/>
      <c r="E590" s="12" t="s">
        <v>1640</v>
      </c>
      <c r="F590" s="37"/>
      <c r="G590" s="4"/>
      <c r="H590" s="4"/>
      <c r="I590" s="4"/>
      <c r="J590" s="4"/>
      <c r="L590" s="4"/>
    </row>
    <row r="591" spans="1:12" ht="32" outlineLevel="2" x14ac:dyDescent="0.2">
      <c r="A591" s="4"/>
      <c r="B591" s="4" t="s">
        <v>25</v>
      </c>
      <c r="C591" s="4"/>
      <c r="D591" s="4"/>
      <c r="E591" s="12" t="s">
        <v>1649</v>
      </c>
      <c r="F591" s="37"/>
      <c r="G591" s="4"/>
      <c r="H591" s="4"/>
      <c r="I591" s="4"/>
      <c r="J591" s="4"/>
      <c r="L591" s="4"/>
    </row>
    <row r="592" spans="1:12" ht="16" outlineLevel="2" x14ac:dyDescent="0.2">
      <c r="A592" s="4"/>
      <c r="B592" s="4" t="s">
        <v>16</v>
      </c>
      <c r="C592" s="4"/>
      <c r="D592" s="4"/>
      <c r="E592" s="12" t="s">
        <v>1640</v>
      </c>
      <c r="F592" s="37"/>
      <c r="G592" s="4"/>
      <c r="H592" s="4"/>
      <c r="I592" s="4"/>
      <c r="J592" s="4"/>
      <c r="L592" s="4"/>
    </row>
    <row r="593" spans="1:12" ht="16" outlineLevel="2" x14ac:dyDescent="0.2">
      <c r="A593" s="4"/>
      <c r="B593" s="4" t="s">
        <v>25</v>
      </c>
      <c r="C593" s="4"/>
      <c r="D593" s="4"/>
      <c r="E593" s="12" t="s">
        <v>1624</v>
      </c>
      <c r="F593" s="4"/>
      <c r="G593" s="4"/>
      <c r="H593" s="4"/>
      <c r="I593" s="4"/>
      <c r="J593" s="4"/>
      <c r="L593" s="4"/>
    </row>
    <row r="594" spans="1:12" ht="32" outlineLevel="2" x14ac:dyDescent="0.2">
      <c r="A594" s="4"/>
      <c r="B594" s="4" t="s">
        <v>25</v>
      </c>
      <c r="C594" s="4"/>
      <c r="D594" s="4"/>
      <c r="E594" s="12" t="s">
        <v>1641</v>
      </c>
      <c r="F594" s="4"/>
      <c r="G594" s="4"/>
      <c r="H594" s="4"/>
      <c r="I594" s="4"/>
      <c r="J594" s="4"/>
      <c r="L594" s="4"/>
    </row>
    <row r="595" spans="1:12" ht="16" outlineLevel="2" x14ac:dyDescent="0.2">
      <c r="A595" s="4"/>
      <c r="B595" s="4" t="s">
        <v>16</v>
      </c>
      <c r="C595" s="4"/>
      <c r="D595" s="4"/>
      <c r="E595" s="12" t="s">
        <v>1640</v>
      </c>
      <c r="F595" s="4"/>
      <c r="G595" s="4"/>
      <c r="H595" s="4"/>
      <c r="I595" s="4"/>
      <c r="J595" s="4"/>
      <c r="L595" s="4"/>
    </row>
    <row r="596" spans="1:12" ht="32" outlineLevel="2" x14ac:dyDescent="0.2">
      <c r="A596" s="4"/>
      <c r="B596" s="4" t="s">
        <v>25</v>
      </c>
      <c r="C596" s="4"/>
      <c r="D596" s="4"/>
      <c r="E596" s="12" t="s">
        <v>1642</v>
      </c>
      <c r="F596" s="4"/>
      <c r="G596" s="4"/>
      <c r="H596" s="4"/>
      <c r="I596" s="4"/>
      <c r="J596" s="4"/>
      <c r="L596" s="4"/>
    </row>
    <row r="597" spans="1:12" ht="16" outlineLevel="2" x14ac:dyDescent="0.2">
      <c r="A597" s="4"/>
      <c r="B597" s="4" t="s">
        <v>16</v>
      </c>
      <c r="C597" s="4"/>
      <c r="D597" s="4"/>
      <c r="E597" s="12" t="s">
        <v>1640</v>
      </c>
      <c r="F597" s="4"/>
      <c r="G597" s="4"/>
      <c r="H597" s="4"/>
      <c r="I597" s="4"/>
      <c r="J597" s="4"/>
      <c r="L597" s="4"/>
    </row>
    <row r="598" spans="1:12" ht="25" outlineLevel="1" x14ac:dyDescent="0.2">
      <c r="A598" s="17" t="s">
        <v>15</v>
      </c>
      <c r="B598" t="s">
        <v>25</v>
      </c>
      <c r="C598" s="18" t="s">
        <v>365</v>
      </c>
      <c r="D598" s="17"/>
      <c r="E598" s="60" t="s">
        <v>1166</v>
      </c>
      <c r="F598" s="17"/>
      <c r="G598" s="17" t="s">
        <v>15</v>
      </c>
      <c r="H598" s="17" t="s">
        <v>2</v>
      </c>
      <c r="I598" s="17" t="s">
        <v>2</v>
      </c>
      <c r="J598" s="17" t="s">
        <v>2</v>
      </c>
      <c r="L598" s="17"/>
    </row>
    <row r="599" spans="1:12" ht="64" outlineLevel="1" x14ac:dyDescent="0.2">
      <c r="A599" s="4" t="s">
        <v>15</v>
      </c>
      <c r="B599" s="4" t="s">
        <v>25</v>
      </c>
      <c r="C599" s="4"/>
      <c r="D599" s="4"/>
      <c r="E599" s="12" t="s">
        <v>1652</v>
      </c>
      <c r="F599" s="4"/>
      <c r="G599" s="4"/>
      <c r="H599" s="4"/>
      <c r="I599" s="4"/>
      <c r="J599" s="4"/>
      <c r="L599" s="4"/>
    </row>
    <row r="600" spans="1:12" ht="16" outlineLevel="1" x14ac:dyDescent="0.2">
      <c r="A600" s="4" t="s">
        <v>21</v>
      </c>
      <c r="B600" s="4" t="s">
        <v>16</v>
      </c>
      <c r="C600" s="4"/>
      <c r="D600" s="4"/>
      <c r="E600" s="12" t="s">
        <v>1640</v>
      </c>
      <c r="F600" s="4"/>
      <c r="G600" s="4"/>
      <c r="H600" s="4"/>
      <c r="I600" s="4"/>
      <c r="J600" s="4"/>
      <c r="L600" s="4"/>
    </row>
    <row r="601" spans="1:12" ht="16" outlineLevel="1" x14ac:dyDescent="0.2">
      <c r="A601" s="4" t="s">
        <v>21</v>
      </c>
      <c r="B601" s="4" t="s">
        <v>1178</v>
      </c>
      <c r="C601" s="4" t="s">
        <v>1664</v>
      </c>
      <c r="D601" s="4"/>
      <c r="E601" s="4" t="s">
        <v>1665</v>
      </c>
      <c r="F601" s="4"/>
      <c r="G601" s="4" t="s">
        <v>21</v>
      </c>
      <c r="H601" s="4"/>
      <c r="I601" s="4"/>
      <c r="J601" s="4"/>
      <c r="L601" s="4"/>
    </row>
    <row r="602" spans="1:12" ht="16" outlineLevel="2" x14ac:dyDescent="0.2">
      <c r="A602" s="4" t="s">
        <v>21</v>
      </c>
      <c r="B602" s="4" t="s">
        <v>138</v>
      </c>
      <c r="C602" s="4"/>
      <c r="D602" s="4" t="s">
        <v>1658</v>
      </c>
      <c r="E602" s="12" t="s">
        <v>1303</v>
      </c>
      <c r="F602" s="4"/>
      <c r="G602" s="4"/>
      <c r="H602" s="4"/>
      <c r="I602" s="4"/>
      <c r="J602" s="4"/>
      <c r="L602" s="4"/>
    </row>
    <row r="603" spans="1:12" ht="48" outlineLevel="2" x14ac:dyDescent="0.2">
      <c r="A603" s="4" t="s">
        <v>21</v>
      </c>
      <c r="B603" s="4" t="s">
        <v>138</v>
      </c>
      <c r="C603" s="4"/>
      <c r="D603" s="4" t="s">
        <v>1659</v>
      </c>
      <c r="E603" s="12" t="s">
        <v>1653</v>
      </c>
      <c r="F603" s="4"/>
      <c r="G603" s="4"/>
      <c r="H603" s="4"/>
      <c r="I603" s="4"/>
      <c r="J603" s="4"/>
      <c r="L603" s="4"/>
    </row>
    <row r="604" spans="1:12" ht="64" outlineLevel="2" x14ac:dyDescent="0.2">
      <c r="A604" s="4" t="s">
        <v>21</v>
      </c>
      <c r="B604" s="4" t="s">
        <v>138</v>
      </c>
      <c r="C604" s="4"/>
      <c r="D604" s="4" t="s">
        <v>1660</v>
      </c>
      <c r="E604" s="12" t="s">
        <v>1654</v>
      </c>
      <c r="F604" s="4"/>
      <c r="G604" s="4"/>
      <c r="H604" s="4"/>
      <c r="I604" s="4"/>
      <c r="J604" s="4"/>
      <c r="L604" s="4"/>
    </row>
    <row r="605" spans="1:12" ht="160" outlineLevel="2" x14ac:dyDescent="0.2">
      <c r="A605" s="4" t="s">
        <v>21</v>
      </c>
      <c r="B605" s="4" t="s">
        <v>138</v>
      </c>
      <c r="C605" s="4"/>
      <c r="D605" s="4" t="s">
        <v>1661</v>
      </c>
      <c r="E605" s="12" t="s">
        <v>1655</v>
      </c>
      <c r="F605" s="4"/>
      <c r="G605" s="4"/>
      <c r="H605" s="4"/>
      <c r="I605" s="4"/>
      <c r="J605" s="4"/>
      <c r="L605" s="4"/>
    </row>
    <row r="606" spans="1:12" ht="112" outlineLevel="2" x14ac:dyDescent="0.2">
      <c r="A606" s="4" t="s">
        <v>21</v>
      </c>
      <c r="B606" s="4" t="s">
        <v>138</v>
      </c>
      <c r="C606" s="4"/>
      <c r="D606" s="4" t="s">
        <v>1662</v>
      </c>
      <c r="E606" s="12" t="s">
        <v>1656</v>
      </c>
      <c r="F606" s="4"/>
      <c r="G606" s="4"/>
      <c r="H606" s="4"/>
      <c r="I606" s="4"/>
      <c r="J606" s="4"/>
      <c r="L606" s="4"/>
    </row>
    <row r="607" spans="1:12" ht="50" outlineLevel="1" x14ac:dyDescent="0.2">
      <c r="A607" s="5" t="s">
        <v>15</v>
      </c>
      <c r="B607" t="s">
        <v>1178</v>
      </c>
      <c r="C607" s="11" t="s">
        <v>1167</v>
      </c>
      <c r="D607" s="5"/>
      <c r="E607" s="42" t="s">
        <v>1167</v>
      </c>
      <c r="F607" s="5"/>
      <c r="G607" s="5" t="s">
        <v>15</v>
      </c>
      <c r="H607" s="5" t="s">
        <v>2</v>
      </c>
      <c r="I607" s="5" t="s">
        <v>2</v>
      </c>
      <c r="J607" s="5" t="s">
        <v>2</v>
      </c>
      <c r="L607" s="5"/>
    </row>
    <row r="608" spans="1:12" ht="50" outlineLevel="2" collapsed="1" x14ac:dyDescent="0.2">
      <c r="A608" s="4" t="s">
        <v>15</v>
      </c>
      <c r="B608" s="4" t="s">
        <v>25</v>
      </c>
      <c r="C608" s="6" t="s">
        <v>365</v>
      </c>
      <c r="D608" s="4"/>
      <c r="E608" s="13" t="s">
        <v>1167</v>
      </c>
      <c r="F608" s="4"/>
      <c r="G608" s="4" t="s">
        <v>15</v>
      </c>
      <c r="H608" s="4" t="s">
        <v>2</v>
      </c>
      <c r="I608" s="4" t="s">
        <v>2</v>
      </c>
      <c r="J608" s="4" t="s">
        <v>2</v>
      </c>
      <c r="L608" s="4"/>
    </row>
    <row r="609" spans="1:12" ht="208" outlineLevel="2" collapsed="1" x14ac:dyDescent="0.2">
      <c r="A609" s="4" t="s">
        <v>21</v>
      </c>
      <c r="B609" s="4" t="s">
        <v>16</v>
      </c>
      <c r="C609" s="4" t="s">
        <v>2</v>
      </c>
      <c r="D609" s="4"/>
      <c r="E609" s="12" t="s">
        <v>1666</v>
      </c>
      <c r="F609" s="4"/>
      <c r="G609" s="4" t="s">
        <v>15</v>
      </c>
      <c r="H609" s="4" t="s">
        <v>19</v>
      </c>
      <c r="I609" s="4" t="s">
        <v>2</v>
      </c>
      <c r="J609" s="4" t="s">
        <v>2</v>
      </c>
      <c r="L609" s="4"/>
    </row>
    <row r="610" spans="1:12" ht="48" outlineLevel="2" x14ac:dyDescent="0.2">
      <c r="A610" s="5" t="s">
        <v>21</v>
      </c>
      <c r="B610" t="s">
        <v>1178</v>
      </c>
      <c r="C610" s="11" t="s">
        <v>523</v>
      </c>
      <c r="D610" s="5"/>
      <c r="E610" s="11" t="s">
        <v>523</v>
      </c>
      <c r="F610" s="5"/>
      <c r="G610" s="5" t="s">
        <v>21</v>
      </c>
      <c r="H610" s="5" t="s">
        <v>2</v>
      </c>
      <c r="I610" s="5" t="s">
        <v>2</v>
      </c>
      <c r="J610" s="5" t="s">
        <v>2</v>
      </c>
      <c r="L610" s="5"/>
    </row>
    <row r="611" spans="1:12" ht="16" outlineLevel="3" collapsed="1" x14ac:dyDescent="0.2">
      <c r="A611" s="4" t="s">
        <v>21</v>
      </c>
      <c r="B611" s="4" t="s">
        <v>16</v>
      </c>
      <c r="C611" s="4" t="s">
        <v>2</v>
      </c>
      <c r="D611" s="4"/>
      <c r="E611" s="12" t="s">
        <v>519</v>
      </c>
      <c r="F611" s="4"/>
      <c r="G611" s="4" t="s">
        <v>15</v>
      </c>
      <c r="H611" s="4" t="s">
        <v>19</v>
      </c>
      <c r="I611" s="4" t="s">
        <v>2</v>
      </c>
      <c r="J611" s="4" t="s">
        <v>2</v>
      </c>
      <c r="L611" s="4"/>
    </row>
    <row r="612" spans="1:12" ht="16" outlineLevel="3" collapsed="1" x14ac:dyDescent="0.2">
      <c r="A612" s="4" t="s">
        <v>21</v>
      </c>
      <c r="B612" s="4" t="s">
        <v>16</v>
      </c>
      <c r="C612" s="4" t="s">
        <v>2</v>
      </c>
      <c r="D612" s="4"/>
      <c r="E612" s="12" t="s">
        <v>1</v>
      </c>
      <c r="F612" s="4"/>
      <c r="G612" s="4" t="s">
        <v>15</v>
      </c>
      <c r="H612" s="4" t="s">
        <v>19</v>
      </c>
      <c r="I612" s="4" t="s">
        <v>2</v>
      </c>
      <c r="J612" s="4" t="s">
        <v>2</v>
      </c>
      <c r="L612" s="4"/>
    </row>
    <row r="613" spans="1:12" ht="16" outlineLevel="3" collapsed="1" x14ac:dyDescent="0.2">
      <c r="A613" s="4" t="s">
        <v>21</v>
      </c>
      <c r="B613" s="4" t="s">
        <v>520</v>
      </c>
      <c r="C613" s="4" t="s">
        <v>2</v>
      </c>
      <c r="D613" s="4"/>
      <c r="E613" s="12" t="s">
        <v>521</v>
      </c>
      <c r="F613" s="4"/>
      <c r="G613" s="4" t="s">
        <v>15</v>
      </c>
      <c r="H613" s="4" t="s">
        <v>524</v>
      </c>
      <c r="I613" s="4" t="s">
        <v>2</v>
      </c>
      <c r="J613" s="4" t="s">
        <v>2</v>
      </c>
      <c r="L613" s="4"/>
    </row>
    <row r="614" spans="1:12" ht="30" outlineLevel="1" x14ac:dyDescent="0.2">
      <c r="A614" s="5" t="s">
        <v>15</v>
      </c>
      <c r="B614" t="s">
        <v>1178</v>
      </c>
      <c r="C614" s="5" t="s">
        <v>1168</v>
      </c>
      <c r="D614" s="5" t="s">
        <v>1742</v>
      </c>
      <c r="E614" s="43" t="s">
        <v>1168</v>
      </c>
      <c r="F614" s="5"/>
      <c r="G614" s="5" t="s">
        <v>15</v>
      </c>
      <c r="H614" s="5" t="s">
        <v>2</v>
      </c>
      <c r="I614" s="5" t="s">
        <v>2</v>
      </c>
      <c r="J614" s="5" t="s">
        <v>2</v>
      </c>
      <c r="L614" s="5"/>
    </row>
    <row r="615" spans="1:12" ht="32" outlineLevel="2" x14ac:dyDescent="0.2">
      <c r="A615" s="5" t="s">
        <v>15</v>
      </c>
      <c r="B615" t="s">
        <v>1178</v>
      </c>
      <c r="C615" s="5" t="s">
        <v>1169</v>
      </c>
      <c r="D615" s="5" t="s">
        <v>1743</v>
      </c>
      <c r="E615" s="11" t="s">
        <v>1169</v>
      </c>
      <c r="F615" s="5"/>
      <c r="G615" s="5" t="s">
        <v>21</v>
      </c>
      <c r="H615" s="5" t="s">
        <v>2</v>
      </c>
      <c r="I615" s="5" t="s">
        <v>2</v>
      </c>
      <c r="J615" s="5" t="s">
        <v>2</v>
      </c>
      <c r="L615" s="5"/>
    </row>
    <row r="616" spans="1:12" s="55" customFormat="1" ht="17" customHeight="1" outlineLevel="3" collapsed="1" x14ac:dyDescent="0.2">
      <c r="A616" s="54" t="s">
        <v>21</v>
      </c>
      <c r="B616" s="54" t="s">
        <v>16</v>
      </c>
      <c r="C616" s="54" t="s">
        <v>2</v>
      </c>
      <c r="D616" s="54" t="s">
        <v>479</v>
      </c>
      <c r="E616" s="50" t="s">
        <v>478</v>
      </c>
      <c r="F616" s="54"/>
      <c r="G616" s="54" t="s">
        <v>15</v>
      </c>
      <c r="H616" s="54" t="s">
        <v>19</v>
      </c>
      <c r="I616" s="54" t="s">
        <v>2</v>
      </c>
      <c r="J616" s="54" t="s">
        <v>2</v>
      </c>
      <c r="L616" s="54"/>
    </row>
    <row r="617" spans="1:12" s="55" customFormat="1" ht="16" outlineLevel="3" collapsed="1" x14ac:dyDescent="0.2">
      <c r="A617" s="54" t="s">
        <v>21</v>
      </c>
      <c r="B617" s="54" t="s">
        <v>16</v>
      </c>
      <c r="C617" s="54" t="s">
        <v>2</v>
      </c>
      <c r="D617" s="54" t="s">
        <v>481</v>
      </c>
      <c r="E617" s="50" t="s">
        <v>480</v>
      </c>
      <c r="F617" s="54"/>
      <c r="G617" s="54" t="s">
        <v>15</v>
      </c>
      <c r="H617" s="54" t="s">
        <v>19</v>
      </c>
      <c r="I617" s="54" t="s">
        <v>2</v>
      </c>
      <c r="J617" s="54" t="s">
        <v>2</v>
      </c>
      <c r="L617" s="54"/>
    </row>
    <row r="618" spans="1:12" ht="16" outlineLevel="3" x14ac:dyDescent="0.2">
      <c r="A618" s="5" t="s">
        <v>15</v>
      </c>
      <c r="B618" t="s">
        <v>1178</v>
      </c>
      <c r="C618" s="11" t="s">
        <v>1680</v>
      </c>
      <c r="D618" s="5"/>
      <c r="E618" s="50" t="s">
        <v>1680</v>
      </c>
      <c r="F618" s="5"/>
      <c r="G618" s="5" t="s">
        <v>15</v>
      </c>
      <c r="H618" s="5" t="s">
        <v>2</v>
      </c>
      <c r="I618" s="5" t="s">
        <v>2</v>
      </c>
      <c r="J618" s="5" t="s">
        <v>2</v>
      </c>
      <c r="L618" s="5"/>
    </row>
    <row r="619" spans="1:12" ht="32" outlineLevel="4" collapsed="1" x14ac:dyDescent="0.2">
      <c r="A619" s="4" t="s">
        <v>15</v>
      </c>
      <c r="B619" s="4" t="s">
        <v>25</v>
      </c>
      <c r="C619" s="4" t="s">
        <v>2</v>
      </c>
      <c r="D619" s="4"/>
      <c r="E619" s="12" t="s">
        <v>1302</v>
      </c>
      <c r="F619" s="4"/>
      <c r="G619" s="4" t="s">
        <v>15</v>
      </c>
      <c r="H619" s="4" t="s">
        <v>2</v>
      </c>
      <c r="I619" s="4" t="s">
        <v>2</v>
      </c>
      <c r="J619" s="4" t="s">
        <v>2</v>
      </c>
      <c r="L619" s="4"/>
    </row>
    <row r="620" spans="1:12" ht="16" outlineLevel="4" collapsed="1" x14ac:dyDescent="0.2">
      <c r="A620" s="4" t="s">
        <v>15</v>
      </c>
      <c r="B620" s="4" t="s">
        <v>25</v>
      </c>
      <c r="C620" s="4" t="s">
        <v>2</v>
      </c>
      <c r="D620" s="4"/>
      <c r="E620" s="12" t="s">
        <v>502</v>
      </c>
      <c r="F620" s="4"/>
      <c r="G620" s="4" t="s">
        <v>15</v>
      </c>
      <c r="H620" s="4" t="s">
        <v>2</v>
      </c>
      <c r="I620" s="4" t="s">
        <v>2</v>
      </c>
      <c r="J620" s="4" t="s">
        <v>2</v>
      </c>
      <c r="L620" s="4"/>
    </row>
    <row r="621" spans="1:12" ht="16" outlineLevel="4" collapsed="1" x14ac:dyDescent="0.2">
      <c r="A621" s="4" t="s">
        <v>21</v>
      </c>
      <c r="B621" s="4" t="s">
        <v>16</v>
      </c>
      <c r="C621" s="4" t="s">
        <v>2</v>
      </c>
      <c r="D621" s="4"/>
      <c r="E621" s="12" t="s">
        <v>482</v>
      </c>
      <c r="F621" s="4"/>
      <c r="G621" s="4" t="s">
        <v>15</v>
      </c>
      <c r="H621" s="4" t="s">
        <v>19</v>
      </c>
      <c r="I621" s="4" t="s">
        <v>2</v>
      </c>
      <c r="J621" s="4" t="s">
        <v>2</v>
      </c>
      <c r="L621" s="4"/>
    </row>
    <row r="622" spans="1:12" ht="16" outlineLevel="4" collapsed="1" x14ac:dyDescent="0.2">
      <c r="A622" s="4" t="s">
        <v>21</v>
      </c>
      <c r="B622" s="4" t="s">
        <v>16</v>
      </c>
      <c r="C622" s="4" t="s">
        <v>2</v>
      </c>
      <c r="D622" s="4"/>
      <c r="E622" s="12" t="s">
        <v>483</v>
      </c>
      <c r="F622" s="4"/>
      <c r="G622" s="4" t="s">
        <v>15</v>
      </c>
      <c r="H622" s="4" t="s">
        <v>19</v>
      </c>
      <c r="I622" s="4" t="s">
        <v>2</v>
      </c>
      <c r="J622" s="4" t="s">
        <v>2</v>
      </c>
      <c r="L622" s="4"/>
    </row>
    <row r="623" spans="1:12" ht="16" outlineLevel="4" x14ac:dyDescent="0.2">
      <c r="A623" s="5" t="s">
        <v>21</v>
      </c>
      <c r="B623" t="s">
        <v>1178</v>
      </c>
      <c r="C623" s="11" t="s">
        <v>1685</v>
      </c>
      <c r="D623" s="5"/>
      <c r="E623" s="11" t="s">
        <v>1685</v>
      </c>
      <c r="F623" s="5"/>
      <c r="G623" s="5" t="s">
        <v>21</v>
      </c>
      <c r="H623" s="5" t="s">
        <v>2</v>
      </c>
      <c r="I623" s="5" t="s">
        <v>2</v>
      </c>
      <c r="J623" s="5" t="s">
        <v>2</v>
      </c>
      <c r="L623" s="5"/>
    </row>
    <row r="624" spans="1:12" ht="16" outlineLevel="5" collapsed="1" x14ac:dyDescent="0.2">
      <c r="A624" s="4" t="s">
        <v>21</v>
      </c>
      <c r="B624" s="4" t="s">
        <v>138</v>
      </c>
      <c r="C624" s="4" t="s">
        <v>2</v>
      </c>
      <c r="D624" s="4"/>
      <c r="E624" s="12" t="s">
        <v>1303</v>
      </c>
      <c r="F624" s="4"/>
      <c r="G624" s="4" t="s">
        <v>15</v>
      </c>
      <c r="H624" s="4" t="s">
        <v>484</v>
      </c>
      <c r="I624" s="4" t="s">
        <v>2</v>
      </c>
      <c r="J624" s="4" t="s">
        <v>2</v>
      </c>
      <c r="L624" s="4"/>
    </row>
    <row r="625" spans="1:12" ht="16" outlineLevel="5" collapsed="1" x14ac:dyDescent="0.2">
      <c r="A625" s="4" t="s">
        <v>21</v>
      </c>
      <c r="B625" s="4" t="s">
        <v>16</v>
      </c>
      <c r="C625" s="4" t="s">
        <v>2</v>
      </c>
      <c r="D625" s="4"/>
      <c r="E625" s="12" t="s">
        <v>1304</v>
      </c>
      <c r="F625" s="4"/>
      <c r="G625" s="4" t="s">
        <v>15</v>
      </c>
      <c r="H625" s="4">
        <v>1</v>
      </c>
      <c r="I625" s="4" t="s">
        <v>2</v>
      </c>
      <c r="J625" s="4" t="s">
        <v>2</v>
      </c>
      <c r="L625" s="4"/>
    </row>
    <row r="626" spans="1:12" ht="16" outlineLevel="5" x14ac:dyDescent="0.2">
      <c r="A626" s="4" t="s">
        <v>21</v>
      </c>
      <c r="B626" s="4" t="s">
        <v>16</v>
      </c>
      <c r="C626" s="4"/>
      <c r="D626" s="4"/>
      <c r="E626" s="12" t="s">
        <v>1305</v>
      </c>
      <c r="F626" s="4"/>
      <c r="G626" s="4"/>
      <c r="H626" s="4"/>
      <c r="I626" s="4"/>
      <c r="J626" s="4"/>
      <c r="L626" s="4"/>
    </row>
    <row r="627" spans="1:12" ht="16" outlineLevel="5" x14ac:dyDescent="0.2">
      <c r="A627" s="4"/>
      <c r="B627" s="4" t="s">
        <v>138</v>
      </c>
      <c r="C627" s="4"/>
      <c r="D627" s="4"/>
      <c r="E627" s="12" t="s">
        <v>1686</v>
      </c>
      <c r="F627" s="4"/>
      <c r="G627" s="4"/>
      <c r="H627" s="4"/>
      <c r="I627" s="4"/>
      <c r="J627" s="4"/>
      <c r="L627" s="4"/>
    </row>
    <row r="628" spans="1:12" ht="32" outlineLevel="4" x14ac:dyDescent="0.2">
      <c r="A628" s="4" t="s">
        <v>21</v>
      </c>
      <c r="B628" s="4" t="s">
        <v>16</v>
      </c>
      <c r="C628" s="4" t="s">
        <v>2</v>
      </c>
      <c r="D628" s="4"/>
      <c r="E628" s="12" t="s">
        <v>485</v>
      </c>
      <c r="F628" s="4"/>
      <c r="G628" s="4" t="s">
        <v>15</v>
      </c>
      <c r="H628" s="4" t="s">
        <v>19</v>
      </c>
      <c r="I628" s="4" t="s">
        <v>2</v>
      </c>
      <c r="J628" s="4" t="s">
        <v>2</v>
      </c>
      <c r="L628" s="4"/>
    </row>
    <row r="629" spans="1:12" ht="16" outlineLevel="4" collapsed="1" x14ac:dyDescent="0.2">
      <c r="A629" s="4" t="s">
        <v>21</v>
      </c>
      <c r="B629" s="4" t="s">
        <v>16</v>
      </c>
      <c r="C629" s="4" t="s">
        <v>2</v>
      </c>
      <c r="D629" s="4"/>
      <c r="E629" s="12" t="s">
        <v>486</v>
      </c>
      <c r="F629" s="4"/>
      <c r="G629" s="4" t="s">
        <v>15</v>
      </c>
      <c r="H629" s="4" t="s">
        <v>19</v>
      </c>
      <c r="I629" s="4" t="s">
        <v>2</v>
      </c>
      <c r="J629" s="4" t="s">
        <v>2</v>
      </c>
      <c r="L629" s="4"/>
    </row>
    <row r="630" spans="1:12" ht="16" outlineLevel="4" collapsed="1" x14ac:dyDescent="0.2">
      <c r="A630" s="4" t="s">
        <v>21</v>
      </c>
      <c r="B630" s="4" t="s">
        <v>16</v>
      </c>
      <c r="C630" s="4" t="s">
        <v>2</v>
      </c>
      <c r="D630" s="4"/>
      <c r="E630" s="12" t="s">
        <v>487</v>
      </c>
      <c r="F630" s="4"/>
      <c r="G630" s="4" t="s">
        <v>15</v>
      </c>
      <c r="H630" s="4" t="s">
        <v>19</v>
      </c>
      <c r="I630" s="4" t="s">
        <v>2</v>
      </c>
      <c r="J630" s="4" t="s">
        <v>2</v>
      </c>
      <c r="L630" s="4"/>
    </row>
    <row r="631" spans="1:12" ht="16" outlineLevel="3" x14ac:dyDescent="0.2">
      <c r="A631" s="5" t="s">
        <v>15</v>
      </c>
      <c r="B631" t="s">
        <v>1178</v>
      </c>
      <c r="C631" s="11" t="s">
        <v>1667</v>
      </c>
      <c r="D631" s="5"/>
      <c r="E631" s="11" t="s">
        <v>1667</v>
      </c>
      <c r="F631" s="5"/>
      <c r="G631" s="5" t="s">
        <v>15</v>
      </c>
      <c r="H631" s="5" t="s">
        <v>2</v>
      </c>
      <c r="I631" s="5" t="s">
        <v>2</v>
      </c>
      <c r="J631" s="5" t="s">
        <v>2</v>
      </c>
      <c r="L631" s="5"/>
    </row>
    <row r="632" spans="1:12" ht="16" outlineLevel="4" collapsed="1" x14ac:dyDescent="0.2">
      <c r="A632" s="4" t="s">
        <v>15</v>
      </c>
      <c r="B632" s="4" t="s">
        <v>25</v>
      </c>
      <c r="C632" s="4" t="s">
        <v>2</v>
      </c>
      <c r="D632" s="4"/>
      <c r="E632" s="12" t="s">
        <v>1687</v>
      </c>
      <c r="F632" s="4"/>
      <c r="G632" s="4" t="s">
        <v>15</v>
      </c>
      <c r="H632" s="4" t="s">
        <v>2</v>
      </c>
      <c r="I632" s="4" t="s">
        <v>2</v>
      </c>
      <c r="J632" s="4" t="s">
        <v>2</v>
      </c>
      <c r="L632" s="4"/>
    </row>
    <row r="633" spans="1:12" ht="16" outlineLevel="4" collapsed="1" x14ac:dyDescent="0.2">
      <c r="A633" s="4" t="s">
        <v>15</v>
      </c>
      <c r="B633" s="4" t="s">
        <v>25</v>
      </c>
      <c r="C633" s="4" t="s">
        <v>2</v>
      </c>
      <c r="D633" s="4"/>
      <c r="E633" s="12" t="s">
        <v>1688</v>
      </c>
      <c r="F633" s="4"/>
      <c r="G633" s="4" t="s">
        <v>15</v>
      </c>
      <c r="H633" s="4" t="s">
        <v>2</v>
      </c>
      <c r="I633" s="4" t="s">
        <v>2</v>
      </c>
      <c r="J633" s="4" t="s">
        <v>2</v>
      </c>
      <c r="L633" s="4"/>
    </row>
    <row r="634" spans="1:12" ht="16" outlineLevel="4" collapsed="1" x14ac:dyDescent="0.2">
      <c r="A634" s="4" t="s">
        <v>21</v>
      </c>
      <c r="B634" s="4" t="s">
        <v>16</v>
      </c>
      <c r="C634" s="4" t="s">
        <v>2</v>
      </c>
      <c r="D634" s="4"/>
      <c r="E634" s="12" t="s">
        <v>482</v>
      </c>
      <c r="F634" s="4"/>
      <c r="G634" s="4" t="s">
        <v>15</v>
      </c>
      <c r="H634" s="4" t="s">
        <v>19</v>
      </c>
      <c r="I634" s="4" t="s">
        <v>2</v>
      </c>
      <c r="J634" s="4" t="s">
        <v>2</v>
      </c>
      <c r="L634" s="4"/>
    </row>
    <row r="635" spans="1:12" ht="16" outlineLevel="4" collapsed="1" x14ac:dyDescent="0.2">
      <c r="A635" s="4" t="s">
        <v>21</v>
      </c>
      <c r="B635" s="4" t="s">
        <v>16</v>
      </c>
      <c r="C635" s="4" t="s">
        <v>2</v>
      </c>
      <c r="D635" s="4"/>
      <c r="E635" s="12" t="s">
        <v>483</v>
      </c>
      <c r="F635" s="4"/>
      <c r="G635" s="4" t="s">
        <v>15</v>
      </c>
      <c r="H635" s="4" t="s">
        <v>19</v>
      </c>
      <c r="I635" s="4" t="s">
        <v>2</v>
      </c>
      <c r="J635" s="4" t="s">
        <v>2</v>
      </c>
      <c r="L635" s="4"/>
    </row>
    <row r="636" spans="1:12" ht="32" outlineLevel="4" collapsed="1" x14ac:dyDescent="0.2">
      <c r="A636" s="4" t="s">
        <v>21</v>
      </c>
      <c r="B636" s="4" t="s">
        <v>16</v>
      </c>
      <c r="C636" s="4" t="s">
        <v>2</v>
      </c>
      <c r="D636" s="4"/>
      <c r="E636" s="12" t="s">
        <v>485</v>
      </c>
      <c r="F636" s="4"/>
      <c r="G636" s="4" t="s">
        <v>15</v>
      </c>
      <c r="H636" s="4" t="s">
        <v>19</v>
      </c>
      <c r="I636" s="4" t="s">
        <v>2</v>
      </c>
      <c r="J636" s="4" t="s">
        <v>2</v>
      </c>
      <c r="L636" s="4"/>
    </row>
    <row r="637" spans="1:12" ht="16" outlineLevel="4" collapsed="1" x14ac:dyDescent="0.2">
      <c r="A637" s="4" t="s">
        <v>15</v>
      </c>
      <c r="B637" s="4" t="s">
        <v>16</v>
      </c>
      <c r="C637" s="4" t="s">
        <v>2</v>
      </c>
      <c r="D637" s="4"/>
      <c r="E637" s="12" t="s">
        <v>486</v>
      </c>
      <c r="F637" s="4"/>
      <c r="G637" s="4" t="s">
        <v>15</v>
      </c>
      <c r="H637" s="4" t="s">
        <v>19</v>
      </c>
      <c r="I637" s="4" t="s">
        <v>2</v>
      </c>
      <c r="J637" s="4" t="s">
        <v>2</v>
      </c>
      <c r="L637" s="4"/>
    </row>
    <row r="638" spans="1:12" ht="16" outlineLevel="4" collapsed="1" x14ac:dyDescent="0.2">
      <c r="A638" s="4" t="s">
        <v>15</v>
      </c>
      <c r="B638" s="4" t="s">
        <v>16</v>
      </c>
      <c r="C638" s="4" t="s">
        <v>2</v>
      </c>
      <c r="D638" s="4"/>
      <c r="E638" s="12" t="s">
        <v>487</v>
      </c>
      <c r="F638" s="4"/>
      <c r="G638" s="4" t="s">
        <v>15</v>
      </c>
      <c r="H638" s="4" t="s">
        <v>19</v>
      </c>
      <c r="I638" s="4" t="s">
        <v>2</v>
      </c>
      <c r="J638" s="4" t="s">
        <v>2</v>
      </c>
      <c r="L638" s="4"/>
    </row>
    <row r="639" spans="1:12" ht="16" outlineLevel="3" x14ac:dyDescent="0.2">
      <c r="A639" s="5" t="s">
        <v>15</v>
      </c>
      <c r="B639" t="s">
        <v>1178</v>
      </c>
      <c r="C639" s="11" t="s">
        <v>1668</v>
      </c>
      <c r="D639" s="5"/>
      <c r="E639" s="50" t="s">
        <v>1668</v>
      </c>
      <c r="F639" s="5"/>
      <c r="G639" s="5" t="s">
        <v>15</v>
      </c>
      <c r="H639" s="5" t="s">
        <v>2</v>
      </c>
      <c r="I639" s="5" t="s">
        <v>2</v>
      </c>
      <c r="J639" s="5" t="s">
        <v>2</v>
      </c>
      <c r="L639" s="5"/>
    </row>
    <row r="640" spans="1:12" ht="32" outlineLevel="4" collapsed="1" x14ac:dyDescent="0.2">
      <c r="A640" s="4" t="s">
        <v>15</v>
      </c>
      <c r="B640" s="4" t="s">
        <v>25</v>
      </c>
      <c r="C640" s="4" t="s">
        <v>2</v>
      </c>
      <c r="D640" s="4"/>
      <c r="E640" s="12" t="s">
        <v>1689</v>
      </c>
      <c r="F640" s="4"/>
      <c r="G640" s="4" t="s">
        <v>15</v>
      </c>
      <c r="H640" s="4" t="s">
        <v>2</v>
      </c>
      <c r="I640" s="4" t="s">
        <v>2</v>
      </c>
      <c r="J640" s="4" t="s">
        <v>2</v>
      </c>
      <c r="L640" s="4"/>
    </row>
    <row r="641" spans="1:12" ht="16" outlineLevel="4" collapsed="1" x14ac:dyDescent="0.2">
      <c r="A641" s="4" t="s">
        <v>15</v>
      </c>
      <c r="B641" s="4" t="s">
        <v>25</v>
      </c>
      <c r="C641" s="4" t="s">
        <v>2</v>
      </c>
      <c r="D641" s="4"/>
      <c r="E641" s="12" t="s">
        <v>1690</v>
      </c>
      <c r="F641" s="4"/>
      <c r="G641" s="4" t="s">
        <v>15</v>
      </c>
      <c r="H641" s="4" t="s">
        <v>2</v>
      </c>
      <c r="I641" s="4" t="s">
        <v>2</v>
      </c>
      <c r="J641" s="4" t="s">
        <v>2</v>
      </c>
      <c r="L641" s="4"/>
    </row>
    <row r="642" spans="1:12" ht="16" outlineLevel="4" collapsed="1" x14ac:dyDescent="0.2">
      <c r="A642" s="4" t="s">
        <v>21</v>
      </c>
      <c r="B642" s="4" t="s">
        <v>16</v>
      </c>
      <c r="C642" s="4" t="s">
        <v>2</v>
      </c>
      <c r="D642" s="4"/>
      <c r="E642" s="12" t="s">
        <v>482</v>
      </c>
      <c r="F642" s="4"/>
      <c r="G642" s="4" t="s">
        <v>15</v>
      </c>
      <c r="H642" s="4" t="s">
        <v>19</v>
      </c>
      <c r="I642" s="4" t="s">
        <v>2</v>
      </c>
      <c r="J642" s="4" t="s">
        <v>2</v>
      </c>
      <c r="L642" s="4"/>
    </row>
    <row r="643" spans="1:12" ht="16" outlineLevel="4" collapsed="1" x14ac:dyDescent="0.2">
      <c r="A643" s="4" t="s">
        <v>21</v>
      </c>
      <c r="B643" s="4" t="s">
        <v>16</v>
      </c>
      <c r="C643" s="4" t="s">
        <v>2</v>
      </c>
      <c r="D643" s="4"/>
      <c r="E643" s="12" t="s">
        <v>483</v>
      </c>
      <c r="F643" s="4"/>
      <c r="G643" s="4" t="s">
        <v>15</v>
      </c>
      <c r="H643" s="4" t="s">
        <v>19</v>
      </c>
      <c r="I643" s="4" t="s">
        <v>2</v>
      </c>
      <c r="J643" s="4" t="s">
        <v>2</v>
      </c>
      <c r="L643" s="4"/>
    </row>
    <row r="644" spans="1:12" ht="16" outlineLevel="4" x14ac:dyDescent="0.2">
      <c r="A644" s="5" t="s">
        <v>21</v>
      </c>
      <c r="B644" t="s">
        <v>1178</v>
      </c>
      <c r="C644" s="11" t="s">
        <v>1691</v>
      </c>
      <c r="D644" s="5"/>
      <c r="E644" s="11" t="s">
        <v>1691</v>
      </c>
      <c r="F644" s="5"/>
      <c r="G644" s="5" t="s">
        <v>21</v>
      </c>
      <c r="H644" s="5" t="s">
        <v>2</v>
      </c>
      <c r="I644" s="5" t="s">
        <v>2</v>
      </c>
      <c r="J644" s="5" t="s">
        <v>2</v>
      </c>
      <c r="L644" s="5"/>
    </row>
    <row r="645" spans="1:12" ht="16" outlineLevel="5" collapsed="1" x14ac:dyDescent="0.2">
      <c r="A645" s="4" t="s">
        <v>21</v>
      </c>
      <c r="B645" s="4" t="s">
        <v>16</v>
      </c>
      <c r="C645" s="4" t="s">
        <v>2</v>
      </c>
      <c r="D645" s="4"/>
      <c r="E645" s="12" t="s">
        <v>1692</v>
      </c>
      <c r="F645" s="4"/>
      <c r="G645" s="4" t="s">
        <v>15</v>
      </c>
      <c r="H645" s="4" t="s">
        <v>19</v>
      </c>
      <c r="I645" s="4" t="s">
        <v>2</v>
      </c>
      <c r="J645" s="4" t="s">
        <v>2</v>
      </c>
      <c r="L645" s="4"/>
    </row>
    <row r="646" spans="1:12" ht="16" outlineLevel="5" collapsed="1" x14ac:dyDescent="0.2">
      <c r="A646" s="4" t="s">
        <v>21</v>
      </c>
      <c r="B646" s="4" t="s">
        <v>138</v>
      </c>
      <c r="C646" s="4" t="s">
        <v>2</v>
      </c>
      <c r="D646" s="4"/>
      <c r="E646" s="12" t="s">
        <v>1693</v>
      </c>
      <c r="F646" s="4"/>
      <c r="G646" s="4" t="s">
        <v>15</v>
      </c>
      <c r="H646" s="4">
        <v>1</v>
      </c>
      <c r="I646" s="4" t="s">
        <v>2</v>
      </c>
      <c r="J646" s="4" t="s">
        <v>2</v>
      </c>
      <c r="L646" s="4"/>
    </row>
    <row r="647" spans="1:12" ht="32" outlineLevel="4" x14ac:dyDescent="0.2">
      <c r="A647" s="4" t="s">
        <v>21</v>
      </c>
      <c r="B647" s="4" t="s">
        <v>16</v>
      </c>
      <c r="C647" s="4" t="s">
        <v>2</v>
      </c>
      <c r="D647" s="4"/>
      <c r="E647" s="12" t="s">
        <v>485</v>
      </c>
      <c r="F647" s="4"/>
      <c r="G647" s="4" t="s">
        <v>15</v>
      </c>
      <c r="H647" s="4" t="s">
        <v>19</v>
      </c>
      <c r="I647" s="4" t="s">
        <v>2</v>
      </c>
      <c r="J647" s="4" t="s">
        <v>2</v>
      </c>
      <c r="L647" s="4"/>
    </row>
    <row r="648" spans="1:12" ht="16" outlineLevel="4" collapsed="1" x14ac:dyDescent="0.2">
      <c r="A648" s="4" t="s">
        <v>15</v>
      </c>
      <c r="B648" s="4" t="s">
        <v>16</v>
      </c>
      <c r="C648" s="4" t="s">
        <v>2</v>
      </c>
      <c r="D648" s="4"/>
      <c r="E648" s="12" t="s">
        <v>486</v>
      </c>
      <c r="F648" s="4"/>
      <c r="G648" s="4" t="s">
        <v>15</v>
      </c>
      <c r="H648" s="4" t="s">
        <v>19</v>
      </c>
      <c r="I648" s="4" t="s">
        <v>2</v>
      </c>
      <c r="J648" s="4" t="s">
        <v>2</v>
      </c>
      <c r="L648" s="4"/>
    </row>
    <row r="649" spans="1:12" ht="16" outlineLevel="4" collapsed="1" x14ac:dyDescent="0.2">
      <c r="A649" s="4" t="s">
        <v>15</v>
      </c>
      <c r="B649" s="4" t="s">
        <v>16</v>
      </c>
      <c r="C649" s="4" t="s">
        <v>2</v>
      </c>
      <c r="D649" s="4"/>
      <c r="E649" s="12" t="s">
        <v>487</v>
      </c>
      <c r="F649" s="4"/>
      <c r="G649" s="4" t="s">
        <v>15</v>
      </c>
      <c r="H649" s="4" t="s">
        <v>19</v>
      </c>
      <c r="I649" s="4" t="s">
        <v>2</v>
      </c>
      <c r="J649" s="4" t="s">
        <v>2</v>
      </c>
      <c r="L649" s="4"/>
    </row>
    <row r="650" spans="1:12" ht="80" outlineLevel="3" x14ac:dyDescent="0.2">
      <c r="A650" s="5" t="s">
        <v>15</v>
      </c>
      <c r="B650" t="s">
        <v>1178</v>
      </c>
      <c r="C650" s="11" t="s">
        <v>1694</v>
      </c>
      <c r="D650" s="5"/>
      <c r="E650" s="50" t="s">
        <v>1694</v>
      </c>
      <c r="F650" s="5"/>
      <c r="G650" s="5" t="s">
        <v>15</v>
      </c>
      <c r="H650" s="5" t="s">
        <v>2</v>
      </c>
      <c r="I650" s="5" t="s">
        <v>2</v>
      </c>
      <c r="J650" s="5" t="s">
        <v>2</v>
      </c>
      <c r="L650" s="5"/>
    </row>
    <row r="651" spans="1:12" ht="240" outlineLevel="4" collapsed="1" x14ac:dyDescent="0.2">
      <c r="A651" s="4" t="s">
        <v>15</v>
      </c>
      <c r="B651" s="4" t="s">
        <v>25</v>
      </c>
      <c r="C651" s="4" t="s">
        <v>2</v>
      </c>
      <c r="D651" s="4"/>
      <c r="E651" s="12" t="s">
        <v>1695</v>
      </c>
      <c r="F651" s="4"/>
      <c r="G651" s="4" t="s">
        <v>15</v>
      </c>
      <c r="H651" s="4" t="s">
        <v>2</v>
      </c>
      <c r="I651" s="4" t="s">
        <v>2</v>
      </c>
      <c r="J651" s="4" t="s">
        <v>2</v>
      </c>
      <c r="L651" s="4"/>
    </row>
    <row r="652" spans="1:12" ht="16" outlineLevel="4" collapsed="1" x14ac:dyDescent="0.2">
      <c r="A652" s="4" t="s">
        <v>15</v>
      </c>
      <c r="B652" s="4" t="s">
        <v>25</v>
      </c>
      <c r="C652" s="4" t="s">
        <v>2</v>
      </c>
      <c r="D652" s="4"/>
      <c r="E652" s="12" t="s">
        <v>1696</v>
      </c>
      <c r="F652" s="4"/>
      <c r="G652" s="4" t="s">
        <v>15</v>
      </c>
      <c r="H652" s="4" t="s">
        <v>2</v>
      </c>
      <c r="I652" s="4" t="s">
        <v>2</v>
      </c>
      <c r="J652" s="4" t="s">
        <v>2</v>
      </c>
      <c r="L652" s="4"/>
    </row>
    <row r="653" spans="1:12" ht="16" outlineLevel="4" collapsed="1" x14ac:dyDescent="0.2">
      <c r="A653" s="4" t="s">
        <v>21</v>
      </c>
      <c r="B653" s="4" t="s">
        <v>16</v>
      </c>
      <c r="C653" s="4" t="s">
        <v>2</v>
      </c>
      <c r="D653" s="4"/>
      <c r="E653" s="12" t="s">
        <v>482</v>
      </c>
      <c r="F653" s="4"/>
      <c r="G653" s="4" t="s">
        <v>15</v>
      </c>
      <c r="H653" s="4" t="s">
        <v>19</v>
      </c>
      <c r="I653" s="4" t="s">
        <v>2</v>
      </c>
      <c r="J653" s="4" t="s">
        <v>2</v>
      </c>
      <c r="L653" s="4"/>
    </row>
    <row r="654" spans="1:12" ht="16" outlineLevel="4" collapsed="1" x14ac:dyDescent="0.2">
      <c r="A654" s="4" t="s">
        <v>21</v>
      </c>
      <c r="B654" s="4" t="s">
        <v>16</v>
      </c>
      <c r="C654" s="4" t="s">
        <v>2</v>
      </c>
      <c r="D654" s="4"/>
      <c r="E654" s="12" t="s">
        <v>483</v>
      </c>
      <c r="F654" s="4"/>
      <c r="G654" s="4" t="s">
        <v>15</v>
      </c>
      <c r="H654" s="4" t="s">
        <v>19</v>
      </c>
      <c r="I654" s="4" t="s">
        <v>2</v>
      </c>
      <c r="J654" s="4" t="s">
        <v>2</v>
      </c>
      <c r="L654" s="4"/>
    </row>
    <row r="655" spans="1:12" ht="32" outlineLevel="4" x14ac:dyDescent="0.2">
      <c r="A655" s="4" t="s">
        <v>21</v>
      </c>
      <c r="B655" s="4" t="s">
        <v>16</v>
      </c>
      <c r="C655" s="4" t="s">
        <v>2</v>
      </c>
      <c r="D655" s="4"/>
      <c r="E655" s="12" t="s">
        <v>485</v>
      </c>
      <c r="F655" s="4"/>
      <c r="G655" s="4" t="s">
        <v>15</v>
      </c>
      <c r="H655" s="4" t="s">
        <v>19</v>
      </c>
      <c r="I655" s="4" t="s">
        <v>2</v>
      </c>
      <c r="J655" s="4" t="s">
        <v>2</v>
      </c>
      <c r="L655" s="4"/>
    </row>
    <row r="656" spans="1:12" ht="16" outlineLevel="4" collapsed="1" x14ac:dyDescent="0.2">
      <c r="A656" s="4" t="s">
        <v>15</v>
      </c>
      <c r="B656" s="4" t="s">
        <v>16</v>
      </c>
      <c r="C656" s="4" t="s">
        <v>2</v>
      </c>
      <c r="D656" s="4"/>
      <c r="E656" s="12" t="s">
        <v>486</v>
      </c>
      <c r="F656" s="4"/>
      <c r="G656" s="4" t="s">
        <v>15</v>
      </c>
      <c r="H656" s="4" t="s">
        <v>19</v>
      </c>
      <c r="I656" s="4" t="s">
        <v>2</v>
      </c>
      <c r="J656" s="4" t="s">
        <v>2</v>
      </c>
      <c r="L656" s="4"/>
    </row>
    <row r="657" spans="1:12" ht="16" outlineLevel="4" collapsed="1" x14ac:dyDescent="0.2">
      <c r="A657" s="4" t="s">
        <v>15</v>
      </c>
      <c r="B657" s="4" t="s">
        <v>16</v>
      </c>
      <c r="C657" s="4" t="s">
        <v>2</v>
      </c>
      <c r="D657" s="4"/>
      <c r="E657" s="12" t="s">
        <v>487</v>
      </c>
      <c r="F657" s="4"/>
      <c r="G657" s="4" t="s">
        <v>15</v>
      </c>
      <c r="H657" s="4" t="s">
        <v>19</v>
      </c>
      <c r="I657" s="4" t="s">
        <v>2</v>
      </c>
      <c r="J657" s="4" t="s">
        <v>2</v>
      </c>
      <c r="L657" s="4"/>
    </row>
    <row r="658" spans="1:12" ht="32" outlineLevel="3" x14ac:dyDescent="0.2">
      <c r="A658" s="5" t="s">
        <v>15</v>
      </c>
      <c r="B658" t="s">
        <v>1178</v>
      </c>
      <c r="C658" s="11" t="s">
        <v>1681</v>
      </c>
      <c r="D658" s="5"/>
      <c r="E658" s="11" t="s">
        <v>1681</v>
      </c>
      <c r="F658" s="5"/>
      <c r="G658" s="5" t="s">
        <v>15</v>
      </c>
      <c r="H658" s="5" t="s">
        <v>2</v>
      </c>
      <c r="I658" s="5" t="s">
        <v>2</v>
      </c>
      <c r="J658" s="5" t="s">
        <v>2</v>
      </c>
      <c r="L658" s="5"/>
    </row>
    <row r="659" spans="1:12" ht="80" outlineLevel="4" collapsed="1" x14ac:dyDescent="0.2">
      <c r="A659" s="4" t="s">
        <v>15</v>
      </c>
      <c r="B659" s="4" t="s">
        <v>25</v>
      </c>
      <c r="C659" s="4" t="s">
        <v>2</v>
      </c>
      <c r="D659" s="4"/>
      <c r="E659" s="12" t="s">
        <v>1697</v>
      </c>
      <c r="F659" s="4"/>
      <c r="G659" s="4" t="s">
        <v>15</v>
      </c>
      <c r="H659" s="4" t="s">
        <v>2</v>
      </c>
      <c r="I659" s="4" t="s">
        <v>2</v>
      </c>
      <c r="J659" s="4" t="s">
        <v>2</v>
      </c>
      <c r="L659" s="4"/>
    </row>
    <row r="660" spans="1:12" ht="16" outlineLevel="4" collapsed="1" x14ac:dyDescent="0.2">
      <c r="A660" s="4" t="s">
        <v>15</v>
      </c>
      <c r="B660" s="4" t="s">
        <v>25</v>
      </c>
      <c r="C660" s="4" t="s">
        <v>2</v>
      </c>
      <c r="D660" s="4"/>
      <c r="E660" s="12" t="s">
        <v>1688</v>
      </c>
      <c r="F660" s="4"/>
      <c r="G660" s="4" t="s">
        <v>15</v>
      </c>
      <c r="H660" s="4" t="s">
        <v>2</v>
      </c>
      <c r="I660" s="4" t="s">
        <v>2</v>
      </c>
      <c r="J660" s="4" t="s">
        <v>2</v>
      </c>
      <c r="L660" s="4"/>
    </row>
    <row r="661" spans="1:12" ht="16" outlineLevel="4" collapsed="1" x14ac:dyDescent="0.2">
      <c r="A661" s="4" t="s">
        <v>21</v>
      </c>
      <c r="B661" s="4" t="s">
        <v>16</v>
      </c>
      <c r="C661" s="4" t="s">
        <v>2</v>
      </c>
      <c r="D661" s="4"/>
      <c r="E661" s="12" t="s">
        <v>482</v>
      </c>
      <c r="F661" s="4"/>
      <c r="G661" s="4" t="s">
        <v>15</v>
      </c>
      <c r="H661" s="4" t="s">
        <v>19</v>
      </c>
      <c r="I661" s="4" t="s">
        <v>2</v>
      </c>
      <c r="J661" s="4" t="s">
        <v>2</v>
      </c>
      <c r="L661" s="4"/>
    </row>
    <row r="662" spans="1:12" ht="16" outlineLevel="4" collapsed="1" x14ac:dyDescent="0.2">
      <c r="A662" s="4" t="s">
        <v>21</v>
      </c>
      <c r="B662" s="4" t="s">
        <v>16</v>
      </c>
      <c r="C662" s="4" t="s">
        <v>2</v>
      </c>
      <c r="D662" s="4"/>
      <c r="E662" s="12" t="s">
        <v>483</v>
      </c>
      <c r="F662" s="4"/>
      <c r="G662" s="4" t="s">
        <v>15</v>
      </c>
      <c r="H662" s="4" t="s">
        <v>19</v>
      </c>
      <c r="I662" s="4" t="s">
        <v>2</v>
      </c>
      <c r="J662" s="4" t="s">
        <v>2</v>
      </c>
      <c r="L662" s="4"/>
    </row>
    <row r="663" spans="1:12" ht="32" outlineLevel="4" x14ac:dyDescent="0.2">
      <c r="A663" s="5" t="s">
        <v>21</v>
      </c>
      <c r="B663" t="s">
        <v>1178</v>
      </c>
      <c r="C663" s="11" t="s">
        <v>1698</v>
      </c>
      <c r="D663" s="5"/>
      <c r="E663" s="11" t="s">
        <v>1698</v>
      </c>
      <c r="F663" s="5"/>
      <c r="G663" s="5" t="s">
        <v>21</v>
      </c>
      <c r="H663" s="5" t="s">
        <v>2</v>
      </c>
      <c r="I663" s="5" t="s">
        <v>2</v>
      </c>
      <c r="J663" s="5" t="s">
        <v>2</v>
      </c>
      <c r="L663" s="5"/>
    </row>
    <row r="664" spans="1:12" ht="16" outlineLevel="5" collapsed="1" x14ac:dyDescent="0.2">
      <c r="A664" s="4" t="s">
        <v>21</v>
      </c>
      <c r="B664" s="4" t="s">
        <v>16</v>
      </c>
      <c r="C664" s="4" t="s">
        <v>2</v>
      </c>
      <c r="D664" s="4"/>
      <c r="E664" s="12" t="s">
        <v>1692</v>
      </c>
      <c r="F664" s="4"/>
      <c r="G664" s="4" t="s">
        <v>15</v>
      </c>
      <c r="H664" s="4" t="s">
        <v>19</v>
      </c>
      <c r="I664" s="4" t="s">
        <v>2</v>
      </c>
      <c r="J664" s="4" t="s">
        <v>2</v>
      </c>
      <c r="L664" s="4"/>
    </row>
    <row r="665" spans="1:12" ht="16" outlineLevel="5" x14ac:dyDescent="0.2">
      <c r="A665" s="4"/>
      <c r="B665" s="4" t="s">
        <v>138</v>
      </c>
      <c r="C665" s="4"/>
      <c r="D665" s="4"/>
      <c r="E665" s="12" t="s">
        <v>1657</v>
      </c>
      <c r="F665" s="4"/>
      <c r="G665" s="4"/>
      <c r="H665" s="4"/>
      <c r="I665" s="4"/>
      <c r="J665" s="4"/>
      <c r="L665" s="4"/>
    </row>
    <row r="666" spans="1:12" ht="16" outlineLevel="5" x14ac:dyDescent="0.2">
      <c r="A666" s="4"/>
      <c r="B666" s="4" t="s">
        <v>138</v>
      </c>
      <c r="C666" s="4"/>
      <c r="D666" s="4"/>
      <c r="E666" s="12" t="s">
        <v>1699</v>
      </c>
      <c r="F666" s="4"/>
      <c r="G666" s="4"/>
      <c r="H666" s="4"/>
      <c r="I666" s="4"/>
      <c r="J666" s="4"/>
      <c r="L666" s="4"/>
    </row>
    <row r="667" spans="1:12" ht="16" outlineLevel="5" collapsed="1" x14ac:dyDescent="0.2">
      <c r="A667" s="4" t="s">
        <v>21</v>
      </c>
      <c r="B667" s="4" t="s">
        <v>138</v>
      </c>
      <c r="C667" s="4" t="s">
        <v>2</v>
      </c>
      <c r="D667" s="4"/>
      <c r="E667" s="12" t="s">
        <v>1700</v>
      </c>
      <c r="F667" s="4"/>
      <c r="G667" s="4" t="s">
        <v>15</v>
      </c>
      <c r="H667" s="4">
        <v>1</v>
      </c>
      <c r="I667" s="4" t="s">
        <v>2</v>
      </c>
      <c r="J667" s="4" t="s">
        <v>2</v>
      </c>
      <c r="L667" s="4"/>
    </row>
    <row r="668" spans="1:12" ht="32" outlineLevel="4" x14ac:dyDescent="0.2">
      <c r="A668" s="4" t="s">
        <v>21</v>
      </c>
      <c r="B668" s="4" t="s">
        <v>16</v>
      </c>
      <c r="C668" s="4" t="s">
        <v>2</v>
      </c>
      <c r="D668" s="4"/>
      <c r="E668" s="12" t="s">
        <v>485</v>
      </c>
      <c r="F668" s="4"/>
      <c r="G668" s="4" t="s">
        <v>15</v>
      </c>
      <c r="H668" s="4" t="s">
        <v>19</v>
      </c>
      <c r="I668" s="4" t="s">
        <v>2</v>
      </c>
      <c r="J668" s="4" t="s">
        <v>2</v>
      </c>
      <c r="L668" s="4"/>
    </row>
    <row r="669" spans="1:12" ht="16" outlineLevel="4" collapsed="1" x14ac:dyDescent="0.2">
      <c r="A669" s="4" t="s">
        <v>15</v>
      </c>
      <c r="B669" s="4" t="s">
        <v>16</v>
      </c>
      <c r="C669" s="4" t="s">
        <v>2</v>
      </c>
      <c r="D669" s="4"/>
      <c r="E669" s="12" t="s">
        <v>486</v>
      </c>
      <c r="F669" s="4"/>
      <c r="G669" s="4" t="s">
        <v>15</v>
      </c>
      <c r="H669" s="4" t="s">
        <v>19</v>
      </c>
      <c r="I669" s="4" t="s">
        <v>2</v>
      </c>
      <c r="J669" s="4" t="s">
        <v>2</v>
      </c>
      <c r="L669" s="4"/>
    </row>
    <row r="670" spans="1:12" ht="16" outlineLevel="4" collapsed="1" x14ac:dyDescent="0.2">
      <c r="A670" s="4" t="s">
        <v>15</v>
      </c>
      <c r="B670" s="4" t="s">
        <v>16</v>
      </c>
      <c r="C670" s="4" t="s">
        <v>2</v>
      </c>
      <c r="D670" s="4"/>
      <c r="E670" s="12" t="s">
        <v>487</v>
      </c>
      <c r="F670" s="4"/>
      <c r="G670" s="4" t="s">
        <v>15</v>
      </c>
      <c r="H670" s="4" t="s">
        <v>19</v>
      </c>
      <c r="I670" s="4" t="s">
        <v>2</v>
      </c>
      <c r="J670" s="4" t="s">
        <v>2</v>
      </c>
      <c r="L670" s="4"/>
    </row>
    <row r="671" spans="1:12" ht="17" customHeight="1" outlineLevel="2" x14ac:dyDescent="0.2">
      <c r="A671" s="5" t="s">
        <v>15</v>
      </c>
      <c r="B671" t="s">
        <v>1178</v>
      </c>
      <c r="C671" s="5" t="s">
        <v>1170</v>
      </c>
      <c r="D671" s="5" t="s">
        <v>1744</v>
      </c>
      <c r="E671" s="11" t="s">
        <v>1170</v>
      </c>
      <c r="F671" s="5"/>
      <c r="G671" s="5" t="s">
        <v>21</v>
      </c>
      <c r="H671" s="5" t="s">
        <v>2</v>
      </c>
      <c r="I671" s="5" t="s">
        <v>2</v>
      </c>
      <c r="J671" s="5" t="s">
        <v>2</v>
      </c>
      <c r="L671" s="5"/>
    </row>
    <row r="672" spans="1:12" s="55" customFormat="1" ht="17" customHeight="1" outlineLevel="3" collapsed="1" x14ac:dyDescent="0.2">
      <c r="A672" s="54" t="s">
        <v>21</v>
      </c>
      <c r="B672" s="54" t="s">
        <v>16</v>
      </c>
      <c r="C672" s="54" t="s">
        <v>2</v>
      </c>
      <c r="D672" s="54" t="s">
        <v>479</v>
      </c>
      <c r="E672" s="50" t="s">
        <v>478</v>
      </c>
      <c r="F672" s="54"/>
      <c r="G672" s="54" t="s">
        <v>15</v>
      </c>
      <c r="H672" s="54" t="s">
        <v>19</v>
      </c>
      <c r="I672" s="54" t="s">
        <v>2</v>
      </c>
      <c r="J672" s="54" t="s">
        <v>2</v>
      </c>
      <c r="L672" s="54"/>
    </row>
    <row r="673" spans="1:12" s="55" customFormat="1" ht="16" outlineLevel="3" collapsed="1" x14ac:dyDescent="0.2">
      <c r="A673" s="54" t="s">
        <v>21</v>
      </c>
      <c r="B673" s="54" t="s">
        <v>16</v>
      </c>
      <c r="C673" s="54" t="s">
        <v>2</v>
      </c>
      <c r="D673" s="54" t="s">
        <v>481</v>
      </c>
      <c r="E673" s="50" t="s">
        <v>480</v>
      </c>
      <c r="F673" s="54"/>
      <c r="G673" s="54" t="s">
        <v>15</v>
      </c>
      <c r="H673" s="54" t="s">
        <v>19</v>
      </c>
      <c r="I673" s="54" t="s">
        <v>2</v>
      </c>
      <c r="J673" s="54" t="s">
        <v>2</v>
      </c>
      <c r="L673" s="54"/>
    </row>
    <row r="674" spans="1:12" ht="16" outlineLevel="3" x14ac:dyDescent="0.2">
      <c r="A674" s="5" t="s">
        <v>15</v>
      </c>
      <c r="B674" t="s">
        <v>1178</v>
      </c>
      <c r="C674" s="11" t="s">
        <v>1669</v>
      </c>
      <c r="D674" s="5"/>
      <c r="E674" s="50" t="s">
        <v>1669</v>
      </c>
      <c r="F674" s="5"/>
      <c r="G674" s="5" t="s">
        <v>15</v>
      </c>
      <c r="H674" s="5" t="s">
        <v>2</v>
      </c>
      <c r="I674" s="5" t="s">
        <v>2</v>
      </c>
      <c r="J674" s="5" t="s">
        <v>2</v>
      </c>
      <c r="L674" s="5"/>
    </row>
    <row r="675" spans="1:12" ht="32" outlineLevel="4" collapsed="1" x14ac:dyDescent="0.2">
      <c r="A675" s="4" t="s">
        <v>15</v>
      </c>
      <c r="B675" s="4" t="s">
        <v>25</v>
      </c>
      <c r="C675" s="4"/>
      <c r="D675" s="4"/>
      <c r="E675" s="12" t="s">
        <v>1701</v>
      </c>
      <c r="F675" s="4"/>
      <c r="G675" s="4" t="s">
        <v>15</v>
      </c>
      <c r="H675" s="4" t="s">
        <v>2</v>
      </c>
      <c r="I675" s="4" t="s">
        <v>2</v>
      </c>
      <c r="J675" s="4" t="s">
        <v>2</v>
      </c>
      <c r="L675" s="4"/>
    </row>
    <row r="676" spans="1:12" ht="16" outlineLevel="4" collapsed="1" x14ac:dyDescent="0.2">
      <c r="A676" s="4" t="s">
        <v>15</v>
      </c>
      <c r="B676" s="4" t="s">
        <v>25</v>
      </c>
      <c r="C676" s="4"/>
      <c r="D676" s="4"/>
      <c r="E676" s="12" t="s">
        <v>1690</v>
      </c>
      <c r="F676" s="4"/>
      <c r="G676" s="4" t="s">
        <v>15</v>
      </c>
      <c r="H676" s="4" t="s">
        <v>2</v>
      </c>
      <c r="I676" s="4" t="s">
        <v>2</v>
      </c>
      <c r="J676" s="4" t="s">
        <v>2</v>
      </c>
      <c r="L676" s="4"/>
    </row>
    <row r="677" spans="1:12" ht="16" outlineLevel="4" collapsed="1" x14ac:dyDescent="0.2">
      <c r="A677" s="4" t="s">
        <v>21</v>
      </c>
      <c r="B677" s="4" t="s">
        <v>16</v>
      </c>
      <c r="C677" s="4"/>
      <c r="D677" s="4"/>
      <c r="E677" s="12" t="s">
        <v>482</v>
      </c>
      <c r="F677" s="4"/>
      <c r="G677" s="4" t="s">
        <v>15</v>
      </c>
      <c r="H677" s="4" t="s">
        <v>19</v>
      </c>
      <c r="I677" s="4" t="s">
        <v>2</v>
      </c>
      <c r="J677" s="4" t="s">
        <v>2</v>
      </c>
      <c r="L677" s="4"/>
    </row>
    <row r="678" spans="1:12" ht="16" outlineLevel="4" collapsed="1" x14ac:dyDescent="0.2">
      <c r="A678" s="4" t="s">
        <v>21</v>
      </c>
      <c r="B678" s="4" t="s">
        <v>16</v>
      </c>
      <c r="C678" s="4"/>
      <c r="D678" s="4"/>
      <c r="E678" s="12" t="s">
        <v>483</v>
      </c>
      <c r="F678" s="4"/>
      <c r="G678" s="4" t="s">
        <v>15</v>
      </c>
      <c r="H678" s="4" t="s">
        <v>19</v>
      </c>
      <c r="I678" s="4" t="s">
        <v>2</v>
      </c>
      <c r="J678" s="4" t="s">
        <v>2</v>
      </c>
      <c r="L678" s="4"/>
    </row>
    <row r="679" spans="1:12" ht="16" outlineLevel="4" x14ac:dyDescent="0.2">
      <c r="A679" s="5" t="s">
        <v>21</v>
      </c>
      <c r="B679" t="s">
        <v>1178</v>
      </c>
      <c r="C679" s="12" t="s">
        <v>1702</v>
      </c>
      <c r="D679" s="5"/>
      <c r="E679" s="12" t="s">
        <v>1702</v>
      </c>
      <c r="F679" s="5"/>
      <c r="G679" s="5" t="s">
        <v>21</v>
      </c>
      <c r="H679" s="5" t="s">
        <v>2</v>
      </c>
      <c r="I679" s="5" t="s">
        <v>2</v>
      </c>
      <c r="J679" s="5" t="s">
        <v>2</v>
      </c>
      <c r="L679" s="5"/>
    </row>
    <row r="680" spans="1:12" ht="16" outlineLevel="5" collapsed="1" x14ac:dyDescent="0.2">
      <c r="A680" s="4" t="s">
        <v>21</v>
      </c>
      <c r="B680" s="4" t="s">
        <v>138</v>
      </c>
      <c r="C680" s="4"/>
      <c r="D680" s="4"/>
      <c r="E680" s="12" t="s">
        <v>1657</v>
      </c>
      <c r="F680" s="4"/>
      <c r="G680" s="4" t="s">
        <v>15</v>
      </c>
      <c r="H680" s="4">
        <v>1</v>
      </c>
      <c r="I680" s="4" t="s">
        <v>2</v>
      </c>
      <c r="J680" s="4" t="s">
        <v>2</v>
      </c>
      <c r="L680" s="4"/>
    </row>
    <row r="681" spans="1:12" ht="16" outlineLevel="5" collapsed="1" x14ac:dyDescent="0.2">
      <c r="A681" s="4" t="s">
        <v>21</v>
      </c>
      <c r="B681" s="4" t="s">
        <v>16</v>
      </c>
      <c r="C681" s="4"/>
      <c r="D681" s="4"/>
      <c r="E681" s="12" t="s">
        <v>1304</v>
      </c>
      <c r="F681" s="4"/>
      <c r="G681" s="4" t="s">
        <v>15</v>
      </c>
      <c r="H681" s="4" t="s">
        <v>19</v>
      </c>
      <c r="I681" s="4" t="s">
        <v>2</v>
      </c>
      <c r="J681" s="4" t="s">
        <v>2</v>
      </c>
      <c r="L681" s="4"/>
    </row>
    <row r="682" spans="1:12" ht="16" outlineLevel="5" collapsed="1" x14ac:dyDescent="0.2">
      <c r="A682" s="4" t="s">
        <v>21</v>
      </c>
      <c r="B682" s="4" t="s">
        <v>16</v>
      </c>
      <c r="C682" s="4"/>
      <c r="D682" s="4"/>
      <c r="E682" s="12" t="s">
        <v>1305</v>
      </c>
      <c r="F682" s="4"/>
      <c r="G682" s="4" t="s">
        <v>15</v>
      </c>
      <c r="H682" s="4">
        <v>1</v>
      </c>
      <c r="I682" s="4" t="s">
        <v>2</v>
      </c>
      <c r="J682" s="4" t="s">
        <v>2</v>
      </c>
      <c r="L682" s="4"/>
    </row>
    <row r="683" spans="1:12" ht="16" outlineLevel="5" collapsed="1" x14ac:dyDescent="0.2">
      <c r="A683" s="4" t="s">
        <v>21</v>
      </c>
      <c r="B683" s="4" t="s">
        <v>138</v>
      </c>
      <c r="C683" s="4"/>
      <c r="D683" s="4"/>
      <c r="E683" s="12" t="s">
        <v>1703</v>
      </c>
      <c r="F683" s="4"/>
      <c r="G683" s="4" t="s">
        <v>15</v>
      </c>
      <c r="H683" s="4">
        <v>1</v>
      </c>
      <c r="I683" s="4" t="s">
        <v>2</v>
      </c>
      <c r="J683" s="4" t="s">
        <v>2</v>
      </c>
      <c r="L683" s="4"/>
    </row>
    <row r="684" spans="1:12" ht="32" outlineLevel="4" x14ac:dyDescent="0.2">
      <c r="A684" s="4" t="s">
        <v>21</v>
      </c>
      <c r="B684" s="4" t="s">
        <v>16</v>
      </c>
      <c r="C684" s="4"/>
      <c r="D684" s="4"/>
      <c r="E684" s="12" t="s">
        <v>485</v>
      </c>
      <c r="F684" s="4"/>
      <c r="G684" s="4" t="s">
        <v>15</v>
      </c>
      <c r="H684" s="4" t="s">
        <v>19</v>
      </c>
      <c r="I684" s="4" t="s">
        <v>2</v>
      </c>
      <c r="J684" s="4" t="s">
        <v>2</v>
      </c>
      <c r="L684" s="4"/>
    </row>
    <row r="685" spans="1:12" ht="16" outlineLevel="4" collapsed="1" x14ac:dyDescent="0.2">
      <c r="A685" s="4" t="s">
        <v>21</v>
      </c>
      <c r="B685" s="4" t="s">
        <v>16</v>
      </c>
      <c r="C685" s="4"/>
      <c r="D685" s="4"/>
      <c r="E685" s="12" t="s">
        <v>486</v>
      </c>
      <c r="F685" s="4"/>
      <c r="G685" s="4" t="s">
        <v>15</v>
      </c>
      <c r="H685" s="4" t="s">
        <v>19</v>
      </c>
      <c r="I685" s="4" t="s">
        <v>2</v>
      </c>
      <c r="J685" s="4" t="s">
        <v>2</v>
      </c>
      <c r="L685" s="4"/>
    </row>
    <row r="686" spans="1:12" ht="16" outlineLevel="4" collapsed="1" x14ac:dyDescent="0.2">
      <c r="A686" s="4" t="s">
        <v>21</v>
      </c>
      <c r="B686" s="4" t="s">
        <v>16</v>
      </c>
      <c r="C686" s="4"/>
      <c r="D686" s="4"/>
      <c r="E686" s="12" t="s">
        <v>487</v>
      </c>
      <c r="F686" s="4"/>
      <c r="G686" s="4" t="s">
        <v>15</v>
      </c>
      <c r="H686" s="4" t="s">
        <v>19</v>
      </c>
      <c r="I686" s="4" t="s">
        <v>2</v>
      </c>
      <c r="J686" s="4" t="s">
        <v>2</v>
      </c>
      <c r="L686" s="4"/>
    </row>
    <row r="687" spans="1:12" ht="16" outlineLevel="3" x14ac:dyDescent="0.2">
      <c r="A687" s="5" t="s">
        <v>15</v>
      </c>
      <c r="B687" t="s">
        <v>1178</v>
      </c>
      <c r="C687" s="11" t="s">
        <v>1670</v>
      </c>
      <c r="D687" s="5"/>
      <c r="E687" s="50" t="s">
        <v>1670</v>
      </c>
      <c r="F687" s="5"/>
      <c r="G687" s="5" t="s">
        <v>15</v>
      </c>
      <c r="H687" s="5" t="s">
        <v>2</v>
      </c>
      <c r="I687" s="5" t="s">
        <v>2</v>
      </c>
      <c r="J687" s="5" t="s">
        <v>2</v>
      </c>
      <c r="L687" s="5"/>
    </row>
    <row r="688" spans="1:12" ht="32" outlineLevel="4" collapsed="1" x14ac:dyDescent="0.2">
      <c r="A688" s="4" t="s">
        <v>15</v>
      </c>
      <c r="B688" s="4" t="s">
        <v>25</v>
      </c>
      <c r="C688" s="4"/>
      <c r="D688" s="4"/>
      <c r="E688" s="12" t="s">
        <v>1704</v>
      </c>
      <c r="F688" s="4"/>
      <c r="G688" s="4" t="s">
        <v>15</v>
      </c>
      <c r="H688" s="4" t="s">
        <v>2</v>
      </c>
      <c r="I688" s="4" t="s">
        <v>2</v>
      </c>
      <c r="J688" s="4" t="s">
        <v>2</v>
      </c>
      <c r="L688" s="4"/>
    </row>
    <row r="689" spans="1:12" ht="16" outlineLevel="4" collapsed="1" x14ac:dyDescent="0.2">
      <c r="A689" s="4" t="s">
        <v>15</v>
      </c>
      <c r="B689" s="4" t="s">
        <v>25</v>
      </c>
      <c r="C689" s="4"/>
      <c r="D689" s="4"/>
      <c r="E689" s="12" t="s">
        <v>1705</v>
      </c>
      <c r="F689" s="4"/>
      <c r="G689" s="4" t="s">
        <v>15</v>
      </c>
      <c r="H689" s="4" t="s">
        <v>2</v>
      </c>
      <c r="I689" s="4" t="s">
        <v>2</v>
      </c>
      <c r="J689" s="4" t="s">
        <v>2</v>
      </c>
      <c r="L689" s="4"/>
    </row>
    <row r="690" spans="1:12" ht="16" outlineLevel="4" collapsed="1" x14ac:dyDescent="0.2">
      <c r="A690" s="4" t="s">
        <v>21</v>
      </c>
      <c r="B690" s="4" t="s">
        <v>16</v>
      </c>
      <c r="C690" s="4"/>
      <c r="D690" s="4"/>
      <c r="E690" s="12" t="s">
        <v>482</v>
      </c>
      <c r="F690" s="4"/>
      <c r="G690" s="4" t="s">
        <v>15</v>
      </c>
      <c r="H690" s="4" t="s">
        <v>19</v>
      </c>
      <c r="I690" s="4" t="s">
        <v>2</v>
      </c>
      <c r="J690" s="4" t="s">
        <v>2</v>
      </c>
      <c r="L690" s="4"/>
    </row>
    <row r="691" spans="1:12" ht="16" outlineLevel="4" collapsed="1" x14ac:dyDescent="0.2">
      <c r="A691" s="4" t="s">
        <v>21</v>
      </c>
      <c r="B691" s="4" t="s">
        <v>16</v>
      </c>
      <c r="C691" s="4"/>
      <c r="D691" s="4"/>
      <c r="E691" s="12" t="s">
        <v>483</v>
      </c>
      <c r="F691" s="4"/>
      <c r="G691" s="4" t="s">
        <v>15</v>
      </c>
      <c r="H691" s="4" t="s">
        <v>19</v>
      </c>
      <c r="I691" s="4" t="s">
        <v>2</v>
      </c>
      <c r="J691" s="4" t="s">
        <v>2</v>
      </c>
      <c r="L691" s="4"/>
    </row>
    <row r="692" spans="1:12" ht="16" outlineLevel="4" collapsed="1" x14ac:dyDescent="0.2">
      <c r="A692" s="4" t="s">
        <v>21</v>
      </c>
      <c r="B692" s="4" t="s">
        <v>16</v>
      </c>
      <c r="C692" s="4"/>
      <c r="D692" s="4"/>
      <c r="E692" s="12" t="s">
        <v>497</v>
      </c>
      <c r="F692" s="4"/>
      <c r="G692" s="4" t="s">
        <v>15</v>
      </c>
      <c r="H692" s="4" t="s">
        <v>19</v>
      </c>
      <c r="I692" s="4" t="s">
        <v>2</v>
      </c>
      <c r="J692" s="4" t="s">
        <v>2</v>
      </c>
      <c r="L692" s="4"/>
    </row>
    <row r="693" spans="1:12" ht="16" outlineLevel="4" collapsed="1" x14ac:dyDescent="0.2">
      <c r="A693" s="4" t="s">
        <v>21</v>
      </c>
      <c r="B693" s="4" t="s">
        <v>16</v>
      </c>
      <c r="C693" s="4"/>
      <c r="D693" s="4"/>
      <c r="E693" s="12" t="s">
        <v>498</v>
      </c>
      <c r="F693" s="4"/>
      <c r="G693" s="4" t="s">
        <v>15</v>
      </c>
      <c r="H693" s="4" t="s">
        <v>19</v>
      </c>
      <c r="I693" s="4" t="s">
        <v>2</v>
      </c>
      <c r="J693" s="4" t="s">
        <v>2</v>
      </c>
      <c r="L693" s="4"/>
    </row>
    <row r="694" spans="1:12" ht="16" outlineLevel="4" x14ac:dyDescent="0.2">
      <c r="A694" s="5" t="s">
        <v>21</v>
      </c>
      <c r="B694" t="s">
        <v>1178</v>
      </c>
      <c r="C694" s="11" t="s">
        <v>1706</v>
      </c>
      <c r="D694" s="5"/>
      <c r="E694" s="11" t="s">
        <v>1706</v>
      </c>
      <c r="F694" s="5"/>
      <c r="G694" s="5" t="s">
        <v>21</v>
      </c>
      <c r="H694" s="5" t="s">
        <v>2</v>
      </c>
      <c r="I694" s="5" t="s">
        <v>2</v>
      </c>
      <c r="J694" s="5" t="s">
        <v>2</v>
      </c>
      <c r="L694" s="5"/>
    </row>
    <row r="695" spans="1:12" ht="16" outlineLevel="5" collapsed="1" x14ac:dyDescent="0.2">
      <c r="A695" s="4" t="s">
        <v>21</v>
      </c>
      <c r="B695" s="4" t="s">
        <v>138</v>
      </c>
      <c r="C695" s="4"/>
      <c r="D695" s="4"/>
      <c r="E695" s="12" t="s">
        <v>1657</v>
      </c>
      <c r="F695" s="4"/>
      <c r="G695" s="4" t="s">
        <v>15</v>
      </c>
      <c r="H695" s="4">
        <v>1</v>
      </c>
      <c r="I695" s="4" t="s">
        <v>2</v>
      </c>
      <c r="J695" s="4" t="s">
        <v>2</v>
      </c>
      <c r="L695" s="4"/>
    </row>
    <row r="696" spans="1:12" ht="16" outlineLevel="5" x14ac:dyDescent="0.2">
      <c r="A696" s="4"/>
      <c r="B696" s="4" t="s">
        <v>16</v>
      </c>
      <c r="C696" s="4"/>
      <c r="D696" s="4"/>
      <c r="E696" s="12" t="s">
        <v>1305</v>
      </c>
      <c r="F696" s="4"/>
      <c r="G696" s="4"/>
      <c r="H696" s="4"/>
      <c r="I696" s="4"/>
      <c r="J696" s="4"/>
      <c r="L696" s="4"/>
    </row>
    <row r="697" spans="1:12" ht="16" outlineLevel="5" collapsed="1" x14ac:dyDescent="0.2">
      <c r="A697" s="4" t="s">
        <v>21</v>
      </c>
      <c r="B697" s="4" t="s">
        <v>138</v>
      </c>
      <c r="C697" s="4"/>
      <c r="D697" s="4"/>
      <c r="E697" s="11" t="s">
        <v>1707</v>
      </c>
      <c r="F697" s="4"/>
      <c r="G697" s="4" t="s">
        <v>15</v>
      </c>
      <c r="H697" s="4">
        <v>1</v>
      </c>
      <c r="I697" s="4" t="s">
        <v>2</v>
      </c>
      <c r="J697" s="4" t="s">
        <v>2</v>
      </c>
      <c r="L697" s="4"/>
    </row>
    <row r="698" spans="1:12" ht="16" outlineLevel="4" x14ac:dyDescent="0.2">
      <c r="A698" s="4" t="s">
        <v>21</v>
      </c>
      <c r="B698" s="4" t="s">
        <v>16</v>
      </c>
      <c r="C698" s="4"/>
      <c r="D698" s="4"/>
      <c r="E698" s="11" t="s">
        <v>499</v>
      </c>
      <c r="F698" s="4"/>
      <c r="G698" s="4" t="s">
        <v>15</v>
      </c>
      <c r="H698" s="4" t="s">
        <v>19</v>
      </c>
      <c r="I698" s="4" t="s">
        <v>2</v>
      </c>
      <c r="J698" s="4" t="s">
        <v>2</v>
      </c>
      <c r="L698" s="4"/>
    </row>
    <row r="699" spans="1:12" ht="16" outlineLevel="4" collapsed="1" x14ac:dyDescent="0.2">
      <c r="A699" s="4" t="s">
        <v>21</v>
      </c>
      <c r="B699" s="4" t="s">
        <v>16</v>
      </c>
      <c r="C699" s="4"/>
      <c r="D699" s="4"/>
      <c r="E699" s="12" t="s">
        <v>500</v>
      </c>
      <c r="F699" s="4"/>
      <c r="G699" s="4" t="s">
        <v>15</v>
      </c>
      <c r="H699" s="4" t="s">
        <v>19</v>
      </c>
      <c r="I699" s="4" t="s">
        <v>2</v>
      </c>
      <c r="J699" s="4" t="s">
        <v>2</v>
      </c>
      <c r="L699" s="4"/>
    </row>
    <row r="700" spans="1:12" ht="16" outlineLevel="4" collapsed="1" x14ac:dyDescent="0.2">
      <c r="A700" s="4" t="s">
        <v>21</v>
      </c>
      <c r="B700" s="4" t="s">
        <v>16</v>
      </c>
      <c r="C700" s="4"/>
      <c r="D700" s="4"/>
      <c r="E700" s="12" t="s">
        <v>486</v>
      </c>
      <c r="F700" s="4"/>
      <c r="G700" s="4" t="s">
        <v>15</v>
      </c>
      <c r="H700" s="4" t="s">
        <v>19</v>
      </c>
      <c r="I700" s="4" t="s">
        <v>2</v>
      </c>
      <c r="J700" s="4" t="s">
        <v>2</v>
      </c>
      <c r="L700" s="4"/>
    </row>
    <row r="701" spans="1:12" ht="16" outlineLevel="4" collapsed="1" x14ac:dyDescent="0.2">
      <c r="A701" s="4" t="s">
        <v>21</v>
      </c>
      <c r="B701" s="4" t="s">
        <v>16</v>
      </c>
      <c r="C701" s="4"/>
      <c r="D701" s="4"/>
      <c r="E701" s="12" t="s">
        <v>501</v>
      </c>
      <c r="F701" s="4"/>
      <c r="G701" s="4" t="s">
        <v>15</v>
      </c>
      <c r="H701" s="4" t="s">
        <v>19</v>
      </c>
      <c r="I701" s="4" t="s">
        <v>2</v>
      </c>
      <c r="J701" s="4" t="s">
        <v>2</v>
      </c>
      <c r="L701" s="4"/>
    </row>
    <row r="702" spans="1:12" ht="16" outlineLevel="4" collapsed="1" x14ac:dyDescent="0.2">
      <c r="A702" s="4" t="s">
        <v>21</v>
      </c>
      <c r="B702" s="4" t="s">
        <v>16</v>
      </c>
      <c r="C702" s="4"/>
      <c r="D702" s="4"/>
      <c r="E702" s="12" t="s">
        <v>487</v>
      </c>
      <c r="F702" s="4"/>
      <c r="G702" s="4" t="s">
        <v>15</v>
      </c>
      <c r="H702" s="4" t="s">
        <v>19</v>
      </c>
      <c r="I702" s="4" t="s">
        <v>2</v>
      </c>
      <c r="J702" s="4" t="s">
        <v>2</v>
      </c>
      <c r="L702" s="4"/>
    </row>
    <row r="703" spans="1:12" ht="16" outlineLevel="3" x14ac:dyDescent="0.2">
      <c r="A703" s="5" t="s">
        <v>15</v>
      </c>
      <c r="B703" t="s">
        <v>1178</v>
      </c>
      <c r="C703" s="11" t="s">
        <v>1671</v>
      </c>
      <c r="D703" s="5"/>
      <c r="E703" s="11" t="s">
        <v>1671</v>
      </c>
      <c r="F703" s="5"/>
      <c r="G703" s="5" t="s">
        <v>15</v>
      </c>
      <c r="H703" s="5" t="s">
        <v>2</v>
      </c>
      <c r="I703" s="5" t="s">
        <v>2</v>
      </c>
      <c r="J703" s="5" t="s">
        <v>2</v>
      </c>
      <c r="L703" s="5"/>
    </row>
    <row r="704" spans="1:12" ht="32" outlineLevel="4" collapsed="1" x14ac:dyDescent="0.2">
      <c r="A704" s="4" t="s">
        <v>15</v>
      </c>
      <c r="B704" s="4" t="s">
        <v>25</v>
      </c>
      <c r="C704" s="12"/>
      <c r="D704" s="4"/>
      <c r="E704" s="12" t="s">
        <v>1708</v>
      </c>
      <c r="F704" s="4"/>
      <c r="G704" s="4" t="s">
        <v>15</v>
      </c>
      <c r="H704" s="4" t="s">
        <v>2</v>
      </c>
      <c r="I704" s="4" t="s">
        <v>2</v>
      </c>
      <c r="J704" s="4" t="s">
        <v>2</v>
      </c>
      <c r="L704" s="4"/>
    </row>
    <row r="705" spans="1:12" ht="16" outlineLevel="4" collapsed="1" x14ac:dyDescent="0.2">
      <c r="A705" s="4" t="s">
        <v>15</v>
      </c>
      <c r="B705" s="4" t="s">
        <v>25</v>
      </c>
      <c r="C705" s="12" t="s">
        <v>504</v>
      </c>
      <c r="D705" s="4"/>
      <c r="E705" s="12" t="s">
        <v>1688</v>
      </c>
      <c r="F705" s="4"/>
      <c r="G705" s="4" t="s">
        <v>15</v>
      </c>
      <c r="H705" s="4" t="s">
        <v>2</v>
      </c>
      <c r="I705" s="4" t="s">
        <v>2</v>
      </c>
      <c r="J705" s="4" t="s">
        <v>2</v>
      </c>
      <c r="L705" s="4"/>
    </row>
    <row r="706" spans="1:12" ht="16" outlineLevel="4" collapsed="1" x14ac:dyDescent="0.2">
      <c r="A706" s="4" t="s">
        <v>21</v>
      </c>
      <c r="B706" s="4" t="s">
        <v>16</v>
      </c>
      <c r="C706" s="12" t="s">
        <v>482</v>
      </c>
      <c r="D706" s="4"/>
      <c r="E706" s="12" t="s">
        <v>482</v>
      </c>
      <c r="F706" s="4"/>
      <c r="G706" s="4" t="s">
        <v>15</v>
      </c>
      <c r="H706" s="4" t="s">
        <v>19</v>
      </c>
      <c r="I706" s="4" t="s">
        <v>2</v>
      </c>
      <c r="J706" s="4" t="s">
        <v>2</v>
      </c>
      <c r="L706" s="4"/>
    </row>
    <row r="707" spans="1:12" ht="16" outlineLevel="4" collapsed="1" x14ac:dyDescent="0.2">
      <c r="A707" s="4" t="s">
        <v>21</v>
      </c>
      <c r="B707" s="4" t="s">
        <v>16</v>
      </c>
      <c r="C707" s="12" t="s">
        <v>483</v>
      </c>
      <c r="D707" s="4"/>
      <c r="E707" s="12" t="s">
        <v>483</v>
      </c>
      <c r="F707" s="4"/>
      <c r="G707" s="4" t="s">
        <v>15</v>
      </c>
      <c r="H707" s="4" t="s">
        <v>19</v>
      </c>
      <c r="I707" s="4" t="s">
        <v>2</v>
      </c>
      <c r="J707" s="4" t="s">
        <v>2</v>
      </c>
      <c r="L707" s="4"/>
    </row>
    <row r="708" spans="1:12" ht="48" outlineLevel="4" collapsed="1" x14ac:dyDescent="0.2">
      <c r="A708" s="4" t="s">
        <v>21</v>
      </c>
      <c r="B708" s="4" t="s">
        <v>16</v>
      </c>
      <c r="C708" s="12" t="s">
        <v>497</v>
      </c>
      <c r="D708" s="4"/>
      <c r="E708" s="12" t="s">
        <v>497</v>
      </c>
      <c r="F708" s="4"/>
      <c r="G708" s="4" t="s">
        <v>15</v>
      </c>
      <c r="H708" s="4" t="s">
        <v>19</v>
      </c>
      <c r="I708" s="4" t="s">
        <v>2</v>
      </c>
      <c r="J708" s="4" t="s">
        <v>2</v>
      </c>
      <c r="L708" s="4"/>
    </row>
    <row r="709" spans="1:12" ht="16" outlineLevel="4" collapsed="1" x14ac:dyDescent="0.2">
      <c r="A709" s="4" t="s">
        <v>21</v>
      </c>
      <c r="B709" s="4" t="s">
        <v>16</v>
      </c>
      <c r="C709" s="12" t="s">
        <v>498</v>
      </c>
      <c r="D709" s="4"/>
      <c r="E709" s="12" t="s">
        <v>498</v>
      </c>
      <c r="F709" s="4"/>
      <c r="G709" s="4" t="s">
        <v>15</v>
      </c>
      <c r="H709" s="4" t="s">
        <v>19</v>
      </c>
      <c r="I709" s="4" t="s">
        <v>2</v>
      </c>
      <c r="J709" s="4" t="s">
        <v>2</v>
      </c>
      <c r="L709" s="4"/>
    </row>
    <row r="710" spans="1:12" ht="16" outlineLevel="4" x14ac:dyDescent="0.2">
      <c r="A710" s="5" t="s">
        <v>21</v>
      </c>
      <c r="B710" t="s">
        <v>1178</v>
      </c>
      <c r="C710" s="11" t="s">
        <v>1709</v>
      </c>
      <c r="D710" s="5"/>
      <c r="E710" s="11" t="s">
        <v>1709</v>
      </c>
      <c r="F710" s="5"/>
      <c r="G710" s="5" t="s">
        <v>21</v>
      </c>
      <c r="H710" s="5" t="s">
        <v>2</v>
      </c>
      <c r="I710" s="5" t="s">
        <v>2</v>
      </c>
      <c r="J710" s="5" t="s">
        <v>2</v>
      </c>
      <c r="L710" s="5"/>
    </row>
    <row r="711" spans="1:12" ht="16" outlineLevel="5" collapsed="1" x14ac:dyDescent="0.2">
      <c r="A711" s="4" t="s">
        <v>21</v>
      </c>
      <c r="B711" s="4" t="s">
        <v>138</v>
      </c>
      <c r="C711" s="12"/>
      <c r="D711" s="4"/>
      <c r="E711" s="12" t="s">
        <v>1657</v>
      </c>
      <c r="F711" s="4"/>
      <c r="G711" s="4" t="s">
        <v>15</v>
      </c>
      <c r="H711" s="4">
        <v>1</v>
      </c>
      <c r="I711" s="4" t="s">
        <v>2</v>
      </c>
      <c r="J711" s="4" t="s">
        <v>2</v>
      </c>
      <c r="L711" s="4"/>
    </row>
    <row r="712" spans="1:12" ht="16" outlineLevel="5" collapsed="1" x14ac:dyDescent="0.2">
      <c r="A712" s="4" t="s">
        <v>21</v>
      </c>
      <c r="B712" s="4" t="s">
        <v>16</v>
      </c>
      <c r="C712" s="12"/>
      <c r="D712" s="4"/>
      <c r="E712" s="12" t="s">
        <v>1710</v>
      </c>
      <c r="F712" s="4"/>
      <c r="G712" s="4" t="s">
        <v>15</v>
      </c>
      <c r="H712" s="4" t="s">
        <v>19</v>
      </c>
      <c r="I712" s="4" t="s">
        <v>2</v>
      </c>
      <c r="J712" s="4" t="s">
        <v>2</v>
      </c>
      <c r="L712" s="4"/>
    </row>
    <row r="713" spans="1:12" ht="16" outlineLevel="4" x14ac:dyDescent="0.2">
      <c r="A713" s="4" t="s">
        <v>21</v>
      </c>
      <c r="B713" s="4" t="s">
        <v>16</v>
      </c>
      <c r="C713" s="12"/>
      <c r="D713" s="4"/>
      <c r="E713" s="12" t="s">
        <v>499</v>
      </c>
      <c r="F713" s="4"/>
      <c r="G713" s="4" t="s">
        <v>15</v>
      </c>
      <c r="H713" s="4" t="s">
        <v>19</v>
      </c>
      <c r="I713" s="4" t="s">
        <v>2</v>
      </c>
      <c r="J713" s="4" t="s">
        <v>2</v>
      </c>
      <c r="L713" s="4"/>
    </row>
    <row r="714" spans="1:12" ht="16" outlineLevel="4" collapsed="1" x14ac:dyDescent="0.2">
      <c r="A714" s="4" t="s">
        <v>21</v>
      </c>
      <c r="B714" s="4" t="s">
        <v>16</v>
      </c>
      <c r="C714" s="12"/>
      <c r="D714" s="4"/>
      <c r="E714" s="12" t="s">
        <v>500</v>
      </c>
      <c r="F714" s="4"/>
      <c r="G714" s="4" t="s">
        <v>15</v>
      </c>
      <c r="H714" s="4" t="s">
        <v>19</v>
      </c>
      <c r="I714" s="4" t="s">
        <v>2</v>
      </c>
      <c r="J714" s="4" t="s">
        <v>2</v>
      </c>
      <c r="L714" s="4"/>
    </row>
    <row r="715" spans="1:12" ht="16" outlineLevel="4" collapsed="1" x14ac:dyDescent="0.2">
      <c r="A715" s="4" t="s">
        <v>21</v>
      </c>
      <c r="B715" s="4" t="s">
        <v>16</v>
      </c>
      <c r="C715" s="12"/>
      <c r="D715" s="4"/>
      <c r="E715" s="12" t="s">
        <v>486</v>
      </c>
      <c r="F715" s="4"/>
      <c r="G715" s="4" t="s">
        <v>15</v>
      </c>
      <c r="H715" s="4" t="s">
        <v>19</v>
      </c>
      <c r="I715" s="4" t="s">
        <v>2</v>
      </c>
      <c r="J715" s="4" t="s">
        <v>2</v>
      </c>
      <c r="L715" s="4"/>
    </row>
    <row r="716" spans="1:12" ht="16" outlineLevel="4" collapsed="1" x14ac:dyDescent="0.2">
      <c r="A716" s="4" t="s">
        <v>21</v>
      </c>
      <c r="B716" s="4" t="s">
        <v>16</v>
      </c>
      <c r="C716" s="12"/>
      <c r="D716" s="4"/>
      <c r="E716" s="12" t="s">
        <v>501</v>
      </c>
      <c r="F716" s="4"/>
      <c r="G716" s="4" t="s">
        <v>15</v>
      </c>
      <c r="H716" s="4" t="s">
        <v>19</v>
      </c>
      <c r="I716" s="4" t="s">
        <v>2</v>
      </c>
      <c r="J716" s="4" t="s">
        <v>2</v>
      </c>
      <c r="L716" s="4"/>
    </row>
    <row r="717" spans="1:12" ht="16" outlineLevel="4" collapsed="1" x14ac:dyDescent="0.2">
      <c r="A717" s="4" t="s">
        <v>21</v>
      </c>
      <c r="B717" s="4" t="s">
        <v>16</v>
      </c>
      <c r="C717" s="12"/>
      <c r="D717" s="4"/>
      <c r="E717" s="12" t="s">
        <v>487</v>
      </c>
      <c r="F717" s="4"/>
      <c r="G717" s="4" t="s">
        <v>15</v>
      </c>
      <c r="H717" s="4" t="s">
        <v>19</v>
      </c>
      <c r="I717" s="4" t="s">
        <v>2</v>
      </c>
      <c r="J717" s="4" t="s">
        <v>2</v>
      </c>
      <c r="L717" s="4"/>
    </row>
    <row r="718" spans="1:12" ht="16" outlineLevel="3" x14ac:dyDescent="0.2">
      <c r="A718" s="5" t="s">
        <v>15</v>
      </c>
      <c r="B718" t="s">
        <v>1178</v>
      </c>
      <c r="C718" s="11" t="s">
        <v>1673</v>
      </c>
      <c r="D718" s="5"/>
      <c r="E718" s="11" t="s">
        <v>1673</v>
      </c>
      <c r="F718" s="5"/>
      <c r="G718" s="5" t="s">
        <v>15</v>
      </c>
      <c r="H718" s="5" t="s">
        <v>2</v>
      </c>
      <c r="I718" s="5" t="s">
        <v>2</v>
      </c>
      <c r="J718" s="5" t="s">
        <v>2</v>
      </c>
      <c r="L718" s="5"/>
    </row>
    <row r="719" spans="1:12" ht="80" outlineLevel="4" collapsed="1" x14ac:dyDescent="0.2">
      <c r="A719" s="4" t="s">
        <v>15</v>
      </c>
      <c r="B719" s="4" t="s">
        <v>25</v>
      </c>
      <c r="C719" s="12" t="s">
        <v>1711</v>
      </c>
      <c r="D719" s="4"/>
      <c r="E719" s="12" t="s">
        <v>1711</v>
      </c>
      <c r="F719" s="4"/>
      <c r="G719" s="4" t="s">
        <v>15</v>
      </c>
      <c r="H719" s="4" t="s">
        <v>2</v>
      </c>
      <c r="I719" s="4" t="s">
        <v>2</v>
      </c>
      <c r="J719" s="4" t="s">
        <v>2</v>
      </c>
      <c r="L719" s="4"/>
    </row>
    <row r="720" spans="1:12" ht="16" outlineLevel="4" collapsed="1" x14ac:dyDescent="0.2">
      <c r="A720" s="4" t="s">
        <v>15</v>
      </c>
      <c r="B720" s="4" t="s">
        <v>25</v>
      </c>
      <c r="C720" s="12"/>
      <c r="D720" s="4"/>
      <c r="E720" s="12" t="s">
        <v>1688</v>
      </c>
      <c r="F720" s="4"/>
      <c r="G720" s="4" t="s">
        <v>15</v>
      </c>
      <c r="H720" s="4" t="s">
        <v>2</v>
      </c>
      <c r="I720" s="4" t="s">
        <v>2</v>
      </c>
      <c r="J720" s="4" t="s">
        <v>2</v>
      </c>
      <c r="L720" s="4"/>
    </row>
    <row r="721" spans="1:12" ht="16" outlineLevel="4" collapsed="1" x14ac:dyDescent="0.2">
      <c r="A721" s="4" t="s">
        <v>21</v>
      </c>
      <c r="B721" s="4" t="s">
        <v>16</v>
      </c>
      <c r="C721" s="12"/>
      <c r="D721" s="4"/>
      <c r="E721" s="12" t="s">
        <v>482</v>
      </c>
      <c r="F721" s="4"/>
      <c r="G721" s="4" t="s">
        <v>15</v>
      </c>
      <c r="H721" s="4" t="s">
        <v>19</v>
      </c>
      <c r="I721" s="4" t="s">
        <v>2</v>
      </c>
      <c r="J721" s="4" t="s">
        <v>2</v>
      </c>
      <c r="L721" s="4"/>
    </row>
    <row r="722" spans="1:12" ht="16" outlineLevel="4" collapsed="1" x14ac:dyDescent="0.2">
      <c r="A722" s="4" t="s">
        <v>21</v>
      </c>
      <c r="B722" s="4" t="s">
        <v>16</v>
      </c>
      <c r="C722" s="12"/>
      <c r="D722" s="4"/>
      <c r="E722" s="12" t="s">
        <v>483</v>
      </c>
      <c r="F722" s="4"/>
      <c r="G722" s="4" t="s">
        <v>15</v>
      </c>
      <c r="H722" s="4" t="s">
        <v>19</v>
      </c>
      <c r="I722" s="4" t="s">
        <v>2</v>
      </c>
      <c r="J722" s="4" t="s">
        <v>2</v>
      </c>
      <c r="L722" s="4"/>
    </row>
    <row r="723" spans="1:12" ht="16" outlineLevel="4" collapsed="1" x14ac:dyDescent="0.2">
      <c r="A723" s="4" t="s">
        <v>21</v>
      </c>
      <c r="B723" s="4" t="s">
        <v>16</v>
      </c>
      <c r="C723" s="12"/>
      <c r="D723" s="4"/>
      <c r="E723" s="12" t="s">
        <v>497</v>
      </c>
      <c r="F723" s="4"/>
      <c r="G723" s="4" t="s">
        <v>15</v>
      </c>
      <c r="H723" s="4" t="s">
        <v>19</v>
      </c>
      <c r="I723" s="4" t="s">
        <v>2</v>
      </c>
      <c r="J723" s="4" t="s">
        <v>2</v>
      </c>
      <c r="L723" s="4"/>
    </row>
    <row r="724" spans="1:12" ht="16" outlineLevel="4" collapsed="1" x14ac:dyDescent="0.2">
      <c r="A724" s="4" t="s">
        <v>21</v>
      </c>
      <c r="B724" s="4" t="s">
        <v>16</v>
      </c>
      <c r="C724" s="12"/>
      <c r="D724" s="4"/>
      <c r="E724" s="12" t="s">
        <v>498</v>
      </c>
      <c r="F724" s="4"/>
      <c r="G724" s="4" t="s">
        <v>15</v>
      </c>
      <c r="H724" s="4" t="s">
        <v>19</v>
      </c>
      <c r="I724" s="4" t="s">
        <v>2</v>
      </c>
      <c r="J724" s="4" t="s">
        <v>2</v>
      </c>
      <c r="L724" s="4"/>
    </row>
    <row r="725" spans="1:12" ht="16" outlineLevel="4" x14ac:dyDescent="0.2">
      <c r="A725" s="5" t="s">
        <v>21</v>
      </c>
      <c r="B725" t="s">
        <v>1178</v>
      </c>
      <c r="C725" s="11" t="s">
        <v>1712</v>
      </c>
      <c r="D725" s="5"/>
      <c r="E725" s="11" t="s">
        <v>1712</v>
      </c>
      <c r="F725" s="5"/>
      <c r="G725" s="5" t="s">
        <v>21</v>
      </c>
      <c r="H725" s="5" t="s">
        <v>2</v>
      </c>
      <c r="I725" s="5" t="s">
        <v>2</v>
      </c>
      <c r="J725" s="5" t="s">
        <v>2</v>
      </c>
      <c r="L725" s="5"/>
    </row>
    <row r="726" spans="1:12" ht="16" outlineLevel="5" collapsed="1" x14ac:dyDescent="0.2">
      <c r="A726" s="4" t="s">
        <v>21</v>
      </c>
      <c r="B726" s="4" t="s">
        <v>138</v>
      </c>
      <c r="C726" s="12"/>
      <c r="D726" s="4"/>
      <c r="E726" s="12" t="s">
        <v>1657</v>
      </c>
      <c r="F726" s="4"/>
      <c r="G726" s="4" t="s">
        <v>15</v>
      </c>
      <c r="H726" s="4">
        <v>1</v>
      </c>
      <c r="I726" s="4" t="s">
        <v>2</v>
      </c>
      <c r="J726" s="4" t="s">
        <v>2</v>
      </c>
      <c r="L726" s="4"/>
    </row>
    <row r="727" spans="1:12" ht="16" outlineLevel="5" collapsed="1" x14ac:dyDescent="0.2">
      <c r="A727" s="4" t="s">
        <v>21</v>
      </c>
      <c r="B727" s="4" t="s">
        <v>16</v>
      </c>
      <c r="C727" s="12"/>
      <c r="D727" s="4"/>
      <c r="E727" s="12" t="s">
        <v>1713</v>
      </c>
      <c r="F727" s="4"/>
      <c r="G727" s="4" t="s">
        <v>15</v>
      </c>
      <c r="H727" s="4" t="s">
        <v>19</v>
      </c>
      <c r="I727" s="4" t="s">
        <v>2</v>
      </c>
      <c r="J727" s="4" t="s">
        <v>2</v>
      </c>
      <c r="L727" s="4"/>
    </row>
    <row r="728" spans="1:12" ht="16" outlineLevel="4" x14ac:dyDescent="0.2">
      <c r="A728" s="4" t="s">
        <v>21</v>
      </c>
      <c r="B728" s="4" t="s">
        <v>16</v>
      </c>
      <c r="C728" s="12"/>
      <c r="D728" s="4"/>
      <c r="E728" s="12" t="s">
        <v>499</v>
      </c>
      <c r="F728" s="4"/>
      <c r="G728" s="4" t="s">
        <v>15</v>
      </c>
      <c r="H728" s="4" t="s">
        <v>19</v>
      </c>
      <c r="I728" s="4" t="s">
        <v>2</v>
      </c>
      <c r="J728" s="4" t="s">
        <v>2</v>
      </c>
      <c r="L728" s="4"/>
    </row>
    <row r="729" spans="1:12" ht="16" outlineLevel="4" collapsed="1" x14ac:dyDescent="0.2">
      <c r="A729" s="4" t="s">
        <v>21</v>
      </c>
      <c r="B729" s="4" t="s">
        <v>16</v>
      </c>
      <c r="C729" s="12"/>
      <c r="D729" s="4"/>
      <c r="E729" s="12" t="s">
        <v>500</v>
      </c>
      <c r="F729" s="4"/>
      <c r="G729" s="4" t="s">
        <v>15</v>
      </c>
      <c r="H729" s="4" t="s">
        <v>19</v>
      </c>
      <c r="I729" s="4" t="s">
        <v>2</v>
      </c>
      <c r="J729" s="4" t="s">
        <v>2</v>
      </c>
      <c r="L729" s="4"/>
    </row>
    <row r="730" spans="1:12" ht="16" outlineLevel="4" collapsed="1" x14ac:dyDescent="0.2">
      <c r="A730" s="4" t="s">
        <v>21</v>
      </c>
      <c r="B730" s="4" t="s">
        <v>16</v>
      </c>
      <c r="C730" s="12"/>
      <c r="D730" s="4"/>
      <c r="E730" s="12" t="s">
        <v>486</v>
      </c>
      <c r="F730" s="4"/>
      <c r="G730" s="4" t="s">
        <v>15</v>
      </c>
      <c r="H730" s="4" t="s">
        <v>19</v>
      </c>
      <c r="I730" s="4" t="s">
        <v>2</v>
      </c>
      <c r="J730" s="4" t="s">
        <v>2</v>
      </c>
      <c r="L730" s="4"/>
    </row>
    <row r="731" spans="1:12" ht="16" outlineLevel="4" collapsed="1" x14ac:dyDescent="0.2">
      <c r="A731" s="4" t="s">
        <v>21</v>
      </c>
      <c r="B731" s="4" t="s">
        <v>16</v>
      </c>
      <c r="C731" s="12"/>
      <c r="D731" s="4"/>
      <c r="E731" s="12" t="s">
        <v>501</v>
      </c>
      <c r="F731" s="4"/>
      <c r="G731" s="4" t="s">
        <v>15</v>
      </c>
      <c r="H731" s="4" t="s">
        <v>19</v>
      </c>
      <c r="I731" s="4" t="s">
        <v>2</v>
      </c>
      <c r="J731" s="4" t="s">
        <v>2</v>
      </c>
      <c r="L731" s="4"/>
    </row>
    <row r="732" spans="1:12" ht="16" outlineLevel="4" collapsed="1" x14ac:dyDescent="0.2">
      <c r="A732" s="4" t="s">
        <v>21</v>
      </c>
      <c r="B732" s="4" t="s">
        <v>16</v>
      </c>
      <c r="C732" s="12"/>
      <c r="D732" s="4"/>
      <c r="E732" s="12" t="s">
        <v>487</v>
      </c>
      <c r="F732" s="4"/>
      <c r="G732" s="4" t="s">
        <v>15</v>
      </c>
      <c r="H732" s="4" t="s">
        <v>19</v>
      </c>
      <c r="I732" s="4" t="s">
        <v>2</v>
      </c>
      <c r="J732" s="4" t="s">
        <v>2</v>
      </c>
      <c r="L732" s="4"/>
    </row>
    <row r="733" spans="1:12" ht="16" outlineLevel="3" x14ac:dyDescent="0.2">
      <c r="A733" s="5" t="s">
        <v>15</v>
      </c>
      <c r="B733" t="s">
        <v>1178</v>
      </c>
      <c r="C733" s="11" t="s">
        <v>1672</v>
      </c>
      <c r="D733" s="5"/>
      <c r="E733" s="11" t="s">
        <v>1672</v>
      </c>
      <c r="F733" s="5"/>
      <c r="G733" s="5" t="s">
        <v>15</v>
      </c>
      <c r="H733" s="5" t="s">
        <v>2</v>
      </c>
      <c r="I733" s="5" t="s">
        <v>2</v>
      </c>
      <c r="J733" s="5" t="s">
        <v>2</v>
      </c>
      <c r="L733" s="5"/>
    </row>
    <row r="734" spans="1:12" ht="32" outlineLevel="4" collapsed="1" x14ac:dyDescent="0.2">
      <c r="A734" s="4" t="s">
        <v>15</v>
      </c>
      <c r="B734" s="4" t="s">
        <v>25</v>
      </c>
      <c r="C734" s="12"/>
      <c r="D734" s="4"/>
      <c r="E734" s="12" t="s">
        <v>1714</v>
      </c>
      <c r="F734" s="4"/>
      <c r="G734" s="4" t="s">
        <v>15</v>
      </c>
      <c r="H734" s="4" t="s">
        <v>2</v>
      </c>
      <c r="I734" s="4" t="s">
        <v>2</v>
      </c>
      <c r="J734" s="4" t="s">
        <v>2</v>
      </c>
      <c r="L734" s="4"/>
    </row>
    <row r="735" spans="1:12" ht="16" outlineLevel="4" collapsed="1" x14ac:dyDescent="0.2">
      <c r="A735" s="4" t="s">
        <v>15</v>
      </c>
      <c r="B735" s="4" t="s">
        <v>25</v>
      </c>
      <c r="C735" s="12"/>
      <c r="D735" s="4"/>
      <c r="E735" s="12" t="s">
        <v>1688</v>
      </c>
      <c r="F735" s="4"/>
      <c r="G735" s="4" t="s">
        <v>15</v>
      </c>
      <c r="H735" s="4" t="s">
        <v>2</v>
      </c>
      <c r="I735" s="4" t="s">
        <v>2</v>
      </c>
      <c r="J735" s="4" t="s">
        <v>2</v>
      </c>
      <c r="L735" s="4"/>
    </row>
    <row r="736" spans="1:12" ht="16" outlineLevel="4" collapsed="1" x14ac:dyDescent="0.2">
      <c r="A736" s="4" t="s">
        <v>21</v>
      </c>
      <c r="B736" s="4" t="s">
        <v>16</v>
      </c>
      <c r="C736" s="12"/>
      <c r="D736" s="4"/>
      <c r="E736" s="12" t="s">
        <v>482</v>
      </c>
      <c r="F736" s="4"/>
      <c r="G736" s="4" t="s">
        <v>15</v>
      </c>
      <c r="H736" s="4" t="s">
        <v>19</v>
      </c>
      <c r="I736" s="4" t="s">
        <v>2</v>
      </c>
      <c r="J736" s="4" t="s">
        <v>2</v>
      </c>
      <c r="L736" s="4"/>
    </row>
    <row r="737" spans="1:12" ht="16" outlineLevel="4" collapsed="1" x14ac:dyDescent="0.2">
      <c r="A737" s="4" t="s">
        <v>21</v>
      </c>
      <c r="B737" s="4" t="s">
        <v>16</v>
      </c>
      <c r="C737" s="12"/>
      <c r="D737" s="4"/>
      <c r="E737" s="12" t="s">
        <v>483</v>
      </c>
      <c r="F737" s="4"/>
      <c r="G737" s="4" t="s">
        <v>15</v>
      </c>
      <c r="H737" s="4" t="s">
        <v>19</v>
      </c>
      <c r="I737" s="4" t="s">
        <v>2</v>
      </c>
      <c r="J737" s="4" t="s">
        <v>2</v>
      </c>
      <c r="L737" s="4"/>
    </row>
    <row r="738" spans="1:12" ht="16" outlineLevel="4" collapsed="1" x14ac:dyDescent="0.2">
      <c r="A738" s="4" t="s">
        <v>21</v>
      </c>
      <c r="B738" s="4" t="s">
        <v>16</v>
      </c>
      <c r="C738" s="12"/>
      <c r="D738" s="4"/>
      <c r="E738" s="12" t="s">
        <v>497</v>
      </c>
      <c r="F738" s="4"/>
      <c r="G738" s="4" t="s">
        <v>15</v>
      </c>
      <c r="H738" s="4" t="s">
        <v>19</v>
      </c>
      <c r="I738" s="4" t="s">
        <v>2</v>
      </c>
      <c r="J738" s="4" t="s">
        <v>2</v>
      </c>
      <c r="L738" s="4"/>
    </row>
    <row r="739" spans="1:12" ht="16" outlineLevel="4" collapsed="1" x14ac:dyDescent="0.2">
      <c r="A739" s="4" t="s">
        <v>21</v>
      </c>
      <c r="B739" s="4" t="s">
        <v>16</v>
      </c>
      <c r="C739" s="12"/>
      <c r="D739" s="4"/>
      <c r="E739" s="12" t="s">
        <v>498</v>
      </c>
      <c r="F739" s="4"/>
      <c r="G739" s="4" t="s">
        <v>15</v>
      </c>
      <c r="H739" s="4" t="s">
        <v>19</v>
      </c>
      <c r="I739" s="4" t="s">
        <v>2</v>
      </c>
      <c r="J739" s="4" t="s">
        <v>2</v>
      </c>
      <c r="L739" s="4"/>
    </row>
    <row r="740" spans="1:12" ht="16" outlineLevel="4" x14ac:dyDescent="0.2">
      <c r="A740" s="5" t="s">
        <v>21</v>
      </c>
      <c r="B740" t="s">
        <v>1178</v>
      </c>
      <c r="C740" s="11" t="s">
        <v>1715</v>
      </c>
      <c r="D740" s="5"/>
      <c r="E740" s="11" t="s">
        <v>1715</v>
      </c>
      <c r="F740" s="5"/>
      <c r="G740" s="5" t="s">
        <v>21</v>
      </c>
      <c r="H740" s="5" t="s">
        <v>2</v>
      </c>
      <c r="I740" s="5" t="s">
        <v>2</v>
      </c>
      <c r="J740" s="5" t="s">
        <v>2</v>
      </c>
      <c r="L740" s="5"/>
    </row>
    <row r="741" spans="1:12" ht="16" outlineLevel="5" collapsed="1" x14ac:dyDescent="0.2">
      <c r="A741" s="4" t="s">
        <v>21</v>
      </c>
      <c r="B741" s="4" t="s">
        <v>138</v>
      </c>
      <c r="C741" s="12"/>
      <c r="D741" s="4"/>
      <c r="E741" s="12" t="s">
        <v>1657</v>
      </c>
      <c r="F741" s="4"/>
      <c r="G741" s="4" t="s">
        <v>15</v>
      </c>
      <c r="H741" s="4">
        <v>1</v>
      </c>
      <c r="I741" s="4" t="s">
        <v>2</v>
      </c>
      <c r="J741" s="4" t="s">
        <v>2</v>
      </c>
      <c r="L741" s="4"/>
    </row>
    <row r="742" spans="1:12" ht="16" outlineLevel="5" collapsed="1" x14ac:dyDescent="0.2">
      <c r="A742" s="4" t="s">
        <v>21</v>
      </c>
      <c r="B742" s="4" t="s">
        <v>138</v>
      </c>
      <c r="C742" s="12"/>
      <c r="D742" s="4"/>
      <c r="E742" s="12" t="s">
        <v>1716</v>
      </c>
      <c r="F742" s="4"/>
      <c r="G742" s="4" t="s">
        <v>15</v>
      </c>
      <c r="H742" s="4">
        <v>1</v>
      </c>
      <c r="I742" s="4" t="s">
        <v>2</v>
      </c>
      <c r="J742" s="4" t="s">
        <v>2</v>
      </c>
      <c r="L742" s="4"/>
    </row>
    <row r="743" spans="1:12" ht="16" outlineLevel="4" x14ac:dyDescent="0.2">
      <c r="A743" s="4" t="s">
        <v>21</v>
      </c>
      <c r="B743" s="4" t="s">
        <v>16</v>
      </c>
      <c r="C743" s="12"/>
      <c r="D743" s="4"/>
      <c r="E743" s="12" t="s">
        <v>499</v>
      </c>
      <c r="F743" s="4"/>
      <c r="G743" s="4" t="s">
        <v>15</v>
      </c>
      <c r="H743" s="4" t="s">
        <v>19</v>
      </c>
      <c r="I743" s="4" t="s">
        <v>2</v>
      </c>
      <c r="J743" s="4" t="s">
        <v>2</v>
      </c>
      <c r="L743" s="4"/>
    </row>
    <row r="744" spans="1:12" ht="16" outlineLevel="4" collapsed="1" x14ac:dyDescent="0.2">
      <c r="A744" s="4" t="s">
        <v>21</v>
      </c>
      <c r="B744" s="4" t="s">
        <v>16</v>
      </c>
      <c r="C744" s="12"/>
      <c r="D744" s="4"/>
      <c r="E744" s="12" t="s">
        <v>500</v>
      </c>
      <c r="F744" s="4"/>
      <c r="G744" s="4" t="s">
        <v>15</v>
      </c>
      <c r="H744" s="4" t="s">
        <v>19</v>
      </c>
      <c r="I744" s="4" t="s">
        <v>2</v>
      </c>
      <c r="J744" s="4" t="s">
        <v>2</v>
      </c>
      <c r="L744" s="4"/>
    </row>
    <row r="745" spans="1:12" ht="16" outlineLevel="4" collapsed="1" x14ac:dyDescent="0.2">
      <c r="A745" s="4" t="s">
        <v>21</v>
      </c>
      <c r="B745" s="4" t="s">
        <v>16</v>
      </c>
      <c r="C745" s="12"/>
      <c r="D745" s="4"/>
      <c r="E745" s="12" t="s">
        <v>486</v>
      </c>
      <c r="F745" s="4"/>
      <c r="G745" s="4" t="s">
        <v>15</v>
      </c>
      <c r="H745" s="4" t="s">
        <v>19</v>
      </c>
      <c r="I745" s="4" t="s">
        <v>2</v>
      </c>
      <c r="J745" s="4" t="s">
        <v>2</v>
      </c>
      <c r="L745" s="4"/>
    </row>
    <row r="746" spans="1:12" ht="16" outlineLevel="4" collapsed="1" x14ac:dyDescent="0.2">
      <c r="A746" s="4" t="s">
        <v>21</v>
      </c>
      <c r="B746" s="4" t="s">
        <v>16</v>
      </c>
      <c r="C746" s="12"/>
      <c r="D746" s="4"/>
      <c r="E746" s="12" t="s">
        <v>501</v>
      </c>
      <c r="F746" s="4"/>
      <c r="G746" s="4" t="s">
        <v>15</v>
      </c>
      <c r="H746" s="4" t="s">
        <v>19</v>
      </c>
      <c r="I746" s="4" t="s">
        <v>2</v>
      </c>
      <c r="J746" s="4" t="s">
        <v>2</v>
      </c>
      <c r="L746" s="4"/>
    </row>
    <row r="747" spans="1:12" ht="16" outlineLevel="4" collapsed="1" x14ac:dyDescent="0.2">
      <c r="A747" s="4" t="s">
        <v>21</v>
      </c>
      <c r="B747" s="4" t="s">
        <v>16</v>
      </c>
      <c r="C747" s="12"/>
      <c r="D747" s="4"/>
      <c r="E747" s="12" t="s">
        <v>487</v>
      </c>
      <c r="F747" s="4"/>
      <c r="G747" s="4" t="s">
        <v>15</v>
      </c>
      <c r="H747" s="4" t="s">
        <v>19</v>
      </c>
      <c r="I747" s="4" t="s">
        <v>2</v>
      </c>
      <c r="J747" s="4" t="s">
        <v>2</v>
      </c>
      <c r="L747" s="4"/>
    </row>
    <row r="748" spans="1:12" ht="16" outlineLevel="3" x14ac:dyDescent="0.2">
      <c r="A748" s="5" t="s">
        <v>15</v>
      </c>
      <c r="B748" t="s">
        <v>1178</v>
      </c>
      <c r="C748" s="11" t="s">
        <v>1674</v>
      </c>
      <c r="D748" s="5"/>
      <c r="E748" s="50" t="s">
        <v>1674</v>
      </c>
      <c r="F748" s="5"/>
      <c r="G748" s="5" t="s">
        <v>15</v>
      </c>
      <c r="H748" s="5" t="s">
        <v>2</v>
      </c>
      <c r="I748" s="5" t="s">
        <v>2</v>
      </c>
      <c r="J748" s="5" t="s">
        <v>2</v>
      </c>
      <c r="L748" s="5"/>
    </row>
    <row r="749" spans="1:12" ht="32" outlineLevel="4" collapsed="1" x14ac:dyDescent="0.2">
      <c r="A749" s="4" t="s">
        <v>15</v>
      </c>
      <c r="B749" s="4" t="s">
        <v>25</v>
      </c>
      <c r="C749" s="12"/>
      <c r="D749" s="4"/>
      <c r="E749" s="12" t="s">
        <v>1717</v>
      </c>
      <c r="F749" s="4"/>
      <c r="G749" s="4" t="s">
        <v>15</v>
      </c>
      <c r="H749" s="4" t="s">
        <v>2</v>
      </c>
      <c r="I749" s="4" t="s">
        <v>2</v>
      </c>
      <c r="J749" s="4" t="s">
        <v>2</v>
      </c>
      <c r="L749" s="4"/>
    </row>
    <row r="750" spans="1:12" ht="16" outlineLevel="4" collapsed="1" x14ac:dyDescent="0.2">
      <c r="A750" s="4" t="s">
        <v>15</v>
      </c>
      <c r="B750" s="4" t="s">
        <v>25</v>
      </c>
      <c r="C750" s="12"/>
      <c r="D750" s="4"/>
      <c r="E750" s="12" t="s">
        <v>1705</v>
      </c>
      <c r="F750" s="4"/>
      <c r="G750" s="4" t="s">
        <v>15</v>
      </c>
      <c r="H750" s="4" t="s">
        <v>2</v>
      </c>
      <c r="I750" s="4" t="s">
        <v>2</v>
      </c>
      <c r="J750" s="4" t="s">
        <v>2</v>
      </c>
      <c r="L750" s="4"/>
    </row>
    <row r="751" spans="1:12" ht="16" outlineLevel="4" collapsed="1" x14ac:dyDescent="0.2">
      <c r="A751" s="4" t="s">
        <v>21</v>
      </c>
      <c r="B751" s="4" t="s">
        <v>16</v>
      </c>
      <c r="C751" s="12"/>
      <c r="D751" s="4"/>
      <c r="E751" s="12" t="s">
        <v>482</v>
      </c>
      <c r="F751" s="4"/>
      <c r="G751" s="4" t="s">
        <v>15</v>
      </c>
      <c r="H751" s="4" t="s">
        <v>19</v>
      </c>
      <c r="I751" s="4" t="s">
        <v>2</v>
      </c>
      <c r="J751" s="4" t="s">
        <v>2</v>
      </c>
      <c r="L751" s="4"/>
    </row>
    <row r="752" spans="1:12" ht="16" outlineLevel="4" collapsed="1" x14ac:dyDescent="0.2">
      <c r="A752" s="4" t="s">
        <v>21</v>
      </c>
      <c r="B752" s="4" t="s">
        <v>16</v>
      </c>
      <c r="C752" s="12"/>
      <c r="D752" s="4"/>
      <c r="E752" s="12" t="s">
        <v>483</v>
      </c>
      <c r="F752" s="4"/>
      <c r="G752" s="4" t="s">
        <v>15</v>
      </c>
      <c r="H752" s="4" t="s">
        <v>19</v>
      </c>
      <c r="I752" s="4" t="s">
        <v>2</v>
      </c>
      <c r="J752" s="4" t="s">
        <v>2</v>
      </c>
      <c r="L752" s="4"/>
    </row>
    <row r="753" spans="1:12" ht="16" outlineLevel="4" collapsed="1" x14ac:dyDescent="0.2">
      <c r="A753" s="4" t="s">
        <v>21</v>
      </c>
      <c r="B753" s="4" t="s">
        <v>16</v>
      </c>
      <c r="C753" s="12"/>
      <c r="D753" s="4"/>
      <c r="E753" s="12" t="s">
        <v>497</v>
      </c>
      <c r="F753" s="4"/>
      <c r="G753" s="4" t="s">
        <v>15</v>
      </c>
      <c r="H753" s="4" t="s">
        <v>19</v>
      </c>
      <c r="I753" s="4" t="s">
        <v>2</v>
      </c>
      <c r="J753" s="4" t="s">
        <v>2</v>
      </c>
      <c r="L753" s="4"/>
    </row>
    <row r="754" spans="1:12" ht="16" outlineLevel="4" collapsed="1" x14ac:dyDescent="0.2">
      <c r="A754" s="4" t="s">
        <v>21</v>
      </c>
      <c r="B754" s="4" t="s">
        <v>16</v>
      </c>
      <c r="C754" s="12"/>
      <c r="D754" s="4"/>
      <c r="E754" s="12" t="s">
        <v>498</v>
      </c>
      <c r="F754" s="4"/>
      <c r="G754" s="4" t="s">
        <v>15</v>
      </c>
      <c r="H754" s="4" t="s">
        <v>19</v>
      </c>
      <c r="I754" s="4" t="s">
        <v>2</v>
      </c>
      <c r="J754" s="4" t="s">
        <v>2</v>
      </c>
      <c r="L754" s="4"/>
    </row>
    <row r="755" spans="1:12" ht="32" outlineLevel="4" x14ac:dyDescent="0.2">
      <c r="A755" s="5" t="s">
        <v>21</v>
      </c>
      <c r="B755" t="s">
        <v>1178</v>
      </c>
      <c r="C755" s="11" t="s">
        <v>508</v>
      </c>
      <c r="D755" s="5" t="s">
        <v>2355</v>
      </c>
      <c r="E755" s="11" t="s">
        <v>508</v>
      </c>
      <c r="F755" s="5"/>
      <c r="G755" s="5" t="s">
        <v>21</v>
      </c>
      <c r="H755" s="5" t="s">
        <v>2</v>
      </c>
      <c r="I755" s="5" t="s">
        <v>2</v>
      </c>
      <c r="J755" s="5" t="s">
        <v>2</v>
      </c>
      <c r="L755" s="5"/>
    </row>
    <row r="756" spans="1:12" ht="16" outlineLevel="5" collapsed="1" x14ac:dyDescent="0.2">
      <c r="A756" s="4" t="s">
        <v>21</v>
      </c>
      <c r="B756" s="4" t="s">
        <v>16</v>
      </c>
      <c r="C756" s="12"/>
      <c r="D756" s="4" t="s">
        <v>2352</v>
      </c>
      <c r="E756" s="12" t="s">
        <v>1304</v>
      </c>
      <c r="F756" s="4"/>
      <c r="G756" s="4" t="s">
        <v>15</v>
      </c>
      <c r="H756" s="4">
        <v>1</v>
      </c>
      <c r="I756" s="4" t="s">
        <v>2</v>
      </c>
      <c r="J756" s="4" t="s">
        <v>2</v>
      </c>
      <c r="L756" s="4"/>
    </row>
    <row r="757" spans="1:12" ht="16" outlineLevel="5" x14ac:dyDescent="0.2">
      <c r="A757" s="4"/>
      <c r="B757" s="4" t="s">
        <v>16</v>
      </c>
      <c r="C757" s="12"/>
      <c r="D757" s="4" t="s">
        <v>2353</v>
      </c>
      <c r="E757" s="12" t="s">
        <v>1692</v>
      </c>
      <c r="F757" s="4"/>
      <c r="G757" s="4"/>
      <c r="H757" s="4"/>
      <c r="I757" s="4"/>
      <c r="J757" s="4"/>
      <c r="L757" s="4"/>
    </row>
    <row r="758" spans="1:12" ht="16" outlineLevel="5" x14ac:dyDescent="0.2">
      <c r="A758" s="4"/>
      <c r="B758" s="4" t="s">
        <v>16</v>
      </c>
      <c r="C758" s="12"/>
      <c r="D758" s="4" t="s">
        <v>2354</v>
      </c>
      <c r="E758" s="12" t="s">
        <v>1305</v>
      </c>
      <c r="F758" s="4"/>
      <c r="G758" s="4"/>
      <c r="H758" s="4"/>
      <c r="I758" s="4"/>
      <c r="J758" s="4"/>
      <c r="L758" s="4"/>
    </row>
    <row r="759" spans="1:12" ht="16" outlineLevel="5" collapsed="1" x14ac:dyDescent="0.2">
      <c r="A759" s="4" t="s">
        <v>21</v>
      </c>
      <c r="B759" s="4" t="s">
        <v>138</v>
      </c>
      <c r="C759" s="12"/>
      <c r="D759" s="4" t="s">
        <v>1657</v>
      </c>
      <c r="E759" s="12" t="s">
        <v>1657</v>
      </c>
      <c r="F759" s="4"/>
      <c r="G759" s="4" t="s">
        <v>15</v>
      </c>
      <c r="H759" s="4" t="s">
        <v>19</v>
      </c>
      <c r="I759" s="4" t="s">
        <v>2</v>
      </c>
      <c r="J759" s="4" t="s">
        <v>2</v>
      </c>
      <c r="L759" s="4"/>
    </row>
    <row r="760" spans="1:12" ht="16" outlineLevel="5" collapsed="1" x14ac:dyDescent="0.2">
      <c r="A760" s="4" t="s">
        <v>21</v>
      </c>
      <c r="B760" s="4" t="s">
        <v>138</v>
      </c>
      <c r="C760" s="12"/>
      <c r="D760" s="12" t="s">
        <v>1718</v>
      </c>
      <c r="E760" s="12" t="s">
        <v>1718</v>
      </c>
      <c r="F760" s="4"/>
      <c r="G760" s="4" t="s">
        <v>15</v>
      </c>
      <c r="H760" s="4">
        <v>1</v>
      </c>
      <c r="I760" s="4" t="s">
        <v>2</v>
      </c>
      <c r="J760" s="4" t="s">
        <v>2</v>
      </c>
      <c r="L760" s="4"/>
    </row>
    <row r="761" spans="1:12" ht="16" outlineLevel="4" x14ac:dyDescent="0.2">
      <c r="A761" s="4" t="s">
        <v>21</v>
      </c>
      <c r="B761" s="4" t="s">
        <v>16</v>
      </c>
      <c r="C761" s="12"/>
      <c r="D761" s="4"/>
      <c r="E761" s="12" t="s">
        <v>499</v>
      </c>
      <c r="F761" s="4"/>
      <c r="G761" s="4" t="s">
        <v>15</v>
      </c>
      <c r="H761" s="4" t="s">
        <v>19</v>
      </c>
      <c r="I761" s="4" t="s">
        <v>2</v>
      </c>
      <c r="J761" s="4" t="s">
        <v>2</v>
      </c>
      <c r="L761" s="4"/>
    </row>
    <row r="762" spans="1:12" ht="16" outlineLevel="4" collapsed="1" x14ac:dyDescent="0.2">
      <c r="A762" s="4" t="s">
        <v>21</v>
      </c>
      <c r="B762" s="4" t="s">
        <v>16</v>
      </c>
      <c r="C762" s="12"/>
      <c r="D762" s="4"/>
      <c r="E762" s="12" t="s">
        <v>500</v>
      </c>
      <c r="F762" s="4"/>
      <c r="G762" s="4" t="s">
        <v>15</v>
      </c>
      <c r="H762" s="4" t="s">
        <v>19</v>
      </c>
      <c r="I762" s="4" t="s">
        <v>2</v>
      </c>
      <c r="J762" s="4" t="s">
        <v>2</v>
      </c>
      <c r="L762" s="4"/>
    </row>
    <row r="763" spans="1:12" ht="16" outlineLevel="4" collapsed="1" x14ac:dyDescent="0.2">
      <c r="A763" s="4" t="s">
        <v>21</v>
      </c>
      <c r="B763" s="4" t="s">
        <v>16</v>
      </c>
      <c r="C763" s="12"/>
      <c r="D763" s="4"/>
      <c r="E763" s="12" t="s">
        <v>486</v>
      </c>
      <c r="F763" s="4"/>
      <c r="G763" s="4" t="s">
        <v>15</v>
      </c>
      <c r="H763" s="4" t="s">
        <v>19</v>
      </c>
      <c r="I763" s="4" t="s">
        <v>2</v>
      </c>
      <c r="J763" s="4" t="s">
        <v>2</v>
      </c>
      <c r="L763" s="4"/>
    </row>
    <row r="764" spans="1:12" ht="16" outlineLevel="4" collapsed="1" x14ac:dyDescent="0.2">
      <c r="A764" s="4" t="s">
        <v>21</v>
      </c>
      <c r="B764" s="4" t="s">
        <v>16</v>
      </c>
      <c r="C764" s="12"/>
      <c r="D764" s="4"/>
      <c r="E764" s="12" t="s">
        <v>501</v>
      </c>
      <c r="F764" s="4"/>
      <c r="G764" s="4" t="s">
        <v>15</v>
      </c>
      <c r="H764" s="4" t="s">
        <v>19</v>
      </c>
      <c r="I764" s="4" t="s">
        <v>2</v>
      </c>
      <c r="J764" s="4" t="s">
        <v>2</v>
      </c>
      <c r="L764" s="4"/>
    </row>
    <row r="765" spans="1:12" ht="16" outlineLevel="4" collapsed="1" x14ac:dyDescent="0.2">
      <c r="A765" s="4" t="s">
        <v>21</v>
      </c>
      <c r="B765" s="4" t="s">
        <v>16</v>
      </c>
      <c r="C765" s="12"/>
      <c r="D765" s="4"/>
      <c r="E765" s="12" t="s">
        <v>487</v>
      </c>
      <c r="F765" s="4"/>
      <c r="G765" s="4" t="s">
        <v>15</v>
      </c>
      <c r="H765" s="4" t="s">
        <v>19</v>
      </c>
      <c r="I765" s="4" t="s">
        <v>2</v>
      </c>
      <c r="J765" s="4" t="s">
        <v>2</v>
      </c>
      <c r="L765" s="4"/>
    </row>
    <row r="766" spans="1:12" ht="16" outlineLevel="3" x14ac:dyDescent="0.2">
      <c r="A766" s="5" t="s">
        <v>15</v>
      </c>
      <c r="B766" t="s">
        <v>1178</v>
      </c>
      <c r="C766" s="11" t="s">
        <v>1675</v>
      </c>
      <c r="D766" s="5"/>
      <c r="E766" s="11" t="s">
        <v>1675</v>
      </c>
      <c r="F766" s="5"/>
      <c r="G766" s="5" t="s">
        <v>15</v>
      </c>
      <c r="H766" s="5" t="s">
        <v>2</v>
      </c>
      <c r="I766" s="5" t="s">
        <v>2</v>
      </c>
      <c r="J766" s="5" t="s">
        <v>2</v>
      </c>
      <c r="L766" s="5"/>
    </row>
    <row r="767" spans="1:12" ht="32" outlineLevel="4" collapsed="1" x14ac:dyDescent="0.2">
      <c r="A767" s="4" t="s">
        <v>15</v>
      </c>
      <c r="B767" s="4" t="s">
        <v>25</v>
      </c>
      <c r="C767" s="12"/>
      <c r="D767" s="4"/>
      <c r="E767" s="12" t="s">
        <v>1719</v>
      </c>
      <c r="F767" s="4"/>
      <c r="G767" s="4" t="s">
        <v>15</v>
      </c>
      <c r="H767" s="4" t="s">
        <v>2</v>
      </c>
      <c r="I767" s="4" t="s">
        <v>2</v>
      </c>
      <c r="J767" s="4" t="s">
        <v>2</v>
      </c>
      <c r="L767" s="4"/>
    </row>
    <row r="768" spans="1:12" ht="16" outlineLevel="4" collapsed="1" x14ac:dyDescent="0.2">
      <c r="A768" s="4" t="s">
        <v>15</v>
      </c>
      <c r="B768" s="4" t="s">
        <v>25</v>
      </c>
      <c r="C768" s="12"/>
      <c r="D768" s="4"/>
      <c r="E768" s="12" t="s">
        <v>1688</v>
      </c>
      <c r="F768" s="4"/>
      <c r="G768" s="4" t="s">
        <v>15</v>
      </c>
      <c r="H768" s="4" t="s">
        <v>2</v>
      </c>
      <c r="I768" s="4" t="s">
        <v>2</v>
      </c>
      <c r="J768" s="4" t="s">
        <v>2</v>
      </c>
      <c r="L768" s="4"/>
    </row>
    <row r="769" spans="1:12" ht="16" outlineLevel="4" collapsed="1" x14ac:dyDescent="0.2">
      <c r="A769" s="4" t="s">
        <v>21</v>
      </c>
      <c r="B769" s="4" t="s">
        <v>16</v>
      </c>
      <c r="C769" s="12"/>
      <c r="D769" s="4"/>
      <c r="E769" s="12" t="s">
        <v>482</v>
      </c>
      <c r="F769" s="4"/>
      <c r="G769" s="4" t="s">
        <v>15</v>
      </c>
      <c r="H769" s="4" t="s">
        <v>19</v>
      </c>
      <c r="I769" s="4" t="s">
        <v>2</v>
      </c>
      <c r="J769" s="4" t="s">
        <v>2</v>
      </c>
      <c r="L769" s="4"/>
    </row>
    <row r="770" spans="1:12" ht="16" outlineLevel="4" collapsed="1" x14ac:dyDescent="0.2">
      <c r="A770" s="4" t="s">
        <v>21</v>
      </c>
      <c r="B770" s="4" t="s">
        <v>16</v>
      </c>
      <c r="C770" s="12"/>
      <c r="D770" s="4"/>
      <c r="E770" s="12" t="s">
        <v>483</v>
      </c>
      <c r="F770" s="4"/>
      <c r="G770" s="4" t="s">
        <v>15</v>
      </c>
      <c r="H770" s="4" t="s">
        <v>19</v>
      </c>
      <c r="I770" s="4" t="s">
        <v>2</v>
      </c>
      <c r="J770" s="4" t="s">
        <v>2</v>
      </c>
      <c r="L770" s="4"/>
    </row>
    <row r="771" spans="1:12" ht="16" outlineLevel="4" collapsed="1" x14ac:dyDescent="0.2">
      <c r="A771" s="4" t="s">
        <v>21</v>
      </c>
      <c r="B771" s="4" t="s">
        <v>16</v>
      </c>
      <c r="C771" s="12"/>
      <c r="D771" s="4"/>
      <c r="E771" s="12" t="s">
        <v>497</v>
      </c>
      <c r="F771" s="4"/>
      <c r="G771" s="4" t="s">
        <v>15</v>
      </c>
      <c r="H771" s="4" t="s">
        <v>19</v>
      </c>
      <c r="I771" s="4" t="s">
        <v>2</v>
      </c>
      <c r="J771" s="4" t="s">
        <v>2</v>
      </c>
      <c r="L771" s="4"/>
    </row>
    <row r="772" spans="1:12" ht="16" outlineLevel="4" collapsed="1" x14ac:dyDescent="0.2">
      <c r="A772" s="4" t="s">
        <v>21</v>
      </c>
      <c r="B772" s="4" t="s">
        <v>16</v>
      </c>
      <c r="C772" s="12"/>
      <c r="D772" s="4"/>
      <c r="E772" s="12" t="s">
        <v>498</v>
      </c>
      <c r="F772" s="4"/>
      <c r="G772" s="4" t="s">
        <v>15</v>
      </c>
      <c r="H772" s="4" t="s">
        <v>19</v>
      </c>
      <c r="I772" s="4" t="s">
        <v>2</v>
      </c>
      <c r="J772" s="4" t="s">
        <v>2</v>
      </c>
      <c r="L772" s="4"/>
    </row>
    <row r="773" spans="1:12" ht="16" outlineLevel="4" x14ac:dyDescent="0.2">
      <c r="A773" s="5" t="s">
        <v>21</v>
      </c>
      <c r="B773" t="s">
        <v>1178</v>
      </c>
      <c r="C773" s="11" t="s">
        <v>1720</v>
      </c>
      <c r="D773" s="5"/>
      <c r="E773" s="11" t="s">
        <v>1720</v>
      </c>
      <c r="F773" s="5"/>
      <c r="G773" s="5" t="s">
        <v>21</v>
      </c>
      <c r="H773" s="5" t="s">
        <v>2</v>
      </c>
      <c r="I773" s="5" t="s">
        <v>2</v>
      </c>
      <c r="J773" s="5" t="s">
        <v>2</v>
      </c>
      <c r="L773" s="5"/>
    </row>
    <row r="774" spans="1:12" ht="16" outlineLevel="5" collapsed="1" x14ac:dyDescent="0.2">
      <c r="A774" s="4" t="s">
        <v>21</v>
      </c>
      <c r="B774" s="4" t="s">
        <v>16</v>
      </c>
      <c r="C774" s="12"/>
      <c r="D774" s="4"/>
      <c r="E774" s="12" t="s">
        <v>1304</v>
      </c>
      <c r="F774" s="4"/>
      <c r="G774" s="4" t="s">
        <v>15</v>
      </c>
      <c r="H774" s="4">
        <v>1</v>
      </c>
      <c r="I774" s="4" t="s">
        <v>2</v>
      </c>
      <c r="J774" s="4" t="s">
        <v>2</v>
      </c>
      <c r="L774" s="4"/>
    </row>
    <row r="775" spans="1:12" ht="16" outlineLevel="5" x14ac:dyDescent="0.2">
      <c r="A775" s="4"/>
      <c r="B775" s="4" t="s">
        <v>16</v>
      </c>
      <c r="C775" s="12"/>
      <c r="D775" s="4"/>
      <c r="E775" s="12" t="s">
        <v>1692</v>
      </c>
      <c r="F775" s="4"/>
      <c r="G775" s="4"/>
      <c r="H775" s="4"/>
      <c r="I775" s="4"/>
      <c r="J775" s="4"/>
      <c r="L775" s="4"/>
    </row>
    <row r="776" spans="1:12" ht="16" outlineLevel="5" x14ac:dyDescent="0.2">
      <c r="A776" s="4"/>
      <c r="B776" s="4" t="s">
        <v>138</v>
      </c>
      <c r="C776" s="12"/>
      <c r="D776" s="4"/>
      <c r="E776" s="12" t="s">
        <v>1657</v>
      </c>
      <c r="F776" s="4"/>
      <c r="G776" s="4"/>
      <c r="H776" s="4"/>
      <c r="I776" s="4"/>
      <c r="J776" s="4"/>
      <c r="L776" s="4"/>
    </row>
    <row r="777" spans="1:12" ht="16" outlineLevel="5" collapsed="1" x14ac:dyDescent="0.2">
      <c r="A777" s="4" t="s">
        <v>21</v>
      </c>
      <c r="B777" s="4" t="s">
        <v>138</v>
      </c>
      <c r="C777" s="12"/>
      <c r="D777" s="4"/>
      <c r="E777" s="12" t="s">
        <v>1721</v>
      </c>
      <c r="F777" s="4"/>
      <c r="G777" s="4" t="s">
        <v>15</v>
      </c>
      <c r="H777" s="4">
        <v>1</v>
      </c>
      <c r="I777" s="4" t="s">
        <v>2</v>
      </c>
      <c r="J777" s="4" t="s">
        <v>2</v>
      </c>
      <c r="L777" s="4"/>
    </row>
    <row r="778" spans="1:12" ht="16" outlineLevel="4" x14ac:dyDescent="0.2">
      <c r="A778" s="4" t="s">
        <v>21</v>
      </c>
      <c r="B778" s="4" t="s">
        <v>16</v>
      </c>
      <c r="C778" s="12"/>
      <c r="D778" s="4"/>
      <c r="E778" s="12" t="s">
        <v>499</v>
      </c>
      <c r="F778" s="4"/>
      <c r="G778" s="4" t="s">
        <v>15</v>
      </c>
      <c r="H778" s="4" t="s">
        <v>19</v>
      </c>
      <c r="I778" s="4" t="s">
        <v>2</v>
      </c>
      <c r="J778" s="4" t="s">
        <v>2</v>
      </c>
      <c r="L778" s="4"/>
    </row>
    <row r="779" spans="1:12" ht="16" outlineLevel="4" collapsed="1" x14ac:dyDescent="0.2">
      <c r="A779" s="4" t="s">
        <v>21</v>
      </c>
      <c r="B779" s="4" t="s">
        <v>16</v>
      </c>
      <c r="C779" s="12"/>
      <c r="D779" s="4"/>
      <c r="E779" s="12" t="s">
        <v>500</v>
      </c>
      <c r="F779" s="4"/>
      <c r="G779" s="4" t="s">
        <v>15</v>
      </c>
      <c r="H779" s="4" t="s">
        <v>19</v>
      </c>
      <c r="I779" s="4" t="s">
        <v>2</v>
      </c>
      <c r="J779" s="4" t="s">
        <v>2</v>
      </c>
      <c r="L779" s="4"/>
    </row>
    <row r="780" spans="1:12" ht="16" outlineLevel="4" collapsed="1" x14ac:dyDescent="0.2">
      <c r="A780" s="4" t="s">
        <v>21</v>
      </c>
      <c r="B780" s="4" t="s">
        <v>16</v>
      </c>
      <c r="C780" s="12"/>
      <c r="D780" s="4"/>
      <c r="E780" s="12" t="s">
        <v>486</v>
      </c>
      <c r="F780" s="4"/>
      <c r="G780" s="4" t="s">
        <v>15</v>
      </c>
      <c r="H780" s="4" t="s">
        <v>19</v>
      </c>
      <c r="I780" s="4" t="s">
        <v>2</v>
      </c>
      <c r="J780" s="4" t="s">
        <v>2</v>
      </c>
      <c r="L780" s="4"/>
    </row>
    <row r="781" spans="1:12" ht="16" outlineLevel="4" collapsed="1" x14ac:dyDescent="0.2">
      <c r="A781" s="4" t="s">
        <v>21</v>
      </c>
      <c r="B781" s="4" t="s">
        <v>16</v>
      </c>
      <c r="C781" s="12"/>
      <c r="D781" s="4"/>
      <c r="E781" s="12" t="s">
        <v>501</v>
      </c>
      <c r="F781" s="4"/>
      <c r="G781" s="4" t="s">
        <v>15</v>
      </c>
      <c r="H781" s="4" t="s">
        <v>19</v>
      </c>
      <c r="I781" s="4" t="s">
        <v>2</v>
      </c>
      <c r="J781" s="4" t="s">
        <v>2</v>
      </c>
      <c r="L781" s="4"/>
    </row>
    <row r="782" spans="1:12" ht="16" outlineLevel="4" collapsed="1" x14ac:dyDescent="0.2">
      <c r="A782" s="4" t="s">
        <v>21</v>
      </c>
      <c r="B782" s="4" t="s">
        <v>16</v>
      </c>
      <c r="C782" s="12"/>
      <c r="D782" s="4"/>
      <c r="E782" s="12" t="s">
        <v>487</v>
      </c>
      <c r="F782" s="4"/>
      <c r="G782" s="4" t="s">
        <v>15</v>
      </c>
      <c r="H782" s="4" t="s">
        <v>19</v>
      </c>
      <c r="I782" s="4" t="s">
        <v>2</v>
      </c>
      <c r="J782" s="4" t="s">
        <v>2</v>
      </c>
      <c r="L782" s="4"/>
    </row>
    <row r="783" spans="1:12" ht="16" outlineLevel="3" x14ac:dyDescent="0.2">
      <c r="A783" s="5" t="s">
        <v>15</v>
      </c>
      <c r="B783" t="s">
        <v>1178</v>
      </c>
      <c r="C783" s="11" t="s">
        <v>1676</v>
      </c>
      <c r="D783" s="5"/>
      <c r="E783" s="50" t="s">
        <v>1676</v>
      </c>
      <c r="F783" s="5"/>
      <c r="G783" s="5" t="s">
        <v>15</v>
      </c>
      <c r="H783" s="5" t="s">
        <v>2</v>
      </c>
      <c r="I783" s="5" t="s">
        <v>2</v>
      </c>
      <c r="J783" s="5" t="s">
        <v>2</v>
      </c>
      <c r="L783" s="5"/>
    </row>
    <row r="784" spans="1:12" ht="16" outlineLevel="4" collapsed="1" x14ac:dyDescent="0.2">
      <c r="A784" s="4" t="s">
        <v>15</v>
      </c>
      <c r="B784" s="4" t="s">
        <v>25</v>
      </c>
      <c r="C784" s="12"/>
      <c r="D784" s="4"/>
      <c r="E784" s="12" t="s">
        <v>1722</v>
      </c>
      <c r="F784" s="4"/>
      <c r="G784" s="4" t="s">
        <v>15</v>
      </c>
      <c r="H784" s="4" t="s">
        <v>2</v>
      </c>
      <c r="I784" s="4" t="s">
        <v>2</v>
      </c>
      <c r="J784" s="4" t="s">
        <v>2</v>
      </c>
      <c r="L784" s="4"/>
    </row>
    <row r="785" spans="1:12" ht="16" outlineLevel="4" collapsed="1" x14ac:dyDescent="0.2">
      <c r="A785" s="4" t="s">
        <v>15</v>
      </c>
      <c r="B785" s="4" t="s">
        <v>25</v>
      </c>
      <c r="C785" s="12"/>
      <c r="D785" s="4"/>
      <c r="E785" s="12" t="s">
        <v>1723</v>
      </c>
      <c r="F785" s="4"/>
      <c r="G785" s="4" t="s">
        <v>15</v>
      </c>
      <c r="H785" s="4" t="s">
        <v>2</v>
      </c>
      <c r="I785" s="4" t="s">
        <v>2</v>
      </c>
      <c r="J785" s="4" t="s">
        <v>2</v>
      </c>
      <c r="L785" s="4"/>
    </row>
    <row r="786" spans="1:12" ht="16" outlineLevel="4" collapsed="1" x14ac:dyDescent="0.2">
      <c r="A786" s="4" t="s">
        <v>21</v>
      </c>
      <c r="B786" s="4" t="s">
        <v>16</v>
      </c>
      <c r="C786" s="12"/>
      <c r="D786" s="4"/>
      <c r="E786" s="12" t="s">
        <v>482</v>
      </c>
      <c r="F786" s="4"/>
      <c r="G786" s="4" t="s">
        <v>15</v>
      </c>
      <c r="H786" s="4" t="s">
        <v>19</v>
      </c>
      <c r="I786" s="4" t="s">
        <v>2</v>
      </c>
      <c r="J786" s="4" t="s">
        <v>2</v>
      </c>
      <c r="L786" s="4"/>
    </row>
    <row r="787" spans="1:12" ht="16" outlineLevel="4" collapsed="1" x14ac:dyDescent="0.2">
      <c r="A787" s="4" t="s">
        <v>21</v>
      </c>
      <c r="B787" s="4" t="s">
        <v>16</v>
      </c>
      <c r="C787" s="12"/>
      <c r="D787" s="4"/>
      <c r="E787" s="12" t="s">
        <v>483</v>
      </c>
      <c r="F787" s="4"/>
      <c r="G787" s="4" t="s">
        <v>15</v>
      </c>
      <c r="H787" s="4" t="s">
        <v>19</v>
      </c>
      <c r="I787" s="4" t="s">
        <v>2</v>
      </c>
      <c r="J787" s="4" t="s">
        <v>2</v>
      </c>
      <c r="L787" s="4"/>
    </row>
    <row r="788" spans="1:12" ht="16" outlineLevel="4" x14ac:dyDescent="0.2">
      <c r="A788" s="5" t="s">
        <v>21</v>
      </c>
      <c r="B788" t="s">
        <v>1178</v>
      </c>
      <c r="C788" s="11" t="s">
        <v>1739</v>
      </c>
      <c r="D788" s="5"/>
      <c r="E788" s="11" t="s">
        <v>1739</v>
      </c>
      <c r="F788" s="5"/>
      <c r="G788" s="5" t="s">
        <v>21</v>
      </c>
      <c r="H788" s="5" t="s">
        <v>2</v>
      </c>
      <c r="I788" s="5" t="s">
        <v>2</v>
      </c>
      <c r="J788" s="5" t="s">
        <v>2</v>
      </c>
      <c r="L788" s="5"/>
    </row>
    <row r="789" spans="1:12" ht="16" outlineLevel="5" collapsed="1" x14ac:dyDescent="0.2">
      <c r="A789" s="4" t="s">
        <v>21</v>
      </c>
      <c r="B789" s="4" t="s">
        <v>138</v>
      </c>
      <c r="C789" s="12"/>
      <c r="D789" s="4"/>
      <c r="E789" s="12" t="s">
        <v>1657</v>
      </c>
      <c r="F789" s="4"/>
      <c r="G789" s="4" t="s">
        <v>15</v>
      </c>
      <c r="H789" s="4">
        <v>1</v>
      </c>
      <c r="I789" s="4" t="s">
        <v>2</v>
      </c>
      <c r="J789" s="4" t="s">
        <v>2</v>
      </c>
      <c r="L789" s="4"/>
    </row>
    <row r="790" spans="1:12" ht="16" outlineLevel="5" x14ac:dyDescent="0.2">
      <c r="A790" s="4"/>
      <c r="B790" s="4" t="s">
        <v>16</v>
      </c>
      <c r="C790" s="12"/>
      <c r="D790" s="4"/>
      <c r="E790" s="12" t="s">
        <v>1724</v>
      </c>
      <c r="F790" s="4"/>
      <c r="G790" s="4"/>
      <c r="H790" s="4"/>
      <c r="I790" s="4"/>
      <c r="J790" s="4"/>
      <c r="L790" s="4"/>
    </row>
    <row r="791" spans="1:12" ht="16" outlineLevel="5" x14ac:dyDescent="0.2">
      <c r="A791" s="4"/>
      <c r="B791" s="4" t="s">
        <v>16</v>
      </c>
      <c r="C791" s="12"/>
      <c r="D791" s="4"/>
      <c r="E791" s="12" t="s">
        <v>1725</v>
      </c>
      <c r="F791" s="4"/>
      <c r="G791" s="4"/>
      <c r="H791" s="4"/>
      <c r="I791" s="4"/>
      <c r="J791" s="4"/>
      <c r="L791" s="4"/>
    </row>
    <row r="792" spans="1:12" ht="16" outlineLevel="5" collapsed="1" x14ac:dyDescent="0.2">
      <c r="A792" s="4" t="s">
        <v>21</v>
      </c>
      <c r="B792" s="4" t="s">
        <v>138</v>
      </c>
      <c r="C792" s="12"/>
      <c r="D792" s="4"/>
      <c r="E792" s="12" t="s">
        <v>1726</v>
      </c>
      <c r="F792" s="4"/>
      <c r="G792" s="4" t="s">
        <v>15</v>
      </c>
      <c r="H792" s="4">
        <v>1</v>
      </c>
      <c r="I792" s="4" t="s">
        <v>2</v>
      </c>
      <c r="J792" s="4" t="s">
        <v>2</v>
      </c>
      <c r="L792" s="4"/>
    </row>
    <row r="793" spans="1:12" ht="32" outlineLevel="4" x14ac:dyDescent="0.2">
      <c r="A793" s="4" t="s">
        <v>21</v>
      </c>
      <c r="B793" s="4" t="s">
        <v>16</v>
      </c>
      <c r="C793" s="12"/>
      <c r="D793" s="4"/>
      <c r="E793" s="12" t="s">
        <v>485</v>
      </c>
      <c r="F793" s="4"/>
      <c r="G793" s="4" t="s">
        <v>15</v>
      </c>
      <c r="H793" s="4" t="s">
        <v>19</v>
      </c>
      <c r="I793" s="4" t="s">
        <v>2</v>
      </c>
      <c r="J793" s="4" t="s">
        <v>2</v>
      </c>
      <c r="L793" s="4"/>
    </row>
    <row r="794" spans="1:12" ht="16" outlineLevel="4" collapsed="1" x14ac:dyDescent="0.2">
      <c r="A794" s="4" t="s">
        <v>21</v>
      </c>
      <c r="B794" s="4" t="s">
        <v>16</v>
      </c>
      <c r="C794" s="12"/>
      <c r="D794" s="4"/>
      <c r="E794" s="12" t="s">
        <v>486</v>
      </c>
      <c r="F794" s="4"/>
      <c r="G794" s="4" t="s">
        <v>15</v>
      </c>
      <c r="H794" s="4" t="s">
        <v>19</v>
      </c>
      <c r="I794" s="4" t="s">
        <v>2</v>
      </c>
      <c r="J794" s="4" t="s">
        <v>2</v>
      </c>
      <c r="L794" s="4"/>
    </row>
    <row r="795" spans="1:12" ht="16" outlineLevel="4" collapsed="1" x14ac:dyDescent="0.2">
      <c r="A795" s="4" t="s">
        <v>21</v>
      </c>
      <c r="B795" s="4" t="s">
        <v>16</v>
      </c>
      <c r="C795" s="12"/>
      <c r="D795" s="4"/>
      <c r="E795" s="12" t="s">
        <v>487</v>
      </c>
      <c r="F795" s="4"/>
      <c r="G795" s="4" t="s">
        <v>15</v>
      </c>
      <c r="H795" s="4" t="s">
        <v>19</v>
      </c>
      <c r="I795" s="4" t="s">
        <v>2</v>
      </c>
      <c r="J795" s="4" t="s">
        <v>2</v>
      </c>
      <c r="L795" s="4"/>
    </row>
    <row r="796" spans="1:12" ht="16" outlineLevel="3" x14ac:dyDescent="0.2">
      <c r="A796" s="5" t="s">
        <v>15</v>
      </c>
      <c r="B796" t="s">
        <v>1178</v>
      </c>
      <c r="C796" s="11" t="s">
        <v>1677</v>
      </c>
      <c r="D796" s="5"/>
      <c r="E796" s="50" t="s">
        <v>1677</v>
      </c>
      <c r="F796" s="5"/>
      <c r="G796" s="5" t="s">
        <v>15</v>
      </c>
      <c r="H796" s="5" t="s">
        <v>2</v>
      </c>
      <c r="I796" s="5" t="s">
        <v>2</v>
      </c>
      <c r="J796" s="5" t="s">
        <v>2</v>
      </c>
      <c r="L796" s="5"/>
    </row>
    <row r="797" spans="1:12" ht="16" outlineLevel="4" collapsed="1" x14ac:dyDescent="0.2">
      <c r="A797" s="4" t="s">
        <v>15</v>
      </c>
      <c r="B797" s="4" t="s">
        <v>25</v>
      </c>
      <c r="C797" s="12"/>
      <c r="D797" s="4"/>
      <c r="E797" s="12" t="s">
        <v>1727</v>
      </c>
      <c r="F797" s="4"/>
      <c r="G797" s="4" t="s">
        <v>15</v>
      </c>
      <c r="H797" s="4" t="s">
        <v>2</v>
      </c>
      <c r="I797" s="4" t="s">
        <v>2</v>
      </c>
      <c r="J797" s="4" t="s">
        <v>2</v>
      </c>
      <c r="L797" s="4"/>
    </row>
    <row r="798" spans="1:12" ht="16" outlineLevel="4" collapsed="1" x14ac:dyDescent="0.2">
      <c r="A798" s="4" t="s">
        <v>15</v>
      </c>
      <c r="B798" s="4" t="s">
        <v>25</v>
      </c>
      <c r="C798" s="12"/>
      <c r="D798" s="4"/>
      <c r="E798" s="12" t="s">
        <v>1728</v>
      </c>
      <c r="F798" s="4"/>
      <c r="G798" s="4" t="s">
        <v>15</v>
      </c>
      <c r="H798" s="4" t="s">
        <v>2</v>
      </c>
      <c r="I798" s="4" t="s">
        <v>2</v>
      </c>
      <c r="J798" s="4" t="s">
        <v>2</v>
      </c>
      <c r="L798" s="4"/>
    </row>
    <row r="799" spans="1:12" ht="16" outlineLevel="4" collapsed="1" x14ac:dyDescent="0.2">
      <c r="A799" s="4" t="s">
        <v>21</v>
      </c>
      <c r="B799" s="4" t="s">
        <v>16</v>
      </c>
      <c r="C799" s="12"/>
      <c r="D799" s="4"/>
      <c r="E799" s="12" t="s">
        <v>482</v>
      </c>
      <c r="F799" s="4"/>
      <c r="G799" s="4" t="s">
        <v>15</v>
      </c>
      <c r="H799" s="4" t="s">
        <v>19</v>
      </c>
      <c r="I799" s="4" t="s">
        <v>2</v>
      </c>
      <c r="J799" s="4" t="s">
        <v>2</v>
      </c>
      <c r="L799" s="4"/>
    </row>
    <row r="800" spans="1:12" ht="16" outlineLevel="4" collapsed="1" x14ac:dyDescent="0.2">
      <c r="A800" s="4" t="s">
        <v>21</v>
      </c>
      <c r="B800" s="4" t="s">
        <v>16</v>
      </c>
      <c r="C800" s="12"/>
      <c r="D800" s="4"/>
      <c r="E800" s="12" t="s">
        <v>483</v>
      </c>
      <c r="F800" s="4"/>
      <c r="G800" s="4" t="s">
        <v>15</v>
      </c>
      <c r="H800" s="4" t="s">
        <v>19</v>
      </c>
      <c r="I800" s="4" t="s">
        <v>2</v>
      </c>
      <c r="J800" s="4" t="s">
        <v>2</v>
      </c>
      <c r="L800" s="4"/>
    </row>
    <row r="801" spans="1:12" ht="16" outlineLevel="4" x14ac:dyDescent="0.2">
      <c r="A801" s="5" t="s">
        <v>21</v>
      </c>
      <c r="B801" t="s">
        <v>1178</v>
      </c>
      <c r="C801" s="11" t="s">
        <v>1729</v>
      </c>
      <c r="D801" s="5"/>
      <c r="E801" s="11" t="s">
        <v>1729</v>
      </c>
      <c r="F801" s="5"/>
      <c r="G801" s="5" t="s">
        <v>21</v>
      </c>
      <c r="H801" s="5" t="s">
        <v>2</v>
      </c>
      <c r="I801" s="5" t="s">
        <v>2</v>
      </c>
      <c r="J801" s="5" t="s">
        <v>2</v>
      </c>
      <c r="L801" s="5"/>
    </row>
    <row r="802" spans="1:12" ht="16" outlineLevel="5" collapsed="1" x14ac:dyDescent="0.2">
      <c r="A802" s="4" t="s">
        <v>21</v>
      </c>
      <c r="B802" s="4" t="s">
        <v>138</v>
      </c>
      <c r="C802" s="12"/>
      <c r="D802" s="4"/>
      <c r="E802" s="12" t="s">
        <v>1657</v>
      </c>
      <c r="F802" s="4"/>
      <c r="G802" s="4" t="s">
        <v>15</v>
      </c>
      <c r="H802" s="4">
        <v>1</v>
      </c>
      <c r="I802" s="4" t="s">
        <v>2</v>
      </c>
      <c r="J802" s="4" t="s">
        <v>2</v>
      </c>
      <c r="L802" s="4"/>
    </row>
    <row r="803" spans="1:12" ht="16" outlineLevel="5" x14ac:dyDescent="0.2">
      <c r="A803" s="4"/>
      <c r="B803" s="4" t="s">
        <v>16</v>
      </c>
      <c r="C803" s="12"/>
      <c r="D803" s="4"/>
      <c r="E803" s="12" t="s">
        <v>1725</v>
      </c>
      <c r="F803" s="4"/>
      <c r="G803" s="4"/>
      <c r="H803" s="4"/>
      <c r="I803" s="4"/>
      <c r="J803" s="4"/>
      <c r="L803" s="4"/>
    </row>
    <row r="804" spans="1:12" ht="16" outlineLevel="5" collapsed="1" x14ac:dyDescent="0.2">
      <c r="A804" s="4" t="s">
        <v>21</v>
      </c>
      <c r="B804" s="4" t="s">
        <v>138</v>
      </c>
      <c r="C804" s="12"/>
      <c r="D804" s="4"/>
      <c r="E804" s="12" t="s">
        <v>1730</v>
      </c>
      <c r="F804" s="4"/>
      <c r="G804" s="4" t="s">
        <v>15</v>
      </c>
      <c r="H804" s="4">
        <v>1</v>
      </c>
      <c r="I804" s="4" t="s">
        <v>2</v>
      </c>
      <c r="J804" s="4" t="s">
        <v>2</v>
      </c>
      <c r="L804" s="4"/>
    </row>
    <row r="805" spans="1:12" ht="16" outlineLevel="4" x14ac:dyDescent="0.2">
      <c r="A805" s="4" t="s">
        <v>21</v>
      </c>
      <c r="B805" s="4" t="s">
        <v>16</v>
      </c>
      <c r="C805" s="12"/>
      <c r="D805" s="4"/>
      <c r="E805" t="s">
        <v>485</v>
      </c>
      <c r="F805" s="4"/>
      <c r="G805" s="4" t="s">
        <v>15</v>
      </c>
      <c r="H805" s="4" t="s">
        <v>19</v>
      </c>
      <c r="I805" s="4" t="s">
        <v>2</v>
      </c>
      <c r="J805" s="4" t="s">
        <v>2</v>
      </c>
      <c r="L805" s="4"/>
    </row>
    <row r="806" spans="1:12" ht="16" outlineLevel="4" collapsed="1" x14ac:dyDescent="0.2">
      <c r="A806" s="4" t="s">
        <v>21</v>
      </c>
      <c r="B806" s="4" t="s">
        <v>16</v>
      </c>
      <c r="C806" s="12"/>
      <c r="D806" s="4"/>
      <c r="E806" s="12" t="s">
        <v>486</v>
      </c>
      <c r="F806" s="4"/>
      <c r="G806" s="4" t="s">
        <v>15</v>
      </c>
      <c r="H806" s="4" t="s">
        <v>19</v>
      </c>
      <c r="I806" s="4" t="s">
        <v>2</v>
      </c>
      <c r="J806" s="4" t="s">
        <v>2</v>
      </c>
      <c r="L806" s="4"/>
    </row>
    <row r="807" spans="1:12" ht="16" outlineLevel="4" collapsed="1" x14ac:dyDescent="0.2">
      <c r="A807" s="4" t="s">
        <v>21</v>
      </c>
      <c r="B807" s="4" t="s">
        <v>16</v>
      </c>
      <c r="C807" s="12"/>
      <c r="D807" s="4"/>
      <c r="E807" s="12" t="s">
        <v>487</v>
      </c>
      <c r="F807" s="4"/>
      <c r="G807" s="4" t="s">
        <v>15</v>
      </c>
      <c r="H807" s="4" t="s">
        <v>19</v>
      </c>
      <c r="I807" s="4" t="s">
        <v>2</v>
      </c>
      <c r="J807" s="4" t="s">
        <v>2</v>
      </c>
      <c r="L807" s="4"/>
    </row>
    <row r="808" spans="1:12" ht="32" outlineLevel="3" x14ac:dyDescent="0.2">
      <c r="A808" s="5" t="s">
        <v>15</v>
      </c>
      <c r="B808" t="s">
        <v>1178</v>
      </c>
      <c r="C808" s="11" t="s">
        <v>1678</v>
      </c>
      <c r="D808" s="5"/>
      <c r="E808" s="11" t="s">
        <v>1678</v>
      </c>
      <c r="F808" s="5"/>
      <c r="G808" s="5" t="s">
        <v>15</v>
      </c>
      <c r="H808" s="5" t="s">
        <v>2</v>
      </c>
      <c r="I808" s="5" t="s">
        <v>2</v>
      </c>
      <c r="J808" s="5" t="s">
        <v>2</v>
      </c>
      <c r="L808" s="5"/>
    </row>
    <row r="809" spans="1:12" ht="80" outlineLevel="4" collapsed="1" x14ac:dyDescent="0.2">
      <c r="A809" s="4" t="s">
        <v>15</v>
      </c>
      <c r="B809" s="4" t="s">
        <v>25</v>
      </c>
      <c r="C809" s="12"/>
      <c r="D809" s="4"/>
      <c r="E809" s="12" t="s">
        <v>1731</v>
      </c>
      <c r="F809" s="4"/>
      <c r="G809" s="4" t="s">
        <v>15</v>
      </c>
      <c r="H809" s="4" t="s">
        <v>2</v>
      </c>
      <c r="I809" s="4" t="s">
        <v>2</v>
      </c>
      <c r="J809" s="4" t="s">
        <v>2</v>
      </c>
      <c r="L809" s="4"/>
    </row>
    <row r="810" spans="1:12" ht="16" outlineLevel="4" collapsed="1" x14ac:dyDescent="0.2">
      <c r="A810" s="4" t="s">
        <v>15</v>
      </c>
      <c r="B810" s="4" t="s">
        <v>25</v>
      </c>
      <c r="C810" s="12"/>
      <c r="D810" s="4"/>
      <c r="E810" s="12" t="s">
        <v>1688</v>
      </c>
      <c r="F810" s="4"/>
      <c r="G810" s="4" t="s">
        <v>15</v>
      </c>
      <c r="H810" s="4" t="s">
        <v>2</v>
      </c>
      <c r="I810" s="4" t="s">
        <v>2</v>
      </c>
      <c r="J810" s="4" t="s">
        <v>2</v>
      </c>
      <c r="L810" s="4"/>
    </row>
    <row r="811" spans="1:12" ht="16" outlineLevel="4" collapsed="1" x14ac:dyDescent="0.2">
      <c r="A811" s="4" t="s">
        <v>21</v>
      </c>
      <c r="B811" s="4" t="s">
        <v>16</v>
      </c>
      <c r="C811" s="12"/>
      <c r="D811" s="4"/>
      <c r="E811" s="12" t="s">
        <v>482</v>
      </c>
      <c r="F811" s="4"/>
      <c r="G811" s="4" t="s">
        <v>15</v>
      </c>
      <c r="H811" s="4" t="s">
        <v>19</v>
      </c>
      <c r="I811" s="4" t="s">
        <v>2</v>
      </c>
      <c r="J811" s="4" t="s">
        <v>2</v>
      </c>
      <c r="L811" s="4"/>
    </row>
    <row r="812" spans="1:12" ht="16" outlineLevel="4" collapsed="1" x14ac:dyDescent="0.2">
      <c r="A812" s="4" t="s">
        <v>21</v>
      </c>
      <c r="B812" s="4" t="s">
        <v>16</v>
      </c>
      <c r="C812" s="12"/>
      <c r="D812" s="4"/>
      <c r="E812" s="12" t="s">
        <v>483</v>
      </c>
      <c r="F812" s="4"/>
      <c r="G812" s="4" t="s">
        <v>15</v>
      </c>
      <c r="H812" s="4" t="s">
        <v>19</v>
      </c>
      <c r="I812" s="4" t="s">
        <v>2</v>
      </c>
      <c r="J812" s="4" t="s">
        <v>2</v>
      </c>
      <c r="L812" s="4"/>
    </row>
    <row r="813" spans="1:12" ht="32" outlineLevel="4" x14ac:dyDescent="0.2">
      <c r="A813" s="5" t="s">
        <v>21</v>
      </c>
      <c r="B813" t="s">
        <v>1178</v>
      </c>
      <c r="C813" s="11" t="s">
        <v>1732</v>
      </c>
      <c r="D813" s="5"/>
      <c r="E813" s="11" t="s">
        <v>1732</v>
      </c>
      <c r="F813" s="5"/>
      <c r="G813" s="5" t="s">
        <v>21</v>
      </c>
      <c r="H813" s="5" t="s">
        <v>2</v>
      </c>
      <c r="I813" s="5" t="s">
        <v>2</v>
      </c>
      <c r="J813" s="5" t="s">
        <v>2</v>
      </c>
      <c r="L813" s="5"/>
    </row>
    <row r="814" spans="1:12" ht="16" outlineLevel="5" collapsed="1" x14ac:dyDescent="0.2">
      <c r="A814" s="4" t="s">
        <v>21</v>
      </c>
      <c r="B814" s="4" t="s">
        <v>138</v>
      </c>
      <c r="C814" s="12"/>
      <c r="D814" s="4"/>
      <c r="E814" s="12" t="s">
        <v>1305</v>
      </c>
      <c r="F814" s="4"/>
      <c r="G814" s="4" t="s">
        <v>15</v>
      </c>
      <c r="H814" s="4">
        <v>1</v>
      </c>
      <c r="I814" s="4" t="s">
        <v>2</v>
      </c>
      <c r="J814" s="4" t="s">
        <v>2</v>
      </c>
      <c r="L814" s="4"/>
    </row>
    <row r="815" spans="1:12" ht="16" outlineLevel="5" collapsed="1" x14ac:dyDescent="0.2">
      <c r="A815" s="4" t="s">
        <v>21</v>
      </c>
      <c r="B815" s="4" t="s">
        <v>16</v>
      </c>
      <c r="C815" s="12"/>
      <c r="D815" s="4"/>
      <c r="E815" s="12" t="s">
        <v>1657</v>
      </c>
      <c r="F815" s="4"/>
      <c r="G815" s="4" t="s">
        <v>15</v>
      </c>
      <c r="H815" s="4" t="s">
        <v>19</v>
      </c>
      <c r="I815" s="4" t="s">
        <v>2</v>
      </c>
      <c r="J815" s="4" t="s">
        <v>2</v>
      </c>
      <c r="L815" s="4"/>
    </row>
    <row r="816" spans="1:12" ht="16" outlineLevel="5" x14ac:dyDescent="0.2">
      <c r="A816" s="4" t="s">
        <v>21</v>
      </c>
      <c r="B816" s="4" t="s">
        <v>138</v>
      </c>
      <c r="C816" s="12"/>
      <c r="D816" s="4"/>
      <c r="E816" s="12" t="s">
        <v>1733</v>
      </c>
      <c r="F816" s="4"/>
      <c r="G816" s="4"/>
      <c r="H816" s="4"/>
      <c r="I816" s="4"/>
      <c r="J816" s="4"/>
      <c r="L816" s="4"/>
    </row>
    <row r="817" spans="1:12" ht="16" outlineLevel="5" collapsed="1" x14ac:dyDescent="0.2">
      <c r="A817" s="4" t="s">
        <v>21</v>
      </c>
      <c r="B817" s="4" t="s">
        <v>138</v>
      </c>
      <c r="C817" s="12"/>
      <c r="D817" s="4"/>
      <c r="E817" s="12" t="s">
        <v>1734</v>
      </c>
      <c r="F817" s="4"/>
      <c r="G817" s="4" t="s">
        <v>15</v>
      </c>
      <c r="H817" s="4">
        <v>1</v>
      </c>
      <c r="I817" s="4" t="s">
        <v>2</v>
      </c>
      <c r="J817" s="4" t="s">
        <v>2</v>
      </c>
      <c r="L817" s="4"/>
    </row>
    <row r="818" spans="1:12" ht="16" outlineLevel="4" x14ac:dyDescent="0.2">
      <c r="A818" s="4" t="s">
        <v>21</v>
      </c>
      <c r="B818" s="4" t="s">
        <v>16</v>
      </c>
      <c r="C818" s="12"/>
      <c r="D818" s="4"/>
      <c r="E818" t="s">
        <v>485</v>
      </c>
      <c r="F818" s="4"/>
      <c r="G818" s="4" t="s">
        <v>15</v>
      </c>
      <c r="H818" s="4" t="s">
        <v>19</v>
      </c>
      <c r="I818" s="4" t="s">
        <v>2</v>
      </c>
      <c r="J818" s="4" t="s">
        <v>2</v>
      </c>
      <c r="L818" s="4"/>
    </row>
    <row r="819" spans="1:12" ht="16" outlineLevel="4" collapsed="1" x14ac:dyDescent="0.2">
      <c r="A819" s="4" t="s">
        <v>21</v>
      </c>
      <c r="B819" s="4" t="s">
        <v>16</v>
      </c>
      <c r="C819" s="12"/>
      <c r="D819" s="4"/>
      <c r="E819" s="12" t="s">
        <v>486</v>
      </c>
      <c r="F819" s="4"/>
      <c r="G819" s="4" t="s">
        <v>15</v>
      </c>
      <c r="H819" s="4" t="s">
        <v>19</v>
      </c>
      <c r="I819" s="4" t="s">
        <v>2</v>
      </c>
      <c r="J819" s="4" t="s">
        <v>2</v>
      </c>
      <c r="L819" s="4"/>
    </row>
    <row r="820" spans="1:12" ht="16" outlineLevel="4" collapsed="1" x14ac:dyDescent="0.2">
      <c r="A820" s="4" t="s">
        <v>21</v>
      </c>
      <c r="B820" s="4" t="s">
        <v>16</v>
      </c>
      <c r="C820" s="12"/>
      <c r="D820" s="4"/>
      <c r="E820" s="12" t="s">
        <v>501</v>
      </c>
      <c r="F820" s="4"/>
      <c r="G820" s="4" t="s">
        <v>15</v>
      </c>
      <c r="H820" s="4" t="s">
        <v>19</v>
      </c>
      <c r="I820" s="4" t="s">
        <v>2</v>
      </c>
      <c r="J820" s="4" t="s">
        <v>2</v>
      </c>
      <c r="L820" s="4"/>
    </row>
    <row r="821" spans="1:12" ht="16" outlineLevel="4" collapsed="1" x14ac:dyDescent="0.2">
      <c r="A821" s="4" t="s">
        <v>21</v>
      </c>
      <c r="B821" s="4" t="s">
        <v>16</v>
      </c>
      <c r="C821" s="12"/>
      <c r="D821" s="4"/>
      <c r="E821" s="12" t="s">
        <v>487</v>
      </c>
      <c r="F821" s="4"/>
      <c r="G821" s="4" t="s">
        <v>15</v>
      </c>
      <c r="H821" s="4" t="s">
        <v>19</v>
      </c>
      <c r="I821" s="4" t="s">
        <v>2</v>
      </c>
      <c r="J821" s="4" t="s">
        <v>2</v>
      </c>
      <c r="L821" s="4"/>
    </row>
    <row r="822" spans="1:12" ht="16" outlineLevel="3" x14ac:dyDescent="0.2">
      <c r="A822" s="5" t="s">
        <v>15</v>
      </c>
      <c r="B822" t="s">
        <v>1178</v>
      </c>
      <c r="C822" s="11" t="s">
        <v>1679</v>
      </c>
      <c r="D822" s="5"/>
      <c r="E822" s="11" t="s">
        <v>1679</v>
      </c>
      <c r="F822" s="5"/>
      <c r="G822" s="5" t="s">
        <v>15</v>
      </c>
      <c r="H822" s="5" t="s">
        <v>2</v>
      </c>
      <c r="I822" s="5" t="s">
        <v>2</v>
      </c>
      <c r="J822" s="5" t="s">
        <v>2</v>
      </c>
      <c r="L822" s="5"/>
    </row>
    <row r="823" spans="1:12" ht="80" outlineLevel="4" collapsed="1" x14ac:dyDescent="0.2">
      <c r="A823" s="4" t="s">
        <v>15</v>
      </c>
      <c r="B823" s="4" t="s">
        <v>25</v>
      </c>
      <c r="C823" s="4"/>
      <c r="D823" s="4"/>
      <c r="E823" s="12" t="s">
        <v>1735</v>
      </c>
      <c r="F823" s="4"/>
      <c r="G823" s="4" t="s">
        <v>15</v>
      </c>
      <c r="H823" s="4" t="s">
        <v>2</v>
      </c>
      <c r="I823" s="4" t="s">
        <v>2</v>
      </c>
      <c r="J823" s="4" t="s">
        <v>2</v>
      </c>
      <c r="L823" s="4"/>
    </row>
    <row r="824" spans="1:12" ht="16" outlineLevel="4" collapsed="1" x14ac:dyDescent="0.2">
      <c r="A824" s="4" t="s">
        <v>15</v>
      </c>
      <c r="B824" s="4" t="s">
        <v>25</v>
      </c>
      <c r="C824" s="4"/>
      <c r="D824" s="4"/>
      <c r="E824" s="12" t="s">
        <v>1688</v>
      </c>
      <c r="F824" s="4"/>
      <c r="G824" s="4" t="s">
        <v>15</v>
      </c>
      <c r="H824" s="4" t="s">
        <v>2</v>
      </c>
      <c r="I824" s="4" t="s">
        <v>2</v>
      </c>
      <c r="J824" s="4" t="s">
        <v>2</v>
      </c>
      <c r="L824" s="4"/>
    </row>
    <row r="825" spans="1:12" ht="16" outlineLevel="4" collapsed="1" x14ac:dyDescent="0.2">
      <c r="A825" s="4" t="s">
        <v>21</v>
      </c>
      <c r="B825" s="4" t="s">
        <v>16</v>
      </c>
      <c r="C825" s="4"/>
      <c r="D825" s="4"/>
      <c r="E825" s="12" t="s">
        <v>482</v>
      </c>
      <c r="F825" s="4"/>
      <c r="G825" s="4" t="s">
        <v>15</v>
      </c>
      <c r="H825" s="4" t="s">
        <v>19</v>
      </c>
      <c r="I825" s="4" t="s">
        <v>2</v>
      </c>
      <c r="J825" s="4" t="s">
        <v>2</v>
      </c>
      <c r="L825" s="4"/>
    </row>
    <row r="826" spans="1:12" ht="16" outlineLevel="4" collapsed="1" x14ac:dyDescent="0.2">
      <c r="A826" s="4" t="s">
        <v>21</v>
      </c>
      <c r="B826" s="4" t="s">
        <v>16</v>
      </c>
      <c r="C826" s="4"/>
      <c r="D826" s="4"/>
      <c r="E826" s="12" t="s">
        <v>483</v>
      </c>
      <c r="F826" s="4"/>
      <c r="G826" s="4" t="s">
        <v>15</v>
      </c>
      <c r="H826" s="4" t="s">
        <v>19</v>
      </c>
      <c r="I826" s="4" t="s">
        <v>2</v>
      </c>
      <c r="J826" s="4" t="s">
        <v>2</v>
      </c>
      <c r="L826" s="4"/>
    </row>
    <row r="827" spans="1:12" ht="16" outlineLevel="4" x14ac:dyDescent="0.2">
      <c r="A827" s="5" t="s">
        <v>21</v>
      </c>
      <c r="B827" t="s">
        <v>1178</v>
      </c>
      <c r="C827" s="11" t="s">
        <v>1736</v>
      </c>
      <c r="D827" s="5"/>
      <c r="E827" s="11" t="s">
        <v>1736</v>
      </c>
      <c r="F827" s="5"/>
      <c r="G827" s="5" t="s">
        <v>21</v>
      </c>
      <c r="H827" s="5" t="s">
        <v>2</v>
      </c>
      <c r="I827" s="5" t="s">
        <v>2</v>
      </c>
      <c r="J827" s="5" t="s">
        <v>2</v>
      </c>
      <c r="L827" s="5"/>
    </row>
    <row r="828" spans="1:12" ht="16" outlineLevel="5" collapsed="1" x14ac:dyDescent="0.2">
      <c r="A828" s="4" t="s">
        <v>21</v>
      </c>
      <c r="B828" s="4" t="s">
        <v>138</v>
      </c>
      <c r="C828" s="4"/>
      <c r="D828" s="4"/>
      <c r="E828" s="12" t="s">
        <v>1305</v>
      </c>
      <c r="F828" s="4"/>
      <c r="G828" s="4" t="s">
        <v>15</v>
      </c>
      <c r="H828" s="4">
        <v>1</v>
      </c>
      <c r="I828" s="4" t="s">
        <v>2</v>
      </c>
      <c r="J828" s="4" t="s">
        <v>2</v>
      </c>
      <c r="L828" s="4"/>
    </row>
    <row r="829" spans="1:12" ht="16" outlineLevel="5" collapsed="1" x14ac:dyDescent="0.2">
      <c r="A829" s="4" t="s">
        <v>21</v>
      </c>
      <c r="B829" s="4" t="s">
        <v>16</v>
      </c>
      <c r="C829" s="4"/>
      <c r="D829" s="4"/>
      <c r="E829" s="12" t="s">
        <v>1657</v>
      </c>
      <c r="F829" s="4"/>
      <c r="G829" s="4" t="s">
        <v>15</v>
      </c>
      <c r="H829" s="4" t="s">
        <v>19</v>
      </c>
      <c r="I829" s="4" t="s">
        <v>2</v>
      </c>
      <c r="J829" s="4" t="s">
        <v>2</v>
      </c>
      <c r="L829" s="4"/>
    </row>
    <row r="830" spans="1:12" ht="16" outlineLevel="5" x14ac:dyDescent="0.2">
      <c r="A830" s="4" t="s">
        <v>21</v>
      </c>
      <c r="B830" s="4" t="s">
        <v>138</v>
      </c>
      <c r="C830" s="4"/>
      <c r="D830" s="4"/>
      <c r="E830" s="12" t="s">
        <v>1737</v>
      </c>
      <c r="F830" s="4"/>
      <c r="G830" s="4"/>
      <c r="H830" s="4"/>
      <c r="I830" s="4"/>
      <c r="J830" s="4"/>
      <c r="L830" s="4"/>
    </row>
    <row r="831" spans="1:12" ht="16" outlineLevel="5" collapsed="1" x14ac:dyDescent="0.2">
      <c r="A831" s="4" t="s">
        <v>21</v>
      </c>
      <c r="B831" s="4" t="s">
        <v>138</v>
      </c>
      <c r="C831" s="4"/>
      <c r="D831" s="4"/>
      <c r="E831" s="12" t="s">
        <v>1738</v>
      </c>
      <c r="F831" s="4"/>
      <c r="G831" s="4" t="s">
        <v>15</v>
      </c>
      <c r="H831" s="4">
        <v>1</v>
      </c>
      <c r="I831" s="4" t="s">
        <v>2</v>
      </c>
      <c r="J831" s="4" t="s">
        <v>2</v>
      </c>
      <c r="L831" s="4"/>
    </row>
    <row r="832" spans="1:12" ht="16" outlineLevel="4" x14ac:dyDescent="0.2">
      <c r="A832" s="4" t="s">
        <v>21</v>
      </c>
      <c r="B832" s="4" t="s">
        <v>16</v>
      </c>
      <c r="C832" s="4"/>
      <c r="D832" s="4"/>
      <c r="E832" t="s">
        <v>485</v>
      </c>
      <c r="F832" s="4"/>
      <c r="G832" s="4" t="s">
        <v>15</v>
      </c>
      <c r="H832" s="4" t="s">
        <v>19</v>
      </c>
      <c r="I832" s="4" t="s">
        <v>2</v>
      </c>
      <c r="J832" s="4" t="s">
        <v>2</v>
      </c>
      <c r="L832" s="4"/>
    </row>
    <row r="833" spans="1:12" ht="16" outlineLevel="4" collapsed="1" x14ac:dyDescent="0.2">
      <c r="A833" s="4" t="s">
        <v>21</v>
      </c>
      <c r="B833" s="4" t="s">
        <v>16</v>
      </c>
      <c r="C833" s="4"/>
      <c r="D833" s="4"/>
      <c r="E833" s="12" t="s">
        <v>486</v>
      </c>
      <c r="F833" s="4"/>
      <c r="G833" s="4" t="s">
        <v>15</v>
      </c>
      <c r="H833" s="4" t="s">
        <v>19</v>
      </c>
      <c r="I833" s="4" t="s">
        <v>2</v>
      </c>
      <c r="J833" s="4" t="s">
        <v>2</v>
      </c>
      <c r="L833" s="4"/>
    </row>
    <row r="834" spans="1:12" ht="16" outlineLevel="4" collapsed="1" x14ac:dyDescent="0.2">
      <c r="A834" s="4" t="s">
        <v>21</v>
      </c>
      <c r="B834" s="4" t="s">
        <v>16</v>
      </c>
      <c r="C834" s="4" t="s">
        <v>2</v>
      </c>
      <c r="D834" s="4"/>
      <c r="E834" s="12" t="s">
        <v>487</v>
      </c>
      <c r="F834" s="4"/>
      <c r="G834" s="4" t="s">
        <v>15</v>
      </c>
      <c r="H834" s="4" t="s">
        <v>19</v>
      </c>
      <c r="I834" s="4" t="s">
        <v>2</v>
      </c>
      <c r="J834" s="4" t="s">
        <v>2</v>
      </c>
      <c r="L834" s="4"/>
    </row>
    <row r="835" spans="1:12" ht="16" outlineLevel="2" x14ac:dyDescent="0.2">
      <c r="A835" s="5" t="s">
        <v>15</v>
      </c>
      <c r="B835" t="s">
        <v>1178</v>
      </c>
      <c r="C835" s="11" t="s">
        <v>1171</v>
      </c>
      <c r="D835" s="5"/>
      <c r="E835" s="11" t="s">
        <v>1171</v>
      </c>
      <c r="F835" s="5"/>
      <c r="G835" s="5" t="s">
        <v>21</v>
      </c>
      <c r="H835" s="5" t="s">
        <v>2</v>
      </c>
      <c r="I835" s="5" t="s">
        <v>2</v>
      </c>
      <c r="J835" s="5" t="s">
        <v>2</v>
      </c>
      <c r="L835" s="5"/>
    </row>
    <row r="836" spans="1:12" ht="272" outlineLevel="3" collapsed="1" x14ac:dyDescent="0.2">
      <c r="A836" s="4" t="s">
        <v>21</v>
      </c>
      <c r="B836" s="4" t="s">
        <v>16</v>
      </c>
      <c r="C836" s="4" t="s">
        <v>2</v>
      </c>
      <c r="D836" s="4"/>
      <c r="E836" s="12" t="s">
        <v>1172</v>
      </c>
      <c r="F836" s="4"/>
      <c r="G836" s="4" t="s">
        <v>15</v>
      </c>
      <c r="H836" s="4" t="s">
        <v>19</v>
      </c>
      <c r="I836" s="4" t="s">
        <v>2</v>
      </c>
      <c r="J836" s="4" t="s">
        <v>2</v>
      </c>
      <c r="L836" s="4"/>
    </row>
    <row r="837" spans="1:12" ht="16" outlineLevel="1" x14ac:dyDescent="0.2">
      <c r="A837" s="5" t="s">
        <v>15</v>
      </c>
      <c r="B837" t="s">
        <v>1178</v>
      </c>
      <c r="C837" s="11" t="s">
        <v>525</v>
      </c>
      <c r="D837" s="5"/>
      <c r="E837" s="11" t="s">
        <v>525</v>
      </c>
      <c r="F837" s="5"/>
      <c r="G837" s="5" t="s">
        <v>15</v>
      </c>
      <c r="H837" s="5" t="s">
        <v>2</v>
      </c>
      <c r="I837" s="5" t="s">
        <v>2</v>
      </c>
      <c r="J837" s="5" t="s">
        <v>2</v>
      </c>
      <c r="L837" s="5"/>
    </row>
    <row r="838" spans="1:12" ht="25" outlineLevel="2" x14ac:dyDescent="0.2">
      <c r="A838" s="4" t="s">
        <v>15</v>
      </c>
      <c r="B838" s="4" t="s">
        <v>25</v>
      </c>
      <c r="C838" s="6" t="s">
        <v>365</v>
      </c>
      <c r="D838" s="4"/>
      <c r="E838" s="13" t="s">
        <v>1683</v>
      </c>
      <c r="F838" s="4"/>
      <c r="G838" s="4" t="s">
        <v>15</v>
      </c>
      <c r="H838" s="4" t="s">
        <v>2</v>
      </c>
      <c r="I838" s="4" t="s">
        <v>2</v>
      </c>
      <c r="J838" s="4" t="s">
        <v>2</v>
      </c>
      <c r="L838" s="4"/>
    </row>
    <row r="839" spans="1:12" ht="32" outlineLevel="2" x14ac:dyDescent="0.2">
      <c r="A839" s="5" t="s">
        <v>15</v>
      </c>
      <c r="B839" t="s">
        <v>1178</v>
      </c>
      <c r="C839" s="11" t="s">
        <v>527</v>
      </c>
      <c r="D839" s="5"/>
      <c r="E839" s="11" t="s">
        <v>527</v>
      </c>
      <c r="F839" s="5"/>
      <c r="G839" s="5" t="s">
        <v>21</v>
      </c>
      <c r="H839" s="5" t="s">
        <v>2</v>
      </c>
      <c r="I839" s="5" t="s">
        <v>2</v>
      </c>
      <c r="J839" s="5" t="s">
        <v>2</v>
      </c>
      <c r="L839" s="5"/>
    </row>
    <row r="840" spans="1:12" ht="16" outlineLevel="3" collapsed="1" x14ac:dyDescent="0.2">
      <c r="A840" s="4" t="s">
        <v>15</v>
      </c>
      <c r="B840" s="4" t="s">
        <v>16</v>
      </c>
      <c r="C840" s="4" t="s">
        <v>2</v>
      </c>
      <c r="D840" s="4"/>
      <c r="E840" s="12" t="s">
        <v>528</v>
      </c>
      <c r="F840" s="4"/>
      <c r="G840" s="4" t="s">
        <v>15</v>
      </c>
      <c r="H840" s="4" t="s">
        <v>19</v>
      </c>
      <c r="I840" s="4" t="s">
        <v>2</v>
      </c>
      <c r="J840" s="4" t="s">
        <v>2</v>
      </c>
      <c r="L840" s="4"/>
    </row>
    <row r="841" spans="1:12" ht="16" outlineLevel="3" collapsed="1" x14ac:dyDescent="0.2">
      <c r="A841" s="4" t="s">
        <v>15</v>
      </c>
      <c r="B841" s="4" t="s">
        <v>16</v>
      </c>
      <c r="C841" s="4" t="s">
        <v>2</v>
      </c>
      <c r="D841" s="4"/>
      <c r="E841" s="12" t="s">
        <v>529</v>
      </c>
      <c r="F841" s="4"/>
      <c r="G841" s="4" t="s">
        <v>15</v>
      </c>
      <c r="H841" s="4" t="s">
        <v>19</v>
      </c>
      <c r="I841" s="4" t="s">
        <v>2</v>
      </c>
      <c r="J841" s="4" t="s">
        <v>2</v>
      </c>
      <c r="L841" s="4"/>
    </row>
    <row r="842" spans="1:12" ht="16" outlineLevel="3" collapsed="1" x14ac:dyDescent="0.2">
      <c r="A842" s="4" t="s">
        <v>15</v>
      </c>
      <c r="B842" s="4" t="s">
        <v>16</v>
      </c>
      <c r="C842" s="4" t="s">
        <v>2</v>
      </c>
      <c r="D842" s="4"/>
      <c r="E842" s="12" t="s">
        <v>183</v>
      </c>
      <c r="F842" s="4"/>
      <c r="G842" s="4" t="s">
        <v>15</v>
      </c>
      <c r="H842" s="4" t="s">
        <v>19</v>
      </c>
      <c r="I842" s="4" t="s">
        <v>2</v>
      </c>
      <c r="J842" s="4" t="s">
        <v>2</v>
      </c>
      <c r="L842" s="4"/>
    </row>
    <row r="843" spans="1:12" ht="25" outlineLevel="2" collapsed="1" x14ac:dyDescent="0.2">
      <c r="A843" s="17" t="s">
        <v>15</v>
      </c>
      <c r="B843" s="17" t="s">
        <v>25</v>
      </c>
      <c r="C843" s="18" t="s">
        <v>365</v>
      </c>
      <c r="D843" s="17"/>
      <c r="E843" s="19" t="s">
        <v>1682</v>
      </c>
      <c r="F843" s="17"/>
      <c r="G843" s="17" t="s">
        <v>15</v>
      </c>
      <c r="H843" s="17" t="s">
        <v>2</v>
      </c>
      <c r="I843" s="17" t="s">
        <v>2</v>
      </c>
      <c r="J843" s="17" t="s">
        <v>2</v>
      </c>
      <c r="L843" s="17"/>
    </row>
    <row r="844" spans="1:12" ht="16" outlineLevel="2" collapsed="1" x14ac:dyDescent="0.2">
      <c r="A844" s="17" t="s">
        <v>15</v>
      </c>
      <c r="B844" s="17" t="s">
        <v>16</v>
      </c>
      <c r="C844" s="17" t="s">
        <v>2</v>
      </c>
      <c r="D844" s="17"/>
      <c r="E844" s="15" t="s">
        <v>160</v>
      </c>
      <c r="F844" s="17"/>
      <c r="G844" s="17" t="s">
        <v>15</v>
      </c>
      <c r="H844" s="17" t="s">
        <v>19</v>
      </c>
      <c r="I844" s="17" t="s">
        <v>2</v>
      </c>
      <c r="J844" s="17" t="s">
        <v>2</v>
      </c>
      <c r="L844" s="17"/>
    </row>
    <row r="845" spans="1:12" ht="16" outlineLevel="2" x14ac:dyDescent="0.2">
      <c r="A845" s="17"/>
      <c r="B845" s="17" t="s">
        <v>16</v>
      </c>
      <c r="C845" s="17"/>
      <c r="D845" s="17"/>
      <c r="E845" s="15" t="s">
        <v>1</v>
      </c>
      <c r="F845" s="17"/>
      <c r="G845" s="17"/>
      <c r="H845" s="17"/>
      <c r="I845" s="17"/>
      <c r="J845" s="17"/>
      <c r="L845" s="17"/>
    </row>
    <row r="846" spans="1:12" ht="16" outlineLevel="1" x14ac:dyDescent="0.2">
      <c r="A846" s="5" t="s">
        <v>15</v>
      </c>
      <c r="B846" t="s">
        <v>1178</v>
      </c>
      <c r="C846" s="11" t="s">
        <v>541</v>
      </c>
      <c r="D846" s="5"/>
      <c r="E846" s="11" t="s">
        <v>541</v>
      </c>
      <c r="F846" s="5"/>
      <c r="G846" s="5" t="s">
        <v>15</v>
      </c>
      <c r="H846" s="5" t="s">
        <v>2</v>
      </c>
      <c r="I846" s="5" t="s">
        <v>2</v>
      </c>
      <c r="J846" s="5" t="s">
        <v>2</v>
      </c>
      <c r="L846" s="5"/>
    </row>
    <row r="847" spans="1:12" ht="16" outlineLevel="2" collapsed="1" x14ac:dyDescent="0.2">
      <c r="A847" s="4" t="s">
        <v>21</v>
      </c>
      <c r="B847" s="4" t="s">
        <v>16</v>
      </c>
      <c r="C847" s="4" t="s">
        <v>2</v>
      </c>
      <c r="D847" s="4"/>
      <c r="E847" s="12" t="s">
        <v>928</v>
      </c>
      <c r="F847" s="4"/>
      <c r="G847" s="4" t="s">
        <v>15</v>
      </c>
      <c r="H847" s="4" t="s">
        <v>19</v>
      </c>
      <c r="I847" s="4" t="s">
        <v>2</v>
      </c>
      <c r="J847" s="4" t="s">
        <v>2</v>
      </c>
      <c r="L847" s="4"/>
    </row>
    <row r="848" spans="1:12" ht="16" outlineLevel="2" collapsed="1" x14ac:dyDescent="0.2">
      <c r="A848" s="4" t="s">
        <v>21</v>
      </c>
      <c r="B848" s="4" t="s">
        <v>16</v>
      </c>
      <c r="C848" s="4" t="s">
        <v>2</v>
      </c>
      <c r="D848" s="4"/>
      <c r="E848" s="12" t="s">
        <v>1173</v>
      </c>
      <c r="F848" s="4"/>
      <c r="G848" s="4" t="s">
        <v>15</v>
      </c>
      <c r="H848" s="4" t="s">
        <v>1174</v>
      </c>
      <c r="I848" s="4" t="s">
        <v>2</v>
      </c>
      <c r="J848" s="4" t="s">
        <v>2</v>
      </c>
      <c r="L848" s="4"/>
    </row>
    <row r="849" spans="1:12" outlineLevel="2" x14ac:dyDescent="0.2">
      <c r="A849" t="s">
        <v>21</v>
      </c>
      <c r="B849" t="s">
        <v>22</v>
      </c>
      <c r="C849" t="s">
        <v>171</v>
      </c>
      <c r="E849" t="s">
        <v>1684</v>
      </c>
    </row>
    <row r="850" spans="1:12" ht="16" outlineLevel="2" collapsed="1" x14ac:dyDescent="0.2">
      <c r="A850" s="4" t="s">
        <v>21</v>
      </c>
      <c r="B850" s="4" t="s">
        <v>16</v>
      </c>
      <c r="C850" s="4" t="s">
        <v>2</v>
      </c>
      <c r="D850" s="4"/>
      <c r="E850" s="12" t="s">
        <v>1175</v>
      </c>
      <c r="F850" s="4"/>
      <c r="G850" s="4" t="s">
        <v>21</v>
      </c>
      <c r="H850" s="4" t="s">
        <v>1176</v>
      </c>
      <c r="I850" s="4" t="s">
        <v>2</v>
      </c>
      <c r="J850" s="4" t="s">
        <v>2</v>
      </c>
      <c r="L850" s="4"/>
    </row>
  </sheetData>
  <autoFilter ref="B1:B850" xr:uid="{00000000-0001-0000-0500-000000000000}"/>
  <dataValidations count="1">
    <dataValidation type="list" allowBlank="1" sqref="H66:J70 H96:J96 H93:J93 H87:J87 H81:J81 H73:J73 H20:J20 H15:J15 I39:J39 H289:J289 H255:J255 H111:J111 H108:J108 H373:J373 H377:J377 H375:J375 H411:J411 H402:J402 H398:J398 H400:J400 H408:J408 H406:J406 H404:J404 H415:J415 H413:J413 H392:J392 H396:J396 H389:J389 H387:J387 H385:J385 H383:J383 H381:J381 H379:J379 H394:J394 H421:J421 H417:J417 H419:J419 H427:J427 H425:J425 H423:J423 H553:J553 H544:J544 H529:J529 H524:J524 H515:J515 H489:J489 H480:J480 H465:J465 H462:J462 J365 H7:J7 H98:J98 H105:J105 H101:J101 H113:J113 H351:J351 H558:J558 H539:J539 H510:J510 H475:J475 H356:J356 H363:J363 H358 J358 H370:J370 H365 H435:J436" xr:uid="{032D73AD-3934-4148-BD7B-17D4C5DE2500}">
      <formula1>#REF!</formula1>
    </dataValidation>
  </dataValidation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1">
        <x14:dataValidation type="list" allowBlank="1" xr:uid="{E260B507-D329-E94E-AB1C-AF15AA7BA1B6}">
          <x14:formula1>
            <xm:f>Enums!$C$20:$C$22</xm:f>
          </x14:formula1>
          <xm:sqref>H39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482"/>
  <sheetViews>
    <sheetView workbookViewId="0"/>
  </sheetViews>
  <sheetFormatPr baseColWidth="10" defaultColWidth="8.83203125" defaultRowHeight="15" outlineLevelRow="5" x14ac:dyDescent="0.2"/>
  <cols>
    <col min="1" max="1" width="20" customWidth="1"/>
    <col min="2" max="2" width="32.1640625" customWidth="1"/>
    <col min="3" max="3" width="20.1640625" customWidth="1"/>
    <col min="4" max="4" width="12.83203125" customWidth="1"/>
    <col min="5" max="5" width="64.1640625" customWidth="1"/>
    <col min="6" max="6" width="30" customWidth="1"/>
    <col min="7" max="10" width="50" customWidth="1"/>
    <col min="12" max="12" width="20" customWidth="1"/>
  </cols>
  <sheetData>
    <row r="1" spans="1:12" ht="19" x14ac:dyDescent="0.25">
      <c r="A1" s="40" t="s">
        <v>77</v>
      </c>
      <c r="B1" s="40"/>
      <c r="C1" s="40"/>
      <c r="D1" s="40"/>
      <c r="E1" s="40"/>
      <c r="F1" s="40"/>
      <c r="G1" s="40"/>
      <c r="H1" s="40"/>
      <c r="I1" s="40"/>
      <c r="J1" s="40"/>
      <c r="L1" s="40"/>
    </row>
    <row r="2" spans="1:12" ht="19" x14ac:dyDescent="0.25">
      <c r="A2" s="1" t="s">
        <v>1</v>
      </c>
      <c r="B2" s="41" t="s">
        <v>2</v>
      </c>
      <c r="C2" s="41"/>
      <c r="D2" s="41"/>
      <c r="E2" s="41"/>
      <c r="F2" s="41"/>
      <c r="G2" s="41"/>
      <c r="H2" s="41"/>
      <c r="I2" s="41"/>
      <c r="J2" s="41"/>
      <c r="L2" s="1"/>
    </row>
    <row r="3" spans="1:12" ht="19" x14ac:dyDescent="0.25">
      <c r="A3" s="1" t="s">
        <v>3</v>
      </c>
      <c r="B3" s="41" t="s">
        <v>4</v>
      </c>
      <c r="C3" s="41"/>
      <c r="D3" s="41"/>
      <c r="E3" s="41"/>
      <c r="F3" s="41"/>
      <c r="G3" s="41"/>
      <c r="H3" s="41"/>
      <c r="I3" s="41"/>
      <c r="J3" s="41"/>
      <c r="L3" s="1"/>
    </row>
    <row r="4" spans="1:12" ht="20" customHeight="1" x14ac:dyDescent="0.25">
      <c r="A4" s="2" t="s">
        <v>5</v>
      </c>
      <c r="B4" s="2" t="s">
        <v>6</v>
      </c>
      <c r="C4" s="2" t="s">
        <v>7</v>
      </c>
      <c r="D4" s="2" t="s">
        <v>8</v>
      </c>
      <c r="E4" s="2" t="s">
        <v>1</v>
      </c>
      <c r="F4" s="2" t="s">
        <v>10</v>
      </c>
      <c r="G4" s="2" t="s">
        <v>11</v>
      </c>
      <c r="H4" s="2" t="s">
        <v>12</v>
      </c>
      <c r="I4" s="2" t="s">
        <v>13</v>
      </c>
      <c r="J4" s="2" t="s">
        <v>14</v>
      </c>
      <c r="L4" s="2" t="s">
        <v>2240</v>
      </c>
    </row>
    <row r="5" spans="1:12" ht="16" x14ac:dyDescent="0.2">
      <c r="A5" s="3" t="s">
        <v>21</v>
      </c>
      <c r="B5" s="3" t="s">
        <v>16</v>
      </c>
      <c r="C5" s="3" t="s">
        <v>2</v>
      </c>
      <c r="D5" s="3"/>
      <c r="E5" s="3" t="s">
        <v>78</v>
      </c>
      <c r="F5" s="3" t="s">
        <v>15</v>
      </c>
      <c r="G5" s="3" t="s">
        <v>19</v>
      </c>
      <c r="H5" s="3" t="s">
        <v>2</v>
      </c>
      <c r="I5" s="3" t="s">
        <v>2</v>
      </c>
      <c r="J5" s="3" t="s">
        <v>79</v>
      </c>
      <c r="L5" s="3"/>
    </row>
    <row r="6" spans="1:12" ht="16" x14ac:dyDescent="0.2">
      <c r="A6" s="3" t="s">
        <v>21</v>
      </c>
      <c r="B6" s="3" t="s">
        <v>16</v>
      </c>
      <c r="C6" s="3" t="s">
        <v>2</v>
      </c>
      <c r="D6" s="3"/>
      <c r="E6" s="3" t="s">
        <v>80</v>
      </c>
      <c r="F6" s="3" t="s">
        <v>15</v>
      </c>
      <c r="G6" s="3" t="s">
        <v>19</v>
      </c>
      <c r="H6" s="3" t="s">
        <v>2</v>
      </c>
      <c r="I6" s="3" t="s">
        <v>2</v>
      </c>
      <c r="J6" s="3" t="s">
        <v>81</v>
      </c>
      <c r="L6" s="3"/>
    </row>
    <row r="7" spans="1:12" ht="16" x14ac:dyDescent="0.2">
      <c r="A7" s="3" t="s">
        <v>15</v>
      </c>
      <c r="B7" s="3" t="s">
        <v>22</v>
      </c>
      <c r="C7" t="s">
        <v>1313</v>
      </c>
      <c r="D7" s="3"/>
      <c r="E7" s="3" t="s">
        <v>82</v>
      </c>
      <c r="F7" s="3" t="s">
        <v>15</v>
      </c>
      <c r="G7" s="3" t="s">
        <v>83</v>
      </c>
      <c r="H7" s="3" t="s">
        <v>2</v>
      </c>
      <c r="I7" s="3" t="s">
        <v>2</v>
      </c>
      <c r="J7" s="3" t="s">
        <v>84</v>
      </c>
      <c r="L7" s="3"/>
    </row>
    <row r="8" spans="1:12" ht="16" x14ac:dyDescent="0.2">
      <c r="A8" s="3" t="s">
        <v>15</v>
      </c>
      <c r="B8" t="s">
        <v>1178</v>
      </c>
      <c r="C8" s="3" t="s">
        <v>85</v>
      </c>
      <c r="D8" s="3" t="b">
        <f>EXACT(G7,"VCS v4.4")</f>
        <v>1</v>
      </c>
      <c r="E8" s="3" t="s">
        <v>85</v>
      </c>
      <c r="F8" s="3" t="s">
        <v>15</v>
      </c>
      <c r="G8" s="3" t="s">
        <v>2</v>
      </c>
      <c r="H8" s="3" t="s">
        <v>2</v>
      </c>
      <c r="I8" s="3" t="s">
        <v>2</v>
      </c>
      <c r="J8" s="3" t="s">
        <v>86</v>
      </c>
      <c r="L8" s="3"/>
    </row>
    <row r="9" spans="1:12" ht="16" outlineLevel="1" collapsed="1" x14ac:dyDescent="0.2">
      <c r="A9" s="4" t="s">
        <v>21</v>
      </c>
      <c r="B9" s="4" t="s">
        <v>16</v>
      </c>
      <c r="C9" s="4" t="s">
        <v>2</v>
      </c>
      <c r="D9" s="4"/>
      <c r="E9" s="4" t="s">
        <v>87</v>
      </c>
      <c r="F9" s="4" t="s">
        <v>15</v>
      </c>
      <c r="G9" s="4" t="s">
        <v>87</v>
      </c>
      <c r="H9" s="4" t="s">
        <v>2</v>
      </c>
      <c r="I9" s="4" t="s">
        <v>2</v>
      </c>
      <c r="J9" s="4" t="s">
        <v>88</v>
      </c>
      <c r="L9" s="4"/>
    </row>
    <row r="10" spans="1:12" ht="16" outlineLevel="1" collapsed="1" x14ac:dyDescent="0.2">
      <c r="A10" s="4" t="s">
        <v>21</v>
      </c>
      <c r="B10" s="4" t="s">
        <v>16</v>
      </c>
      <c r="C10" s="4" t="s">
        <v>2</v>
      </c>
      <c r="D10" s="4"/>
      <c r="E10" s="4" t="s">
        <v>89</v>
      </c>
      <c r="F10" s="4" t="s">
        <v>15</v>
      </c>
      <c r="G10" s="4" t="s">
        <v>89</v>
      </c>
      <c r="H10" s="4" t="s">
        <v>2</v>
      </c>
      <c r="I10" s="4" t="s">
        <v>2</v>
      </c>
      <c r="J10" s="4" t="s">
        <v>90</v>
      </c>
      <c r="L10" s="4"/>
    </row>
    <row r="11" spans="1:12" ht="16" outlineLevel="1" collapsed="1" x14ac:dyDescent="0.2">
      <c r="A11" s="4" t="s">
        <v>21</v>
      </c>
      <c r="B11" s="4" t="s">
        <v>16</v>
      </c>
      <c r="C11" s="4" t="s">
        <v>2</v>
      </c>
      <c r="D11" s="4"/>
      <c r="E11" s="4" t="s">
        <v>91</v>
      </c>
      <c r="F11" s="4" t="s">
        <v>15</v>
      </c>
      <c r="G11" s="4" t="s">
        <v>92</v>
      </c>
      <c r="H11" s="4" t="s">
        <v>2</v>
      </c>
      <c r="I11" s="4" t="s">
        <v>2</v>
      </c>
      <c r="J11" s="4" t="s">
        <v>93</v>
      </c>
      <c r="L11" s="4"/>
    </row>
    <row r="12" spans="1:12" ht="16" outlineLevel="1" x14ac:dyDescent="0.2">
      <c r="A12" s="5" t="s">
        <v>21</v>
      </c>
      <c r="B12" t="s">
        <v>1178</v>
      </c>
      <c r="C12" s="5" t="s">
        <v>94</v>
      </c>
      <c r="D12" s="5"/>
      <c r="E12" s="5" t="s">
        <v>94</v>
      </c>
      <c r="F12" s="5" t="s">
        <v>15</v>
      </c>
      <c r="G12" s="5" t="s">
        <v>2</v>
      </c>
      <c r="H12" s="5" t="s">
        <v>2</v>
      </c>
      <c r="I12" s="5" t="s">
        <v>2</v>
      </c>
      <c r="J12" s="5" t="s">
        <v>95</v>
      </c>
      <c r="L12" s="57"/>
    </row>
    <row r="13" spans="1:12" ht="16" outlineLevel="2" collapsed="1" x14ac:dyDescent="0.2">
      <c r="A13" s="4" t="s">
        <v>21</v>
      </c>
      <c r="B13" s="4" t="s">
        <v>96</v>
      </c>
      <c r="C13" s="4" t="s">
        <v>2</v>
      </c>
      <c r="D13" s="4"/>
      <c r="E13" s="4" t="s">
        <v>97</v>
      </c>
      <c r="F13" s="4" t="s">
        <v>15</v>
      </c>
      <c r="G13" s="4" t="s">
        <v>98</v>
      </c>
      <c r="H13" s="4" t="s">
        <v>2</v>
      </c>
      <c r="I13" s="4" t="s">
        <v>2</v>
      </c>
      <c r="J13" s="4" t="s">
        <v>99</v>
      </c>
      <c r="L13" s="4"/>
    </row>
    <row r="14" spans="1:12" ht="16" outlineLevel="2" collapsed="1" x14ac:dyDescent="0.2">
      <c r="A14" s="4" t="s">
        <v>21</v>
      </c>
      <c r="B14" s="4" t="s">
        <v>96</v>
      </c>
      <c r="C14" s="4" t="s">
        <v>2</v>
      </c>
      <c r="D14" s="4"/>
      <c r="E14" s="4" t="s">
        <v>100</v>
      </c>
      <c r="F14" s="4" t="s">
        <v>15</v>
      </c>
      <c r="G14" s="4" t="s">
        <v>98</v>
      </c>
      <c r="H14" s="4" t="s">
        <v>2</v>
      </c>
      <c r="I14" s="4" t="s">
        <v>2</v>
      </c>
      <c r="J14" s="4" t="s">
        <v>101</v>
      </c>
      <c r="L14" s="4"/>
    </row>
    <row r="15" spans="1:12" ht="16" outlineLevel="1" collapsed="1" x14ac:dyDescent="0.2">
      <c r="A15" s="4" t="s">
        <v>21</v>
      </c>
      <c r="B15" s="4" t="s">
        <v>96</v>
      </c>
      <c r="C15" s="4" t="s">
        <v>2</v>
      </c>
      <c r="D15" s="4"/>
      <c r="E15" s="4" t="s">
        <v>102</v>
      </c>
      <c r="F15" s="4" t="s">
        <v>15</v>
      </c>
      <c r="G15" s="4" t="s">
        <v>98</v>
      </c>
      <c r="H15" s="4" t="s">
        <v>2</v>
      </c>
      <c r="I15" s="4" t="s">
        <v>2</v>
      </c>
      <c r="J15" s="4" t="s">
        <v>103</v>
      </c>
      <c r="L15" s="4"/>
    </row>
    <row r="16" spans="1:12" ht="16" outlineLevel="1" collapsed="1" x14ac:dyDescent="0.2">
      <c r="A16" s="4" t="s">
        <v>21</v>
      </c>
      <c r="B16" s="4" t="s">
        <v>96</v>
      </c>
      <c r="C16" s="4" t="s">
        <v>2</v>
      </c>
      <c r="D16" s="4"/>
      <c r="E16" s="4" t="s">
        <v>104</v>
      </c>
      <c r="F16" s="4" t="s">
        <v>15</v>
      </c>
      <c r="G16" s="4" t="s">
        <v>98</v>
      </c>
      <c r="H16" s="4" t="s">
        <v>2</v>
      </c>
      <c r="I16" s="4" t="s">
        <v>2</v>
      </c>
      <c r="J16" s="4" t="s">
        <v>105</v>
      </c>
      <c r="L16" s="4"/>
    </row>
    <row r="17" spans="1:12" ht="16" outlineLevel="1" collapsed="1" x14ac:dyDescent="0.2">
      <c r="A17" s="4" t="s">
        <v>21</v>
      </c>
      <c r="B17" s="4" t="s">
        <v>16</v>
      </c>
      <c r="C17" s="4" t="s">
        <v>2</v>
      </c>
      <c r="D17" s="4"/>
      <c r="E17" s="4" t="s">
        <v>106</v>
      </c>
      <c r="F17" s="4" t="s">
        <v>15</v>
      </c>
      <c r="G17" s="4" t="s">
        <v>107</v>
      </c>
      <c r="H17" s="4" t="s">
        <v>2</v>
      </c>
      <c r="I17" s="4" t="s">
        <v>2</v>
      </c>
      <c r="J17" s="4" t="s">
        <v>108</v>
      </c>
      <c r="L17" s="4"/>
    </row>
    <row r="18" spans="1:12" ht="16" outlineLevel="1" collapsed="1" x14ac:dyDescent="0.2">
      <c r="A18" s="4" t="s">
        <v>21</v>
      </c>
      <c r="B18" s="4" t="s">
        <v>16</v>
      </c>
      <c r="C18" s="4" t="s">
        <v>2</v>
      </c>
      <c r="D18" s="4"/>
      <c r="E18" s="4" t="s">
        <v>109</v>
      </c>
      <c r="F18" s="4" t="s">
        <v>15</v>
      </c>
      <c r="G18" s="4" t="s">
        <v>110</v>
      </c>
      <c r="H18" s="4" t="s">
        <v>2</v>
      </c>
      <c r="I18" s="4" t="s">
        <v>2</v>
      </c>
      <c r="J18" s="4" t="s">
        <v>111</v>
      </c>
      <c r="L18" s="4"/>
    </row>
    <row r="19" spans="1:12" ht="16" outlineLevel="1" collapsed="1" x14ac:dyDescent="0.2">
      <c r="A19" s="4" t="s">
        <v>21</v>
      </c>
      <c r="B19" s="4" t="s">
        <v>16</v>
      </c>
      <c r="C19" s="4" t="s">
        <v>2</v>
      </c>
      <c r="D19" s="4"/>
      <c r="E19" s="4" t="s">
        <v>112</v>
      </c>
      <c r="F19" s="4" t="s">
        <v>15</v>
      </c>
      <c r="G19" s="4" t="s">
        <v>113</v>
      </c>
      <c r="H19" s="4" t="s">
        <v>2</v>
      </c>
      <c r="I19" s="4" t="s">
        <v>2</v>
      </c>
      <c r="J19" s="4" t="s">
        <v>114</v>
      </c>
      <c r="L19" s="4"/>
    </row>
    <row r="20" spans="1:12" ht="16" outlineLevel="1" collapsed="1" x14ac:dyDescent="0.2">
      <c r="A20" s="4" t="s">
        <v>15</v>
      </c>
      <c r="B20" s="4" t="s">
        <v>25</v>
      </c>
      <c r="C20" s="4" t="s">
        <v>2</v>
      </c>
      <c r="D20" s="4"/>
      <c r="E20" s="4" t="s">
        <v>115</v>
      </c>
      <c r="F20" s="4" t="s">
        <v>15</v>
      </c>
      <c r="G20" s="4" t="s">
        <v>2</v>
      </c>
      <c r="H20" s="4" t="s">
        <v>2</v>
      </c>
      <c r="I20" s="4" t="s">
        <v>2</v>
      </c>
      <c r="J20" s="4" t="s">
        <v>116</v>
      </c>
      <c r="L20" s="4"/>
    </row>
    <row r="21" spans="1:12" ht="32" outlineLevel="1" collapsed="1" x14ac:dyDescent="0.2">
      <c r="A21" s="4" t="s">
        <v>21</v>
      </c>
      <c r="B21" s="4" t="s">
        <v>16</v>
      </c>
      <c r="C21" s="4" t="s">
        <v>2</v>
      </c>
      <c r="D21" s="4"/>
      <c r="E21" s="4" t="s">
        <v>117</v>
      </c>
      <c r="F21" s="4" t="s">
        <v>15</v>
      </c>
      <c r="G21" s="4" t="s">
        <v>118</v>
      </c>
      <c r="H21" s="4" t="s">
        <v>2</v>
      </c>
      <c r="I21" s="4" t="s">
        <v>2</v>
      </c>
      <c r="J21" s="4" t="s">
        <v>119</v>
      </c>
      <c r="L21" s="4"/>
    </row>
    <row r="22" spans="1:12" ht="32" outlineLevel="1" x14ac:dyDescent="0.2">
      <c r="A22" s="5" t="s">
        <v>15</v>
      </c>
      <c r="B22" t="s">
        <v>1178</v>
      </c>
      <c r="C22" s="5" t="s">
        <v>120</v>
      </c>
      <c r="D22" s="5"/>
      <c r="E22" s="5" t="s">
        <v>120</v>
      </c>
      <c r="F22" s="5" t="s">
        <v>21</v>
      </c>
      <c r="G22" s="5" t="s">
        <v>2</v>
      </c>
      <c r="H22" s="5" t="s">
        <v>2</v>
      </c>
      <c r="I22" s="5" t="s">
        <v>2</v>
      </c>
      <c r="J22" s="5" t="s">
        <v>121</v>
      </c>
      <c r="L22" s="57"/>
    </row>
    <row r="23" spans="1:12" ht="16" outlineLevel="2" collapsed="1" x14ac:dyDescent="0.2">
      <c r="A23" s="4" t="s">
        <v>21</v>
      </c>
      <c r="B23" s="4" t="s">
        <v>22</v>
      </c>
      <c r="C23" t="s">
        <v>1321</v>
      </c>
      <c r="D23" s="4"/>
      <c r="E23" s="4" t="s">
        <v>122</v>
      </c>
      <c r="F23" s="4" t="s">
        <v>15</v>
      </c>
      <c r="G23" s="4" t="s">
        <v>123</v>
      </c>
      <c r="H23" s="4" t="s">
        <v>2</v>
      </c>
      <c r="I23" s="4" t="s">
        <v>2</v>
      </c>
      <c r="J23" s="4" t="s">
        <v>124</v>
      </c>
      <c r="L23" s="4"/>
    </row>
    <row r="24" spans="1:12" ht="16" outlineLevel="2" collapsed="1" x14ac:dyDescent="0.2">
      <c r="A24" s="4" t="s">
        <v>21</v>
      </c>
      <c r="B24" s="4" t="s">
        <v>96</v>
      </c>
      <c r="C24" s="4" t="s">
        <v>2</v>
      </c>
      <c r="D24" s="4"/>
      <c r="E24" s="4" t="s">
        <v>125</v>
      </c>
      <c r="F24" s="4" t="s">
        <v>15</v>
      </c>
      <c r="G24" s="4" t="s">
        <v>98</v>
      </c>
      <c r="H24" s="4" t="s">
        <v>2</v>
      </c>
      <c r="I24" s="4" t="s">
        <v>2</v>
      </c>
      <c r="J24" s="4" t="s">
        <v>126</v>
      </c>
      <c r="L24" s="4"/>
    </row>
    <row r="25" spans="1:12" ht="16" outlineLevel="2" collapsed="1" x14ac:dyDescent="0.2">
      <c r="A25" s="4" t="s">
        <v>21</v>
      </c>
      <c r="B25" s="4" t="s">
        <v>96</v>
      </c>
      <c r="C25" s="4" t="s">
        <v>2</v>
      </c>
      <c r="D25" s="4"/>
      <c r="E25" s="4" t="s">
        <v>127</v>
      </c>
      <c r="F25" s="4" t="s">
        <v>15</v>
      </c>
      <c r="G25" s="4" t="s">
        <v>98</v>
      </c>
      <c r="H25" s="4" t="s">
        <v>2</v>
      </c>
      <c r="I25" s="4" t="s">
        <v>2</v>
      </c>
      <c r="J25" s="4" t="s">
        <v>128</v>
      </c>
      <c r="L25" s="4"/>
    </row>
    <row r="26" spans="1:12" ht="16" outlineLevel="2" collapsed="1" x14ac:dyDescent="0.2">
      <c r="A26" s="4" t="s">
        <v>21</v>
      </c>
      <c r="B26" s="4" t="s">
        <v>22</v>
      </c>
      <c r="C26" t="s">
        <v>1322</v>
      </c>
      <c r="D26" s="4"/>
      <c r="E26" s="4"/>
      <c r="F26" s="4" t="s">
        <v>15</v>
      </c>
      <c r="G26" s="4" t="s">
        <v>130</v>
      </c>
      <c r="H26" s="4" t="s">
        <v>2</v>
      </c>
      <c r="I26" s="4" t="s">
        <v>2</v>
      </c>
      <c r="J26" s="4" t="s">
        <v>131</v>
      </c>
      <c r="L26" s="4"/>
    </row>
    <row r="27" spans="1:12" ht="16" outlineLevel="2" collapsed="1" x14ac:dyDescent="0.2">
      <c r="A27" s="4" t="s">
        <v>21</v>
      </c>
      <c r="B27" s="4" t="s">
        <v>16</v>
      </c>
      <c r="C27" s="4" t="s">
        <v>2</v>
      </c>
      <c r="D27" s="4"/>
      <c r="E27" s="4" t="s">
        <v>132</v>
      </c>
      <c r="F27" s="4" t="s">
        <v>15</v>
      </c>
      <c r="G27" s="4" t="s">
        <v>133</v>
      </c>
      <c r="H27" s="4" t="s">
        <v>2</v>
      </c>
      <c r="I27" s="4" t="s">
        <v>2</v>
      </c>
      <c r="J27" s="4" t="s">
        <v>134</v>
      </c>
      <c r="L27" s="4"/>
    </row>
    <row r="28" spans="1:12" ht="16" outlineLevel="2" collapsed="1" x14ac:dyDescent="0.2">
      <c r="A28" s="4" t="s">
        <v>21</v>
      </c>
      <c r="B28" s="4" t="s">
        <v>16</v>
      </c>
      <c r="C28" s="4" t="s">
        <v>2</v>
      </c>
      <c r="D28" s="4"/>
      <c r="E28" s="4" t="s">
        <v>135</v>
      </c>
      <c r="F28" s="4" t="s">
        <v>15</v>
      </c>
      <c r="G28" s="4" t="s">
        <v>136</v>
      </c>
      <c r="H28" s="4" t="s">
        <v>2</v>
      </c>
      <c r="I28" s="4" t="s">
        <v>2</v>
      </c>
      <c r="J28" s="4" t="s">
        <v>137</v>
      </c>
      <c r="L28" s="4"/>
    </row>
    <row r="29" spans="1:12" ht="16" outlineLevel="2" collapsed="1" x14ac:dyDescent="0.2">
      <c r="A29" s="4" t="s">
        <v>21</v>
      </c>
      <c r="B29" s="4" t="s">
        <v>138</v>
      </c>
      <c r="C29" s="4" t="s">
        <v>2</v>
      </c>
      <c r="D29" s="4"/>
      <c r="E29" s="4" t="s">
        <v>139</v>
      </c>
      <c r="F29" s="4" t="s">
        <v>15</v>
      </c>
      <c r="G29" s="4">
        <v>1</v>
      </c>
      <c r="H29" s="4" t="s">
        <v>2</v>
      </c>
      <c r="I29" s="4" t="s">
        <v>2</v>
      </c>
      <c r="J29" s="4" t="s">
        <v>140</v>
      </c>
      <c r="L29" s="4"/>
    </row>
    <row r="30" spans="1:12" ht="16" outlineLevel="1" collapsed="1" x14ac:dyDescent="0.2">
      <c r="A30" s="4" t="s">
        <v>15</v>
      </c>
      <c r="B30" s="4" t="s">
        <v>25</v>
      </c>
      <c r="C30" s="4" t="s">
        <v>2</v>
      </c>
      <c r="D30" s="4"/>
      <c r="E30" s="4" t="s">
        <v>141</v>
      </c>
      <c r="F30" s="4" t="s">
        <v>15</v>
      </c>
      <c r="G30" s="4" t="s">
        <v>2</v>
      </c>
      <c r="H30" s="4" t="s">
        <v>2</v>
      </c>
      <c r="I30" s="4" t="s">
        <v>2</v>
      </c>
      <c r="J30" s="4" t="s">
        <v>142</v>
      </c>
      <c r="L30" s="4"/>
    </row>
    <row r="31" spans="1:12" ht="16" outlineLevel="1" collapsed="1" x14ac:dyDescent="0.2">
      <c r="A31" s="4" t="s">
        <v>21</v>
      </c>
      <c r="B31" s="4" t="s">
        <v>16</v>
      </c>
      <c r="C31" s="4" t="s">
        <v>2</v>
      </c>
      <c r="D31" s="4"/>
      <c r="E31" s="4" t="s">
        <v>143</v>
      </c>
      <c r="F31" s="4" t="s">
        <v>15</v>
      </c>
      <c r="G31" s="4" t="s">
        <v>144</v>
      </c>
      <c r="H31" s="4" t="s">
        <v>2</v>
      </c>
      <c r="I31" s="4" t="s">
        <v>2</v>
      </c>
      <c r="J31" s="4" t="s">
        <v>145</v>
      </c>
      <c r="L31" s="4"/>
    </row>
    <row r="32" spans="1:12" ht="16" outlineLevel="1" collapsed="1" x14ac:dyDescent="0.2">
      <c r="A32" s="4" t="s">
        <v>21</v>
      </c>
      <c r="B32" s="4" t="s">
        <v>16</v>
      </c>
      <c r="C32" s="4" t="s">
        <v>2</v>
      </c>
      <c r="D32" s="4"/>
      <c r="E32" s="4" t="s">
        <v>146</v>
      </c>
      <c r="F32" s="4" t="s">
        <v>15</v>
      </c>
      <c r="G32" s="4" t="s">
        <v>147</v>
      </c>
      <c r="H32" s="4" t="s">
        <v>2</v>
      </c>
      <c r="I32" s="4" t="s">
        <v>2</v>
      </c>
      <c r="J32" s="4" t="s">
        <v>148</v>
      </c>
      <c r="L32" s="4"/>
    </row>
    <row r="33" spans="1:12" ht="16" outlineLevel="1" collapsed="1" x14ac:dyDescent="0.2">
      <c r="A33" s="4" t="s">
        <v>21</v>
      </c>
      <c r="B33" s="4" t="s">
        <v>16</v>
      </c>
      <c r="C33" s="4" t="s">
        <v>2</v>
      </c>
      <c r="D33" s="4"/>
      <c r="E33" s="4" t="s">
        <v>149</v>
      </c>
      <c r="F33" s="4" t="s">
        <v>21</v>
      </c>
      <c r="G33" s="4" t="s">
        <v>150</v>
      </c>
      <c r="H33" s="4" t="s">
        <v>2</v>
      </c>
      <c r="I33" s="4" t="s">
        <v>2</v>
      </c>
      <c r="J33" s="4" t="s">
        <v>151</v>
      </c>
      <c r="L33" s="4"/>
    </row>
    <row r="34" spans="1:12" ht="32" outlineLevel="1" x14ac:dyDescent="0.2">
      <c r="A34" s="5" t="s">
        <v>21</v>
      </c>
      <c r="B34" t="s">
        <v>1178</v>
      </c>
      <c r="C34" s="5" t="s">
        <v>152</v>
      </c>
      <c r="D34" s="5"/>
      <c r="E34" s="5" t="s">
        <v>152</v>
      </c>
      <c r="F34" s="5" t="s">
        <v>21</v>
      </c>
      <c r="G34" s="5" t="s">
        <v>2</v>
      </c>
      <c r="H34" s="5" t="s">
        <v>2</v>
      </c>
      <c r="I34" s="5" t="s">
        <v>2</v>
      </c>
      <c r="J34" s="5" t="s">
        <v>153</v>
      </c>
      <c r="L34" s="57"/>
    </row>
    <row r="35" spans="1:12" ht="16" outlineLevel="2" collapsed="1" x14ac:dyDescent="0.2">
      <c r="A35" s="4" t="s">
        <v>21</v>
      </c>
      <c r="B35" s="4" t="s">
        <v>16</v>
      </c>
      <c r="C35" s="4" t="s">
        <v>2</v>
      </c>
      <c r="D35" s="4"/>
      <c r="E35" s="4" t="s">
        <v>154</v>
      </c>
      <c r="F35" s="4" t="s">
        <v>15</v>
      </c>
      <c r="G35" s="4" t="s">
        <v>155</v>
      </c>
      <c r="H35" s="4" t="s">
        <v>2</v>
      </c>
      <c r="I35" s="4" t="s">
        <v>2</v>
      </c>
      <c r="J35" s="4" t="s">
        <v>156</v>
      </c>
      <c r="L35" s="4"/>
    </row>
    <row r="36" spans="1:12" ht="16" outlineLevel="2" collapsed="1" x14ac:dyDescent="0.2">
      <c r="A36" s="4" t="s">
        <v>21</v>
      </c>
      <c r="B36" s="4" t="s">
        <v>16</v>
      </c>
      <c r="C36" s="4" t="s">
        <v>2</v>
      </c>
      <c r="D36" s="4"/>
      <c r="E36" s="4" t="s">
        <v>157</v>
      </c>
      <c r="F36" s="4" t="s">
        <v>15</v>
      </c>
      <c r="G36" s="4" t="s">
        <v>158</v>
      </c>
      <c r="H36" s="4" t="s">
        <v>2</v>
      </c>
      <c r="I36" s="4" t="s">
        <v>2</v>
      </c>
      <c r="J36" s="4" t="s">
        <v>159</v>
      </c>
      <c r="L36" s="4"/>
    </row>
    <row r="37" spans="1:12" ht="16" outlineLevel="2" collapsed="1" x14ac:dyDescent="0.2">
      <c r="A37" s="4" t="s">
        <v>21</v>
      </c>
      <c r="B37" s="4" t="s">
        <v>16</v>
      </c>
      <c r="C37" s="4" t="s">
        <v>2</v>
      </c>
      <c r="D37" s="4"/>
      <c r="E37" s="4" t="s">
        <v>160</v>
      </c>
      <c r="F37" s="4" t="s">
        <v>15</v>
      </c>
      <c r="G37" s="4" t="s">
        <v>161</v>
      </c>
      <c r="H37" s="4" t="s">
        <v>2</v>
      </c>
      <c r="I37" s="4" t="s">
        <v>2</v>
      </c>
      <c r="J37" s="4" t="s">
        <v>162</v>
      </c>
      <c r="L37" s="4"/>
    </row>
    <row r="38" spans="1:12" ht="16" outlineLevel="2" collapsed="1" x14ac:dyDescent="0.2">
      <c r="A38" s="4" t="s">
        <v>21</v>
      </c>
      <c r="B38" s="4" t="s">
        <v>16</v>
      </c>
      <c r="C38" s="4" t="s">
        <v>2</v>
      </c>
      <c r="D38" s="4"/>
      <c r="E38" s="4" t="s">
        <v>163</v>
      </c>
      <c r="F38" s="4" t="s">
        <v>15</v>
      </c>
      <c r="G38" s="4" t="s">
        <v>164</v>
      </c>
      <c r="H38" s="4" t="s">
        <v>2</v>
      </c>
      <c r="I38" s="4" t="s">
        <v>2</v>
      </c>
      <c r="J38" s="4" t="s">
        <v>165</v>
      </c>
      <c r="L38" s="4"/>
    </row>
    <row r="39" spans="1:12" ht="16" outlineLevel="2" collapsed="1" x14ac:dyDescent="0.2">
      <c r="A39" s="4" t="s">
        <v>21</v>
      </c>
      <c r="B39" s="4" t="s">
        <v>16</v>
      </c>
      <c r="C39" s="4" t="s">
        <v>2</v>
      </c>
      <c r="D39" s="4"/>
      <c r="E39" s="4" t="s">
        <v>166</v>
      </c>
      <c r="F39" s="4" t="s">
        <v>15</v>
      </c>
      <c r="G39" s="4" t="s">
        <v>167</v>
      </c>
      <c r="H39" s="4" t="s">
        <v>2</v>
      </c>
      <c r="I39" s="4" t="s">
        <v>2</v>
      </c>
      <c r="J39" s="4" t="s">
        <v>168</v>
      </c>
      <c r="L39" s="4"/>
    </row>
    <row r="40" spans="1:12" ht="16" outlineLevel="2" collapsed="1" x14ac:dyDescent="0.2">
      <c r="A40" s="4" t="s">
        <v>21</v>
      </c>
      <c r="B40" s="4" t="s">
        <v>16</v>
      </c>
      <c r="C40" s="4" t="s">
        <v>2</v>
      </c>
      <c r="D40" s="4"/>
      <c r="E40" s="4" t="s">
        <v>44</v>
      </c>
      <c r="F40" s="4" t="s">
        <v>15</v>
      </c>
      <c r="G40" s="4" t="s">
        <v>169</v>
      </c>
      <c r="H40" s="4" t="s">
        <v>2</v>
      </c>
      <c r="I40" s="4" t="s">
        <v>2</v>
      </c>
      <c r="J40" s="4" t="s">
        <v>170</v>
      </c>
      <c r="L40" s="4"/>
    </row>
    <row r="41" spans="1:12" ht="16" outlineLevel="2" collapsed="1" x14ac:dyDescent="0.2">
      <c r="A41" s="4" t="s">
        <v>21</v>
      </c>
      <c r="B41" s="4" t="s">
        <v>171</v>
      </c>
      <c r="C41" s="4" t="s">
        <v>2</v>
      </c>
      <c r="D41" s="4"/>
      <c r="E41" s="4" t="s">
        <v>172</v>
      </c>
      <c r="F41" s="4" t="s">
        <v>15</v>
      </c>
      <c r="G41" s="4" t="b">
        <v>1</v>
      </c>
      <c r="H41" s="4" t="s">
        <v>2</v>
      </c>
      <c r="I41" s="4" t="s">
        <v>2</v>
      </c>
      <c r="J41" s="4" t="s">
        <v>173</v>
      </c>
      <c r="L41" s="4"/>
    </row>
    <row r="42" spans="1:12" ht="16" outlineLevel="2" collapsed="1" x14ac:dyDescent="0.2">
      <c r="A42" s="4" t="s">
        <v>15</v>
      </c>
      <c r="B42" s="4" t="s">
        <v>25</v>
      </c>
      <c r="C42" s="4" t="s">
        <v>2</v>
      </c>
      <c r="D42" s="4"/>
      <c r="E42" s="4" t="s">
        <v>174</v>
      </c>
      <c r="F42" s="4" t="s">
        <v>15</v>
      </c>
      <c r="G42" s="4" t="s">
        <v>2</v>
      </c>
      <c r="H42" s="4" t="s">
        <v>2</v>
      </c>
      <c r="I42" s="4" t="s">
        <v>2</v>
      </c>
      <c r="J42" s="4" t="s">
        <v>37</v>
      </c>
      <c r="L42" s="4"/>
    </row>
    <row r="43" spans="1:12" ht="32" outlineLevel="1" x14ac:dyDescent="0.2">
      <c r="A43" s="5" t="s">
        <v>15</v>
      </c>
      <c r="B43" t="s">
        <v>1178</v>
      </c>
      <c r="C43" s="5" t="s">
        <v>175</v>
      </c>
      <c r="D43" s="5"/>
      <c r="E43" s="5" t="s">
        <v>175</v>
      </c>
      <c r="F43" s="5" t="s">
        <v>21</v>
      </c>
      <c r="G43" s="5" t="s">
        <v>2</v>
      </c>
      <c r="H43" s="5" t="s">
        <v>2</v>
      </c>
      <c r="I43" s="5" t="s">
        <v>2</v>
      </c>
      <c r="J43" s="5" t="s">
        <v>176</v>
      </c>
      <c r="L43" s="57"/>
    </row>
    <row r="44" spans="1:12" ht="16" outlineLevel="2" collapsed="1" x14ac:dyDescent="0.2">
      <c r="A44" s="4" t="s">
        <v>21</v>
      </c>
      <c r="B44" s="4" t="s">
        <v>16</v>
      </c>
      <c r="C44" s="4" t="s">
        <v>2</v>
      </c>
      <c r="D44" s="4"/>
      <c r="E44" s="4" t="s">
        <v>154</v>
      </c>
      <c r="F44" s="4" t="s">
        <v>15</v>
      </c>
      <c r="G44" s="4" t="s">
        <v>154</v>
      </c>
      <c r="H44" s="4" t="s">
        <v>2</v>
      </c>
      <c r="I44" s="4" t="s">
        <v>2</v>
      </c>
      <c r="J44" s="4" t="s">
        <v>156</v>
      </c>
      <c r="L44" s="4"/>
    </row>
    <row r="45" spans="1:12" ht="16" outlineLevel="2" collapsed="1" x14ac:dyDescent="0.2">
      <c r="A45" s="4" t="s">
        <v>21</v>
      </c>
      <c r="B45" s="4" t="s">
        <v>16</v>
      </c>
      <c r="C45" s="4" t="s">
        <v>2</v>
      </c>
      <c r="D45" s="4"/>
      <c r="E45" s="4" t="s">
        <v>157</v>
      </c>
      <c r="F45" s="4" t="s">
        <v>15</v>
      </c>
      <c r="G45" s="4" t="s">
        <v>157</v>
      </c>
      <c r="H45" s="4" t="s">
        <v>2</v>
      </c>
      <c r="I45" s="4" t="s">
        <v>2</v>
      </c>
      <c r="J45" s="4" t="s">
        <v>159</v>
      </c>
      <c r="L45" s="4"/>
    </row>
    <row r="46" spans="1:12" ht="16" outlineLevel="2" collapsed="1" x14ac:dyDescent="0.2">
      <c r="A46" s="4" t="s">
        <v>21</v>
      </c>
      <c r="B46" s="4" t="s">
        <v>16</v>
      </c>
      <c r="C46" s="4" t="s">
        <v>2</v>
      </c>
      <c r="D46" s="4"/>
      <c r="E46" s="4" t="s">
        <v>163</v>
      </c>
      <c r="F46" s="4" t="s">
        <v>15</v>
      </c>
      <c r="G46" s="4" t="s">
        <v>163</v>
      </c>
      <c r="H46" s="4" t="s">
        <v>2</v>
      </c>
      <c r="I46" s="4" t="s">
        <v>2</v>
      </c>
      <c r="J46" s="4" t="s">
        <v>165</v>
      </c>
      <c r="L46" s="4"/>
    </row>
    <row r="47" spans="1:12" ht="16" outlineLevel="2" collapsed="1" x14ac:dyDescent="0.2">
      <c r="A47" s="4" t="s">
        <v>21</v>
      </c>
      <c r="B47" s="4" t="s">
        <v>16</v>
      </c>
      <c r="C47" s="4" t="s">
        <v>2</v>
      </c>
      <c r="D47" s="4"/>
      <c r="E47" s="4" t="s">
        <v>160</v>
      </c>
      <c r="F47" s="4" t="s">
        <v>15</v>
      </c>
      <c r="G47" s="4" t="s">
        <v>160</v>
      </c>
      <c r="H47" s="4" t="s">
        <v>2</v>
      </c>
      <c r="I47" s="4" t="s">
        <v>2</v>
      </c>
      <c r="J47" s="4" t="s">
        <v>162</v>
      </c>
      <c r="L47" s="4"/>
    </row>
    <row r="48" spans="1:12" ht="16" outlineLevel="2" collapsed="1" x14ac:dyDescent="0.2">
      <c r="A48" s="4" t="s">
        <v>21</v>
      </c>
      <c r="B48" s="4" t="s">
        <v>16</v>
      </c>
      <c r="C48" s="4" t="s">
        <v>2</v>
      </c>
      <c r="D48" s="4"/>
      <c r="E48" s="4" t="s">
        <v>166</v>
      </c>
      <c r="F48" s="4" t="s">
        <v>15</v>
      </c>
      <c r="G48" s="4" t="s">
        <v>166</v>
      </c>
      <c r="H48" s="4" t="s">
        <v>2</v>
      </c>
      <c r="I48" s="4" t="s">
        <v>2</v>
      </c>
      <c r="J48" s="4" t="s">
        <v>168</v>
      </c>
      <c r="L48" s="4"/>
    </row>
    <row r="49" spans="1:12" ht="16" outlineLevel="2" collapsed="1" x14ac:dyDescent="0.2">
      <c r="A49" s="4" t="s">
        <v>21</v>
      </c>
      <c r="B49" s="4" t="s">
        <v>44</v>
      </c>
      <c r="C49" s="4" t="s">
        <v>2</v>
      </c>
      <c r="D49" s="4"/>
      <c r="E49" s="4" t="s">
        <v>44</v>
      </c>
      <c r="F49" s="4" t="s">
        <v>15</v>
      </c>
      <c r="G49" s="4" t="s">
        <v>177</v>
      </c>
      <c r="H49" s="4" t="s">
        <v>2</v>
      </c>
      <c r="I49" s="4" t="s">
        <v>2</v>
      </c>
      <c r="J49" s="4" t="s">
        <v>170</v>
      </c>
      <c r="L49" s="4"/>
    </row>
    <row r="50" spans="1:12" ht="16" outlineLevel="2" collapsed="1" x14ac:dyDescent="0.2">
      <c r="A50" s="4" t="s">
        <v>21</v>
      </c>
      <c r="B50" s="4" t="s">
        <v>16</v>
      </c>
      <c r="C50" s="4" t="s">
        <v>2</v>
      </c>
      <c r="D50" s="4"/>
      <c r="E50" s="4" t="s">
        <v>178</v>
      </c>
      <c r="F50" s="4" t="s">
        <v>15</v>
      </c>
      <c r="G50" s="4" t="s">
        <v>178</v>
      </c>
      <c r="H50" s="4" t="s">
        <v>2</v>
      </c>
      <c r="I50" s="4" t="s">
        <v>2</v>
      </c>
      <c r="J50" s="4" t="s">
        <v>179</v>
      </c>
      <c r="L50" s="4"/>
    </row>
    <row r="51" spans="1:12" ht="16" outlineLevel="2" collapsed="1" x14ac:dyDescent="0.2">
      <c r="A51" s="4" t="s">
        <v>21</v>
      </c>
      <c r="B51" s="4" t="s">
        <v>171</v>
      </c>
      <c r="C51" s="4" t="s">
        <v>2</v>
      </c>
      <c r="D51" s="4"/>
      <c r="E51" s="4" t="s">
        <v>172</v>
      </c>
      <c r="F51" s="4" t="s">
        <v>15</v>
      </c>
      <c r="G51" s="4" t="b">
        <v>1</v>
      </c>
      <c r="H51" s="4" t="s">
        <v>2</v>
      </c>
      <c r="I51" s="4" t="s">
        <v>2</v>
      </c>
      <c r="J51" s="4" t="s">
        <v>173</v>
      </c>
      <c r="L51" s="4"/>
    </row>
    <row r="52" spans="1:12" ht="32" outlineLevel="1" x14ac:dyDescent="0.2">
      <c r="A52" s="5" t="s">
        <v>21</v>
      </c>
      <c r="B52" t="s">
        <v>1178</v>
      </c>
      <c r="C52" s="5" t="s">
        <v>180</v>
      </c>
      <c r="D52" s="5"/>
      <c r="E52" s="5" t="s">
        <v>180</v>
      </c>
      <c r="F52" s="5" t="s">
        <v>15</v>
      </c>
      <c r="G52" s="5" t="s">
        <v>2</v>
      </c>
      <c r="H52" s="5" t="s">
        <v>2</v>
      </c>
      <c r="I52" s="5" t="s">
        <v>2</v>
      </c>
      <c r="J52" s="5" t="s">
        <v>181</v>
      </c>
      <c r="L52" s="57"/>
    </row>
    <row r="53" spans="1:12" ht="16" outlineLevel="2" collapsed="1" x14ac:dyDescent="0.2">
      <c r="A53" s="4" t="s">
        <v>21</v>
      </c>
      <c r="B53" s="4" t="s">
        <v>96</v>
      </c>
      <c r="C53" s="4" t="s">
        <v>2</v>
      </c>
      <c r="D53" s="4"/>
      <c r="E53" s="4" t="s">
        <v>182</v>
      </c>
      <c r="F53" s="4" t="s">
        <v>15</v>
      </c>
      <c r="G53" s="4" t="s">
        <v>98</v>
      </c>
      <c r="H53" s="4" t="s">
        <v>2</v>
      </c>
      <c r="I53" s="4" t="s">
        <v>2</v>
      </c>
      <c r="J53" s="4" t="s">
        <v>20</v>
      </c>
      <c r="L53" s="4"/>
    </row>
    <row r="54" spans="1:12" ht="16" outlineLevel="2" collapsed="1" x14ac:dyDescent="0.2">
      <c r="A54" s="4" t="s">
        <v>21</v>
      </c>
      <c r="B54" s="4" t="s">
        <v>16</v>
      </c>
      <c r="C54" s="4" t="s">
        <v>2</v>
      </c>
      <c r="D54" s="4"/>
      <c r="E54" s="4" t="s">
        <v>183</v>
      </c>
      <c r="F54" s="4" t="s">
        <v>15</v>
      </c>
      <c r="G54" s="4" t="s">
        <v>184</v>
      </c>
      <c r="H54" s="4" t="s">
        <v>2</v>
      </c>
      <c r="I54" s="4" t="s">
        <v>2</v>
      </c>
      <c r="J54" s="4" t="s">
        <v>24</v>
      </c>
      <c r="L54" s="4"/>
    </row>
    <row r="55" spans="1:12" ht="32" outlineLevel="1" x14ac:dyDescent="0.2">
      <c r="A55" s="5" t="s">
        <v>15</v>
      </c>
      <c r="B55" t="s">
        <v>1178</v>
      </c>
      <c r="C55" s="5" t="s">
        <v>185</v>
      </c>
      <c r="D55" s="5"/>
      <c r="E55" s="5" t="s">
        <v>185</v>
      </c>
      <c r="F55" s="5" t="s">
        <v>15</v>
      </c>
      <c r="G55" s="5" t="s">
        <v>2</v>
      </c>
      <c r="H55" s="5" t="s">
        <v>2</v>
      </c>
      <c r="I55" s="5" t="s">
        <v>2</v>
      </c>
      <c r="J55" s="5" t="s">
        <v>186</v>
      </c>
      <c r="L55" s="57"/>
    </row>
    <row r="56" spans="1:12" ht="16" outlineLevel="2" collapsed="1" x14ac:dyDescent="0.2">
      <c r="A56" s="4" t="s">
        <v>21</v>
      </c>
      <c r="B56" s="4" t="s">
        <v>22</v>
      </c>
      <c r="C56" t="s">
        <v>566</v>
      </c>
      <c r="D56" s="4"/>
      <c r="E56" s="4" t="s">
        <v>187</v>
      </c>
      <c r="F56" s="4" t="s">
        <v>15</v>
      </c>
      <c r="G56" s="4" t="s">
        <v>188</v>
      </c>
      <c r="H56" s="4" t="s">
        <v>2</v>
      </c>
      <c r="I56" s="4" t="s">
        <v>2</v>
      </c>
      <c r="J56" s="4" t="s">
        <v>189</v>
      </c>
      <c r="L56" s="4"/>
    </row>
    <row r="57" spans="1:12" ht="16" outlineLevel="2" collapsed="1" x14ac:dyDescent="0.2">
      <c r="A57" s="4" t="s">
        <v>21</v>
      </c>
      <c r="B57" s="4" t="s">
        <v>96</v>
      </c>
      <c r="C57" s="4" t="s">
        <v>2</v>
      </c>
      <c r="D57" s="4"/>
      <c r="E57" s="4" t="s">
        <v>97</v>
      </c>
      <c r="F57" s="4" t="s">
        <v>15</v>
      </c>
      <c r="G57" s="4" t="s">
        <v>98</v>
      </c>
      <c r="H57" s="4" t="s">
        <v>2</v>
      </c>
      <c r="I57" s="4" t="s">
        <v>2</v>
      </c>
      <c r="J57" s="4" t="s">
        <v>99</v>
      </c>
      <c r="L57" s="4"/>
    </row>
    <row r="58" spans="1:12" ht="16" outlineLevel="2" collapsed="1" x14ac:dyDescent="0.2">
      <c r="A58" s="4" t="s">
        <v>21</v>
      </c>
      <c r="B58" s="4" t="s">
        <v>96</v>
      </c>
      <c r="C58" s="4" t="s">
        <v>2</v>
      </c>
      <c r="D58" s="4"/>
      <c r="E58" s="4" t="s">
        <v>100</v>
      </c>
      <c r="F58" s="4" t="s">
        <v>15</v>
      </c>
      <c r="G58" s="4" t="s">
        <v>98</v>
      </c>
      <c r="H58" s="4" t="s">
        <v>2</v>
      </c>
      <c r="I58" s="4" t="s">
        <v>2</v>
      </c>
      <c r="J58" s="4" t="s">
        <v>101</v>
      </c>
      <c r="L58" s="4"/>
    </row>
    <row r="59" spans="1:12" ht="32" outlineLevel="2" collapsed="1" x14ac:dyDescent="0.2">
      <c r="A59" s="4" t="s">
        <v>21</v>
      </c>
      <c r="B59" s="4" t="s">
        <v>16</v>
      </c>
      <c r="C59" s="4" t="s">
        <v>2</v>
      </c>
      <c r="D59" s="4"/>
      <c r="E59" s="4" t="s">
        <v>183</v>
      </c>
      <c r="F59" s="4" t="s">
        <v>15</v>
      </c>
      <c r="G59" s="4" t="s">
        <v>190</v>
      </c>
      <c r="H59" s="4" t="s">
        <v>2</v>
      </c>
      <c r="I59" s="4" t="s">
        <v>2</v>
      </c>
      <c r="J59" s="4" t="s">
        <v>24</v>
      </c>
      <c r="L59" s="4"/>
    </row>
    <row r="60" spans="1:12" ht="32" outlineLevel="1" x14ac:dyDescent="0.2">
      <c r="A60" s="5" t="s">
        <v>21</v>
      </c>
      <c r="B60" t="s">
        <v>1178</v>
      </c>
      <c r="C60" s="5" t="s">
        <v>191</v>
      </c>
      <c r="D60" s="5"/>
      <c r="E60" s="5" t="s">
        <v>191</v>
      </c>
      <c r="F60" s="5" t="s">
        <v>21</v>
      </c>
      <c r="G60" s="5" t="s">
        <v>2</v>
      </c>
      <c r="H60" s="5" t="s">
        <v>2</v>
      </c>
      <c r="I60" s="5" t="s">
        <v>2</v>
      </c>
      <c r="J60" s="5" t="s">
        <v>192</v>
      </c>
      <c r="L60" s="57"/>
    </row>
    <row r="61" spans="1:12" ht="16" outlineLevel="2" collapsed="1" x14ac:dyDescent="0.2">
      <c r="A61" s="4" t="s">
        <v>21</v>
      </c>
      <c r="B61" s="4" t="s">
        <v>16</v>
      </c>
      <c r="C61" s="4"/>
      <c r="D61" s="4"/>
      <c r="E61" s="4" t="s">
        <v>193</v>
      </c>
      <c r="F61" s="4" t="s">
        <v>15</v>
      </c>
      <c r="G61" s="4" t="s">
        <v>193</v>
      </c>
      <c r="H61" s="4" t="s">
        <v>2</v>
      </c>
      <c r="I61" s="4" t="s">
        <v>2</v>
      </c>
      <c r="J61" s="4" t="s">
        <v>194</v>
      </c>
      <c r="L61" s="4"/>
    </row>
    <row r="62" spans="1:12" ht="16" outlineLevel="2" collapsed="1" x14ac:dyDescent="0.2">
      <c r="A62" s="4" t="s">
        <v>21</v>
      </c>
      <c r="B62" s="4" t="s">
        <v>16</v>
      </c>
      <c r="C62" s="4" t="s">
        <v>2</v>
      </c>
      <c r="D62" s="4"/>
      <c r="E62" s="4" t="s">
        <v>195</v>
      </c>
      <c r="F62" s="4" t="s">
        <v>15</v>
      </c>
      <c r="G62" s="4" t="s">
        <v>196</v>
      </c>
      <c r="H62" s="4" t="s">
        <v>2</v>
      </c>
      <c r="I62" s="4" t="s">
        <v>2</v>
      </c>
      <c r="J62" s="4" t="s">
        <v>197</v>
      </c>
      <c r="L62" s="4"/>
    </row>
    <row r="63" spans="1:12" ht="16" outlineLevel="2" collapsed="1" x14ac:dyDescent="0.2">
      <c r="A63" s="4" t="s">
        <v>21</v>
      </c>
      <c r="B63" s="4" t="s">
        <v>16</v>
      </c>
      <c r="C63" s="4" t="s">
        <v>2</v>
      </c>
      <c r="D63" s="4"/>
      <c r="E63" s="4" t="s">
        <v>198</v>
      </c>
      <c r="F63" s="4" t="s">
        <v>15</v>
      </c>
      <c r="G63" s="4" t="s">
        <v>199</v>
      </c>
      <c r="H63" s="4" t="s">
        <v>2</v>
      </c>
      <c r="I63" s="4" t="s">
        <v>2</v>
      </c>
      <c r="J63" s="4" t="s">
        <v>200</v>
      </c>
      <c r="L63" s="4"/>
    </row>
    <row r="64" spans="1:12" ht="16" outlineLevel="2" collapsed="1" x14ac:dyDescent="0.2">
      <c r="A64" s="4" t="s">
        <v>21</v>
      </c>
      <c r="B64" s="4" t="s">
        <v>16</v>
      </c>
      <c r="C64" s="4" t="s">
        <v>2</v>
      </c>
      <c r="D64" s="4"/>
      <c r="E64" s="4" t="s">
        <v>201</v>
      </c>
      <c r="F64" s="4" t="s">
        <v>15</v>
      </c>
      <c r="G64" s="4" t="s">
        <v>202</v>
      </c>
      <c r="H64" s="4" t="s">
        <v>2</v>
      </c>
      <c r="I64" s="4" t="s">
        <v>2</v>
      </c>
      <c r="J64" s="4" t="s">
        <v>203</v>
      </c>
      <c r="L64" s="4"/>
    </row>
    <row r="65" spans="1:12" ht="16" outlineLevel="2" collapsed="1" x14ac:dyDescent="0.2">
      <c r="A65" s="4" t="s">
        <v>21</v>
      </c>
      <c r="B65" s="4" t="s">
        <v>16</v>
      </c>
      <c r="C65" s="4" t="s">
        <v>2</v>
      </c>
      <c r="D65" s="4"/>
      <c r="E65" s="4" t="s">
        <v>204</v>
      </c>
      <c r="F65" s="4" t="s">
        <v>15</v>
      </c>
      <c r="G65" s="4" t="s">
        <v>194</v>
      </c>
      <c r="H65" s="4" t="s">
        <v>2</v>
      </c>
      <c r="I65" s="4" t="s">
        <v>2</v>
      </c>
      <c r="J65" s="4" t="s">
        <v>205</v>
      </c>
      <c r="L65" s="4"/>
    </row>
    <row r="66" spans="1:12" ht="16" outlineLevel="2" collapsed="1" x14ac:dyDescent="0.2">
      <c r="A66" s="4" t="s">
        <v>21</v>
      </c>
      <c r="B66" s="4" t="s">
        <v>22</v>
      </c>
      <c r="C66" t="s">
        <v>206</v>
      </c>
      <c r="D66" s="4"/>
      <c r="E66" s="4" t="s">
        <v>206</v>
      </c>
      <c r="F66" s="4" t="s">
        <v>15</v>
      </c>
      <c r="G66" s="4" t="s">
        <v>207</v>
      </c>
      <c r="H66" s="4" t="s">
        <v>2</v>
      </c>
      <c r="I66" s="4" t="s">
        <v>2</v>
      </c>
      <c r="J66" s="4" t="s">
        <v>208</v>
      </c>
      <c r="L66" s="4"/>
    </row>
    <row r="67" spans="1:12" ht="16" outlineLevel="2" collapsed="1" x14ac:dyDescent="0.2">
      <c r="A67" s="4" t="s">
        <v>15</v>
      </c>
      <c r="B67" s="4" t="s">
        <v>138</v>
      </c>
      <c r="C67" s="4" t="s">
        <v>2</v>
      </c>
      <c r="D67" s="4" t="b">
        <f>EXACT(G66,"Geodetic Point (Decimal Degrees)")</f>
        <v>1</v>
      </c>
      <c r="E67" s="4" t="s">
        <v>209</v>
      </c>
      <c r="F67" s="4" t="s">
        <v>15</v>
      </c>
      <c r="G67" s="4">
        <v>11</v>
      </c>
      <c r="H67" s="4" t="s">
        <v>2</v>
      </c>
      <c r="I67" s="4" t="s">
        <v>2</v>
      </c>
      <c r="J67" s="4" t="s">
        <v>210</v>
      </c>
      <c r="L67" s="4"/>
    </row>
    <row r="68" spans="1:12" ht="16" outlineLevel="2" collapsed="1" x14ac:dyDescent="0.2">
      <c r="A68" s="4" t="s">
        <v>15</v>
      </c>
      <c r="B68" s="4" t="s">
        <v>138</v>
      </c>
      <c r="C68" s="4" t="s">
        <v>2</v>
      </c>
      <c r="D68" s="4" t="b">
        <f>EXACT(G66,"Geodetic Point (Decimal Degrees)")</f>
        <v>1</v>
      </c>
      <c r="E68" s="4" t="s">
        <v>211</v>
      </c>
      <c r="F68" s="4" t="s">
        <v>15</v>
      </c>
      <c r="G68" s="4">
        <v>11</v>
      </c>
      <c r="H68" s="4" t="s">
        <v>2</v>
      </c>
      <c r="I68" s="4" t="s">
        <v>2</v>
      </c>
      <c r="J68" s="4" t="s">
        <v>212</v>
      </c>
      <c r="L68" s="4"/>
    </row>
    <row r="69" spans="1:12" ht="16" outlineLevel="2" collapsed="1" x14ac:dyDescent="0.2">
      <c r="A69" s="4" t="s">
        <v>15</v>
      </c>
      <c r="B69" s="4" t="s">
        <v>16</v>
      </c>
      <c r="C69" s="4" t="s">
        <v>2</v>
      </c>
      <c r="D69" s="4" t="b">
        <f>EXACT(G66,"Geodetic Point (Degrees Minutes Seconds)")</f>
        <v>0</v>
      </c>
      <c r="E69" s="4" t="s">
        <v>213</v>
      </c>
      <c r="F69" s="4" t="s">
        <v>15</v>
      </c>
      <c r="G69" s="4" t="s">
        <v>214</v>
      </c>
      <c r="H69" s="4" t="s">
        <v>2</v>
      </c>
      <c r="I69" s="4" t="s">
        <v>2</v>
      </c>
      <c r="J69" s="4" t="s">
        <v>215</v>
      </c>
      <c r="L69" s="4"/>
    </row>
    <row r="70" spans="1:12" ht="16" outlineLevel="2" collapsed="1" x14ac:dyDescent="0.2">
      <c r="A70" s="4" t="s">
        <v>15</v>
      </c>
      <c r="B70" s="4" t="s">
        <v>16</v>
      </c>
      <c r="C70" s="4" t="s">
        <v>2</v>
      </c>
      <c r="D70" s="4" t="b">
        <f>EXACT(G66,"Geodetic Point (Degrees Minutes Seconds)")</f>
        <v>0</v>
      </c>
      <c r="E70" s="4" t="s">
        <v>216</v>
      </c>
      <c r="F70" s="4" t="s">
        <v>15</v>
      </c>
      <c r="G70" s="4" t="s">
        <v>214</v>
      </c>
      <c r="H70" s="4" t="s">
        <v>2</v>
      </c>
      <c r="I70" s="4" t="s">
        <v>2</v>
      </c>
      <c r="J70" s="4" t="s">
        <v>217</v>
      </c>
      <c r="L70" s="4"/>
    </row>
    <row r="71" spans="1:12" ht="16" outlineLevel="2" collapsed="1" x14ac:dyDescent="0.2">
      <c r="A71" s="4" t="s">
        <v>21</v>
      </c>
      <c r="B71" s="4" t="s">
        <v>138</v>
      </c>
      <c r="C71" s="4" t="s">
        <v>2</v>
      </c>
      <c r="D71" s="4"/>
      <c r="E71" s="4" t="s">
        <v>218</v>
      </c>
      <c r="F71" s="4" t="s">
        <v>15</v>
      </c>
      <c r="G71" s="4">
        <v>1000</v>
      </c>
      <c r="H71" s="4" t="s">
        <v>2</v>
      </c>
      <c r="I71" s="4" t="s">
        <v>2</v>
      </c>
      <c r="J71" s="4" t="s">
        <v>219</v>
      </c>
      <c r="L71" s="4"/>
    </row>
    <row r="72" spans="1:12" ht="16" outlineLevel="2" collapsed="1" x14ac:dyDescent="0.2">
      <c r="A72" s="4" t="s">
        <v>21</v>
      </c>
      <c r="B72" s="4" t="s">
        <v>22</v>
      </c>
      <c r="C72" t="s">
        <v>1316</v>
      </c>
      <c r="D72" s="4"/>
      <c r="E72" s="4" t="s">
        <v>218</v>
      </c>
      <c r="F72" s="4" t="s">
        <v>15</v>
      </c>
      <c r="G72" s="4" t="s">
        <v>220</v>
      </c>
      <c r="H72" s="4" t="s">
        <v>2</v>
      </c>
      <c r="I72" s="4" t="s">
        <v>2</v>
      </c>
      <c r="J72" s="4" t="s">
        <v>221</v>
      </c>
      <c r="L72" s="4"/>
    </row>
    <row r="73" spans="1:12" ht="16" outlineLevel="1" collapsed="1" x14ac:dyDescent="0.2">
      <c r="A73" s="4" t="s">
        <v>21</v>
      </c>
      <c r="B73" s="4" t="s">
        <v>222</v>
      </c>
      <c r="C73" s="4" t="s">
        <v>2</v>
      </c>
      <c r="D73" s="4"/>
      <c r="E73" s="4" t="s">
        <v>223</v>
      </c>
      <c r="F73" s="4" t="s">
        <v>15</v>
      </c>
      <c r="G73" s="4" t="s">
        <v>224</v>
      </c>
      <c r="H73" s="4" t="s">
        <v>2</v>
      </c>
      <c r="I73" s="4" t="s">
        <v>2</v>
      </c>
      <c r="J73" s="4" t="s">
        <v>225</v>
      </c>
      <c r="L73" s="4"/>
    </row>
    <row r="74" spans="1:12" ht="48" outlineLevel="1" x14ac:dyDescent="0.2">
      <c r="A74" s="5" t="s">
        <v>21</v>
      </c>
      <c r="B74" t="s">
        <v>1178</v>
      </c>
      <c r="C74" s="5" t="s">
        <v>226</v>
      </c>
      <c r="D74" s="5"/>
      <c r="E74" s="5" t="s">
        <v>226</v>
      </c>
      <c r="F74" s="5" t="s">
        <v>21</v>
      </c>
      <c r="G74" s="5" t="s">
        <v>2</v>
      </c>
      <c r="H74" s="5" t="s">
        <v>2</v>
      </c>
      <c r="I74" s="5" t="s">
        <v>2</v>
      </c>
      <c r="J74" s="5" t="s">
        <v>227</v>
      </c>
      <c r="L74" s="57"/>
    </row>
    <row r="75" spans="1:12" ht="16" outlineLevel="2" collapsed="1" x14ac:dyDescent="0.2">
      <c r="A75" s="4" t="s">
        <v>21</v>
      </c>
      <c r="B75" s="4" t="s">
        <v>16</v>
      </c>
      <c r="C75" s="4" t="s">
        <v>2</v>
      </c>
      <c r="D75" s="4"/>
      <c r="E75" s="4" t="s">
        <v>228</v>
      </c>
      <c r="F75" s="4" t="s">
        <v>15</v>
      </c>
      <c r="G75" s="4" t="s">
        <v>229</v>
      </c>
      <c r="H75" s="4" t="s">
        <v>2</v>
      </c>
      <c r="I75" s="4" t="s">
        <v>2</v>
      </c>
      <c r="J75" s="4" t="s">
        <v>24</v>
      </c>
      <c r="L75" s="4"/>
    </row>
    <row r="76" spans="1:12" ht="16" outlineLevel="2" collapsed="1" x14ac:dyDescent="0.2">
      <c r="A76" s="4" t="s">
        <v>21</v>
      </c>
      <c r="B76" s="4" t="s">
        <v>16</v>
      </c>
      <c r="C76" s="4" t="s">
        <v>2</v>
      </c>
      <c r="D76" s="4"/>
      <c r="E76" s="4" t="s">
        <v>230</v>
      </c>
      <c r="F76" s="4" t="s">
        <v>15</v>
      </c>
      <c r="G76" s="4" t="s">
        <v>231</v>
      </c>
      <c r="H76" s="4" t="s">
        <v>2</v>
      </c>
      <c r="I76" s="4" t="s">
        <v>2</v>
      </c>
      <c r="J76" s="4" t="s">
        <v>232</v>
      </c>
      <c r="L76" s="4"/>
    </row>
    <row r="77" spans="1:12" ht="16" outlineLevel="2" collapsed="1" x14ac:dyDescent="0.2">
      <c r="A77" s="4" t="s">
        <v>21</v>
      </c>
      <c r="B77" s="4" t="s">
        <v>16</v>
      </c>
      <c r="C77" s="4" t="s">
        <v>2</v>
      </c>
      <c r="D77" s="4"/>
      <c r="E77" s="4" t="s">
        <v>160</v>
      </c>
      <c r="F77" s="4" t="s">
        <v>15</v>
      </c>
      <c r="G77" s="4" t="s">
        <v>233</v>
      </c>
      <c r="H77" s="4" t="s">
        <v>2</v>
      </c>
      <c r="I77" s="4" t="s">
        <v>2</v>
      </c>
      <c r="J77" s="4" t="s">
        <v>162</v>
      </c>
      <c r="L77" s="4"/>
    </row>
    <row r="78" spans="1:12" ht="16" outlineLevel="2" collapsed="1" x14ac:dyDescent="0.2">
      <c r="A78" s="4" t="s">
        <v>21</v>
      </c>
      <c r="B78" s="4" t="s">
        <v>16</v>
      </c>
      <c r="C78" s="4" t="s">
        <v>2</v>
      </c>
      <c r="D78" s="4"/>
      <c r="E78" s="4" t="s">
        <v>106</v>
      </c>
      <c r="F78" s="4" t="s">
        <v>15</v>
      </c>
      <c r="G78" s="4" t="s">
        <v>234</v>
      </c>
      <c r="H78" s="4" t="s">
        <v>2</v>
      </c>
      <c r="I78" s="4" t="s">
        <v>2</v>
      </c>
      <c r="J78" s="4" t="s">
        <v>108</v>
      </c>
      <c r="L78" s="4"/>
    </row>
    <row r="79" spans="1:12" ht="16" outlineLevel="1" collapsed="1" x14ac:dyDescent="0.2">
      <c r="A79" s="4" t="s">
        <v>15</v>
      </c>
      <c r="B79" s="4" t="s">
        <v>25</v>
      </c>
      <c r="C79" s="4" t="s">
        <v>2</v>
      </c>
      <c r="D79" s="4"/>
      <c r="E79" s="4" t="s">
        <v>235</v>
      </c>
      <c r="F79" s="4" t="s">
        <v>15</v>
      </c>
      <c r="G79" s="4" t="s">
        <v>2</v>
      </c>
      <c r="H79" s="4" t="s">
        <v>2</v>
      </c>
      <c r="I79" s="4" t="s">
        <v>2</v>
      </c>
      <c r="J79" s="4" t="s">
        <v>236</v>
      </c>
      <c r="L79" s="4"/>
    </row>
    <row r="80" spans="1:12" ht="16" outlineLevel="1" collapsed="1" x14ac:dyDescent="0.2">
      <c r="A80" s="4" t="s">
        <v>15</v>
      </c>
      <c r="B80" s="4" t="s">
        <v>25</v>
      </c>
      <c r="C80" s="4" t="s">
        <v>2</v>
      </c>
      <c r="D80" s="4"/>
      <c r="E80" s="4" t="s">
        <v>237</v>
      </c>
      <c r="F80" s="4" t="s">
        <v>15</v>
      </c>
      <c r="G80" s="4" t="s">
        <v>2</v>
      </c>
      <c r="H80" s="4" t="s">
        <v>2</v>
      </c>
      <c r="I80" s="4" t="s">
        <v>2</v>
      </c>
      <c r="J80" s="4" t="s">
        <v>238</v>
      </c>
      <c r="L80" s="4"/>
    </row>
    <row r="81" spans="1:12" ht="32" outlineLevel="1" collapsed="1" x14ac:dyDescent="0.2">
      <c r="A81" s="4" t="s">
        <v>21</v>
      </c>
      <c r="B81" s="4" t="s">
        <v>22</v>
      </c>
      <c r="C81" t="s">
        <v>171</v>
      </c>
      <c r="D81" s="4"/>
      <c r="E81" s="4" t="s">
        <v>239</v>
      </c>
      <c r="F81" s="4" t="s">
        <v>15</v>
      </c>
      <c r="G81" s="4" t="s">
        <v>21</v>
      </c>
      <c r="H81" s="4" t="s">
        <v>2</v>
      </c>
      <c r="I81" s="4" t="s">
        <v>2</v>
      </c>
      <c r="J81" s="4" t="s">
        <v>240</v>
      </c>
      <c r="L81" s="4"/>
    </row>
    <row r="82" spans="1:12" ht="48" outlineLevel="1" collapsed="1" x14ac:dyDescent="0.2">
      <c r="A82" s="4" t="s">
        <v>15</v>
      </c>
      <c r="B82" s="4" t="s">
        <v>16</v>
      </c>
      <c r="C82" s="4" t="s">
        <v>2</v>
      </c>
      <c r="D82" s="4" t="b">
        <f>EXACT(G81,"Yes")</f>
        <v>1</v>
      </c>
      <c r="E82" s="4" t="s">
        <v>241</v>
      </c>
      <c r="F82" s="4" t="s">
        <v>15</v>
      </c>
      <c r="G82" s="4" t="s">
        <v>242</v>
      </c>
      <c r="H82" s="4" t="s">
        <v>2</v>
      </c>
      <c r="I82" s="4" t="s">
        <v>2</v>
      </c>
      <c r="J82" s="4" t="s">
        <v>243</v>
      </c>
      <c r="L82" s="4"/>
    </row>
    <row r="83" spans="1:12" ht="16" outlineLevel="1" collapsed="1" x14ac:dyDescent="0.2">
      <c r="A83" s="4" t="s">
        <v>15</v>
      </c>
      <c r="B83" s="4" t="s">
        <v>25</v>
      </c>
      <c r="C83" s="4" t="s">
        <v>2</v>
      </c>
      <c r="D83" s="4"/>
      <c r="E83" s="4" t="s">
        <v>244</v>
      </c>
      <c r="F83" s="4" t="s">
        <v>15</v>
      </c>
      <c r="G83" s="4" t="s">
        <v>2</v>
      </c>
      <c r="H83" s="4" t="s">
        <v>2</v>
      </c>
      <c r="I83" s="4" t="s">
        <v>2</v>
      </c>
      <c r="J83" s="4" t="s">
        <v>245</v>
      </c>
      <c r="L83" s="4"/>
    </row>
    <row r="84" spans="1:12" ht="16" outlineLevel="1" collapsed="1" x14ac:dyDescent="0.2">
      <c r="A84" s="4" t="s">
        <v>21</v>
      </c>
      <c r="B84" s="4" t="s">
        <v>22</v>
      </c>
      <c r="C84" t="s">
        <v>171</v>
      </c>
      <c r="D84" s="4"/>
      <c r="E84" s="4" t="s">
        <v>246</v>
      </c>
      <c r="F84" s="4" t="s">
        <v>15</v>
      </c>
      <c r="G84" s="4" t="s">
        <v>21</v>
      </c>
      <c r="H84" s="4" t="s">
        <v>2</v>
      </c>
      <c r="I84" s="4" t="s">
        <v>2</v>
      </c>
      <c r="J84" s="4" t="s">
        <v>247</v>
      </c>
      <c r="L84" s="4"/>
    </row>
    <row r="85" spans="1:12" ht="48" outlineLevel="1" collapsed="1" x14ac:dyDescent="0.2">
      <c r="A85" s="4" t="s">
        <v>15</v>
      </c>
      <c r="B85" s="4" t="s">
        <v>16</v>
      </c>
      <c r="C85" s="4" t="s">
        <v>2</v>
      </c>
      <c r="D85" s="4" t="b">
        <f>EXACT(G84,"Yes")</f>
        <v>1</v>
      </c>
      <c r="E85" s="4" t="s">
        <v>248</v>
      </c>
      <c r="F85" s="4" t="s">
        <v>15</v>
      </c>
      <c r="G85" s="4" t="s">
        <v>249</v>
      </c>
      <c r="H85" s="4" t="s">
        <v>2</v>
      </c>
      <c r="I85" s="4" t="s">
        <v>2</v>
      </c>
      <c r="J85" s="4" t="s">
        <v>250</v>
      </c>
      <c r="L85" s="4"/>
    </row>
    <row r="86" spans="1:12" ht="16" outlineLevel="1" collapsed="1" x14ac:dyDescent="0.2">
      <c r="A86" s="4" t="s">
        <v>15</v>
      </c>
      <c r="B86" s="4" t="s">
        <v>25</v>
      </c>
      <c r="C86" s="4" t="s">
        <v>2</v>
      </c>
      <c r="D86" s="4"/>
      <c r="E86" s="4" t="s">
        <v>251</v>
      </c>
      <c r="F86" s="4" t="s">
        <v>15</v>
      </c>
      <c r="G86" s="4" t="s">
        <v>2</v>
      </c>
      <c r="H86" s="4" t="s">
        <v>2</v>
      </c>
      <c r="I86" s="4" t="s">
        <v>2</v>
      </c>
      <c r="J86" s="4" t="s">
        <v>252</v>
      </c>
      <c r="L86" s="4"/>
    </row>
    <row r="87" spans="1:12" ht="32" outlineLevel="1" collapsed="1" x14ac:dyDescent="0.2">
      <c r="A87" s="4" t="s">
        <v>15</v>
      </c>
      <c r="B87" s="4" t="s">
        <v>25</v>
      </c>
      <c r="C87" s="4" t="s">
        <v>2</v>
      </c>
      <c r="D87" s="4"/>
      <c r="E87" s="4" t="s">
        <v>253</v>
      </c>
      <c r="F87" s="4" t="s">
        <v>15</v>
      </c>
      <c r="G87" s="4" t="s">
        <v>2</v>
      </c>
      <c r="H87" s="4" t="s">
        <v>2</v>
      </c>
      <c r="I87" s="4" t="s">
        <v>2</v>
      </c>
      <c r="J87" s="4" t="s">
        <v>254</v>
      </c>
      <c r="L87" s="4"/>
    </row>
    <row r="88" spans="1:12" ht="32" outlineLevel="1" collapsed="1" x14ac:dyDescent="0.2">
      <c r="A88" s="4" t="s">
        <v>21</v>
      </c>
      <c r="B88" s="4" t="s">
        <v>22</v>
      </c>
      <c r="C88" t="s">
        <v>171</v>
      </c>
      <c r="D88" s="4"/>
      <c r="E88" s="4" t="s">
        <v>255</v>
      </c>
      <c r="F88" s="4" t="s">
        <v>15</v>
      </c>
      <c r="G88" s="4" t="s">
        <v>21</v>
      </c>
      <c r="H88" s="4" t="s">
        <v>2</v>
      </c>
      <c r="I88" s="4" t="s">
        <v>2</v>
      </c>
      <c r="J88" s="4" t="s">
        <v>256</v>
      </c>
      <c r="L88" s="4"/>
    </row>
    <row r="89" spans="1:12" ht="96" outlineLevel="1" collapsed="1" x14ac:dyDescent="0.2">
      <c r="A89" s="4" t="s">
        <v>15</v>
      </c>
      <c r="B89" s="4" t="s">
        <v>16</v>
      </c>
      <c r="C89" s="4" t="s">
        <v>2</v>
      </c>
      <c r="D89" s="4" t="b">
        <f>EXACT(G88,"Yes")</f>
        <v>1</v>
      </c>
      <c r="E89" s="4" t="s">
        <v>257</v>
      </c>
      <c r="F89" s="4" t="s">
        <v>15</v>
      </c>
      <c r="G89" s="4" t="s">
        <v>258</v>
      </c>
      <c r="H89" s="4" t="s">
        <v>2</v>
      </c>
      <c r="I89" s="4" t="s">
        <v>2</v>
      </c>
      <c r="J89" s="4" t="s">
        <v>259</v>
      </c>
      <c r="L89" s="4"/>
    </row>
    <row r="90" spans="1:12" ht="16" outlineLevel="1" collapsed="1" x14ac:dyDescent="0.2">
      <c r="A90" s="4" t="s">
        <v>15</v>
      </c>
      <c r="B90" s="4" t="s">
        <v>25</v>
      </c>
      <c r="C90" s="4" t="s">
        <v>2</v>
      </c>
      <c r="D90" s="4"/>
      <c r="E90" s="4" t="s">
        <v>260</v>
      </c>
      <c r="F90" s="4" t="s">
        <v>15</v>
      </c>
      <c r="G90" s="4" t="s">
        <v>2</v>
      </c>
      <c r="H90" s="4" t="s">
        <v>2</v>
      </c>
      <c r="I90" s="4" t="s">
        <v>2</v>
      </c>
      <c r="J90" s="4" t="s">
        <v>261</v>
      </c>
      <c r="L90" s="4"/>
    </row>
    <row r="91" spans="1:12" ht="32" outlineLevel="1" collapsed="1" x14ac:dyDescent="0.2">
      <c r="A91" s="4" t="s">
        <v>21</v>
      </c>
      <c r="B91" s="4" t="s">
        <v>22</v>
      </c>
      <c r="C91" t="s">
        <v>171</v>
      </c>
      <c r="D91" s="4"/>
      <c r="E91" s="4" t="s">
        <v>262</v>
      </c>
      <c r="F91" s="4" t="s">
        <v>15</v>
      </c>
      <c r="G91" s="4" t="s">
        <v>21</v>
      </c>
      <c r="H91" s="4" t="s">
        <v>2</v>
      </c>
      <c r="I91" s="4" t="s">
        <v>2</v>
      </c>
      <c r="J91" s="4" t="s">
        <v>263</v>
      </c>
      <c r="L91" s="4"/>
    </row>
    <row r="92" spans="1:12" ht="96" outlineLevel="1" collapsed="1" x14ac:dyDescent="0.2">
      <c r="A92" s="4" t="s">
        <v>15</v>
      </c>
      <c r="B92" s="4" t="s">
        <v>16</v>
      </c>
      <c r="C92" s="4" t="s">
        <v>2</v>
      </c>
      <c r="D92" s="4" t="b">
        <f>EXACT(G91,"Yes")</f>
        <v>1</v>
      </c>
      <c r="E92" s="4" t="s">
        <v>257</v>
      </c>
      <c r="F92" s="4" t="s">
        <v>15</v>
      </c>
      <c r="G92" s="4" t="s">
        <v>264</v>
      </c>
      <c r="H92" s="4" t="s">
        <v>2</v>
      </c>
      <c r="I92" s="4" t="s">
        <v>2</v>
      </c>
      <c r="J92" s="4" t="s">
        <v>265</v>
      </c>
      <c r="L92" s="4"/>
    </row>
    <row r="93" spans="1:12" ht="16" outlineLevel="1" collapsed="1" x14ac:dyDescent="0.2">
      <c r="A93" s="4" t="s">
        <v>15</v>
      </c>
      <c r="B93" s="4" t="s">
        <v>25</v>
      </c>
      <c r="C93" s="4" t="s">
        <v>2</v>
      </c>
      <c r="D93" s="4"/>
      <c r="E93" s="4" t="s">
        <v>266</v>
      </c>
      <c r="F93" s="4" t="s">
        <v>15</v>
      </c>
      <c r="G93" s="4" t="s">
        <v>2</v>
      </c>
      <c r="H93" s="4" t="s">
        <v>2</v>
      </c>
      <c r="I93" s="4" t="s">
        <v>2</v>
      </c>
      <c r="J93" s="4" t="s">
        <v>267</v>
      </c>
      <c r="L93" s="4"/>
    </row>
    <row r="94" spans="1:12" ht="32" outlineLevel="1" collapsed="1" x14ac:dyDescent="0.2">
      <c r="A94" s="4" t="s">
        <v>21</v>
      </c>
      <c r="B94" s="4" t="s">
        <v>22</v>
      </c>
      <c r="C94" t="s">
        <v>171</v>
      </c>
      <c r="D94" s="4"/>
      <c r="E94" s="4" t="s">
        <v>268</v>
      </c>
      <c r="F94" s="4" t="s">
        <v>15</v>
      </c>
      <c r="G94" s="4" t="s">
        <v>21</v>
      </c>
      <c r="H94" s="4" t="s">
        <v>2</v>
      </c>
      <c r="I94" s="4" t="s">
        <v>2</v>
      </c>
      <c r="J94" s="4" t="s">
        <v>269</v>
      </c>
      <c r="L94" s="4"/>
    </row>
    <row r="95" spans="1:12" ht="32" outlineLevel="1" collapsed="1" x14ac:dyDescent="0.2">
      <c r="A95" s="4" t="s">
        <v>21</v>
      </c>
      <c r="B95" s="4" t="s">
        <v>22</v>
      </c>
      <c r="C95" t="s">
        <v>171</v>
      </c>
      <c r="D95" s="4"/>
      <c r="E95" s="4" t="s">
        <v>270</v>
      </c>
      <c r="F95" s="4" t="s">
        <v>15</v>
      </c>
      <c r="G95" s="4" t="s">
        <v>21</v>
      </c>
      <c r="H95" s="4" t="s">
        <v>2</v>
      </c>
      <c r="I95" s="4" t="s">
        <v>2</v>
      </c>
      <c r="J95" s="4" t="s">
        <v>271</v>
      </c>
      <c r="L95" s="4"/>
    </row>
    <row r="96" spans="1:12" ht="96" outlineLevel="1" collapsed="1" x14ac:dyDescent="0.2">
      <c r="A96" s="4" t="s">
        <v>15</v>
      </c>
      <c r="B96" s="4" t="s">
        <v>22</v>
      </c>
      <c r="C96" t="s">
        <v>171</v>
      </c>
      <c r="D96" s="4" t="b">
        <f>EXACT(G95,"Yes")</f>
        <v>1</v>
      </c>
      <c r="E96" s="4" t="s">
        <v>272</v>
      </c>
      <c r="F96" s="4" t="s">
        <v>15</v>
      </c>
      <c r="G96" s="4" t="s">
        <v>21</v>
      </c>
      <c r="H96" s="4" t="s">
        <v>2</v>
      </c>
      <c r="I96" s="4" t="s">
        <v>2</v>
      </c>
      <c r="J96" s="4" t="s">
        <v>273</v>
      </c>
      <c r="L96" s="4"/>
    </row>
    <row r="97" spans="1:12" ht="144" outlineLevel="1" collapsed="1" x14ac:dyDescent="0.2">
      <c r="A97" s="4" t="s">
        <v>15</v>
      </c>
      <c r="B97" s="4" t="s">
        <v>16</v>
      </c>
      <c r="C97" s="4" t="s">
        <v>2</v>
      </c>
      <c r="D97" s="4" t="b">
        <f>EXACT(G96,"Yes")</f>
        <v>1</v>
      </c>
      <c r="E97" s="4" t="s">
        <v>274</v>
      </c>
      <c r="F97" s="4" t="s">
        <v>15</v>
      </c>
      <c r="G97" s="4" t="s">
        <v>275</v>
      </c>
      <c r="H97" s="4" t="s">
        <v>2</v>
      </c>
      <c r="I97" s="4" t="s">
        <v>2</v>
      </c>
      <c r="J97" s="4" t="s">
        <v>276</v>
      </c>
      <c r="L97" s="4"/>
    </row>
    <row r="98" spans="1:12" ht="32" outlineLevel="1" collapsed="1" x14ac:dyDescent="0.2">
      <c r="A98" s="4" t="s">
        <v>21</v>
      </c>
      <c r="B98" s="4" t="s">
        <v>16</v>
      </c>
      <c r="C98" s="4" t="s">
        <v>2</v>
      </c>
      <c r="D98" s="4"/>
      <c r="E98" s="4" t="s">
        <v>277</v>
      </c>
      <c r="F98" s="4" t="s">
        <v>15</v>
      </c>
      <c r="G98" s="4" t="s">
        <v>278</v>
      </c>
      <c r="H98" s="4" t="s">
        <v>2</v>
      </c>
      <c r="I98" s="4" t="s">
        <v>2</v>
      </c>
      <c r="J98" s="4" t="s">
        <v>279</v>
      </c>
      <c r="L98" s="4"/>
    </row>
    <row r="99" spans="1:12" ht="48" outlineLevel="1" x14ac:dyDescent="0.2">
      <c r="A99" s="5" t="s">
        <v>21</v>
      </c>
      <c r="B99" t="s">
        <v>1178</v>
      </c>
      <c r="C99" s="5" t="s">
        <v>280</v>
      </c>
      <c r="D99" s="5"/>
      <c r="E99" s="5" t="s">
        <v>280</v>
      </c>
      <c r="F99" s="5" t="s">
        <v>21</v>
      </c>
      <c r="G99" s="5" t="s">
        <v>2</v>
      </c>
      <c r="H99" s="5" t="s">
        <v>2</v>
      </c>
      <c r="I99" s="5" t="s">
        <v>2</v>
      </c>
      <c r="J99" s="5" t="s">
        <v>281</v>
      </c>
      <c r="L99" s="57"/>
    </row>
    <row r="100" spans="1:12" ht="16" outlineLevel="2" collapsed="1" x14ac:dyDescent="0.2">
      <c r="A100" s="4" t="s">
        <v>21</v>
      </c>
      <c r="B100" s="4" t="s">
        <v>16</v>
      </c>
      <c r="C100" s="4" t="s">
        <v>2</v>
      </c>
      <c r="D100" s="4"/>
      <c r="E100" s="4" t="s">
        <v>282</v>
      </c>
      <c r="F100" s="4" t="s">
        <v>15</v>
      </c>
      <c r="G100" s="4" t="s">
        <v>283</v>
      </c>
      <c r="H100" s="4" t="s">
        <v>2</v>
      </c>
      <c r="I100" s="4" t="s">
        <v>2</v>
      </c>
      <c r="J100" s="4" t="s">
        <v>284</v>
      </c>
      <c r="L100" s="4"/>
    </row>
    <row r="101" spans="1:12" ht="16" outlineLevel="2" collapsed="1" x14ac:dyDescent="0.2">
      <c r="A101" s="4" t="s">
        <v>21</v>
      </c>
      <c r="B101" s="4" t="s">
        <v>16</v>
      </c>
      <c r="C101" s="4" t="s">
        <v>2</v>
      </c>
      <c r="D101" s="4"/>
      <c r="E101" s="4" t="s">
        <v>285</v>
      </c>
      <c r="F101" s="4" t="s">
        <v>15</v>
      </c>
      <c r="G101" s="4" t="s">
        <v>286</v>
      </c>
      <c r="H101" s="4" t="s">
        <v>2</v>
      </c>
      <c r="I101" s="4" t="s">
        <v>2</v>
      </c>
      <c r="J101" s="4" t="s">
        <v>287</v>
      </c>
      <c r="L101" s="4"/>
    </row>
    <row r="102" spans="1:12" ht="16" outlineLevel="2" collapsed="1" x14ac:dyDescent="0.2">
      <c r="A102" s="4" t="s">
        <v>21</v>
      </c>
      <c r="B102" s="4" t="s">
        <v>16</v>
      </c>
      <c r="C102" s="4" t="s">
        <v>2</v>
      </c>
      <c r="D102" s="4"/>
      <c r="E102" s="4" t="s">
        <v>288</v>
      </c>
      <c r="F102" s="4" t="s">
        <v>15</v>
      </c>
      <c r="G102" s="4" t="s">
        <v>289</v>
      </c>
      <c r="H102" s="4" t="s">
        <v>2</v>
      </c>
      <c r="I102" s="4" t="s">
        <v>2</v>
      </c>
      <c r="J102" s="4" t="s">
        <v>290</v>
      </c>
      <c r="L102" s="4"/>
    </row>
    <row r="103" spans="1:12" ht="16" outlineLevel="2" collapsed="1" x14ac:dyDescent="0.2">
      <c r="A103" s="4" t="s">
        <v>21</v>
      </c>
      <c r="B103" s="4" t="s">
        <v>16</v>
      </c>
      <c r="C103" s="4" t="s">
        <v>2</v>
      </c>
      <c r="D103" s="4"/>
      <c r="E103" s="4" t="s">
        <v>291</v>
      </c>
      <c r="F103" s="4" t="s">
        <v>15</v>
      </c>
      <c r="G103" s="4" t="s">
        <v>292</v>
      </c>
      <c r="H103" s="4" t="s">
        <v>2</v>
      </c>
      <c r="I103" s="4" t="s">
        <v>2</v>
      </c>
      <c r="J103" s="4" t="s">
        <v>293</v>
      </c>
      <c r="L103" s="4"/>
    </row>
    <row r="104" spans="1:12" ht="16" outlineLevel="2" collapsed="1" x14ac:dyDescent="0.2">
      <c r="A104" s="4" t="s">
        <v>21</v>
      </c>
      <c r="B104" s="4" t="s">
        <v>16</v>
      </c>
      <c r="C104" s="4" t="s">
        <v>2</v>
      </c>
      <c r="D104" s="4"/>
      <c r="E104" s="4" t="s">
        <v>294</v>
      </c>
      <c r="F104" s="4" t="s">
        <v>15</v>
      </c>
      <c r="G104" s="4" t="s">
        <v>295</v>
      </c>
      <c r="H104" s="4" t="s">
        <v>2</v>
      </c>
      <c r="I104" s="4" t="s">
        <v>2</v>
      </c>
      <c r="J104" s="4" t="s">
        <v>296</v>
      </c>
      <c r="L104" s="4"/>
    </row>
    <row r="105" spans="1:12" ht="16" outlineLevel="1" collapsed="1" x14ac:dyDescent="0.2">
      <c r="A105" s="4" t="s">
        <v>21</v>
      </c>
      <c r="B105" s="4" t="s">
        <v>16</v>
      </c>
      <c r="C105" s="4" t="s">
        <v>2</v>
      </c>
      <c r="D105" s="4"/>
      <c r="E105" s="4" t="s">
        <v>297</v>
      </c>
      <c r="F105" s="4" t="s">
        <v>15</v>
      </c>
      <c r="G105" s="4" t="s">
        <v>298</v>
      </c>
      <c r="H105" s="4" t="s">
        <v>2</v>
      </c>
      <c r="I105" s="4" t="s">
        <v>2</v>
      </c>
      <c r="J105" s="4" t="s">
        <v>299</v>
      </c>
      <c r="L105" s="4"/>
    </row>
    <row r="106" spans="1:12" ht="16" outlineLevel="1" collapsed="1" x14ac:dyDescent="0.2">
      <c r="A106" s="4" t="s">
        <v>15</v>
      </c>
      <c r="B106" s="4" t="s">
        <v>25</v>
      </c>
      <c r="C106" s="4" t="s">
        <v>2</v>
      </c>
      <c r="D106" s="4"/>
      <c r="E106" s="4" t="s">
        <v>300</v>
      </c>
      <c r="F106" s="4" t="s">
        <v>15</v>
      </c>
      <c r="G106" s="4" t="s">
        <v>2</v>
      </c>
      <c r="H106" s="4" t="s">
        <v>2</v>
      </c>
      <c r="I106" s="4" t="s">
        <v>2</v>
      </c>
      <c r="J106" s="4" t="s">
        <v>301</v>
      </c>
      <c r="L106" s="4"/>
    </row>
    <row r="107" spans="1:12" ht="32" outlineLevel="1" x14ac:dyDescent="0.2">
      <c r="A107" s="5" t="s">
        <v>21</v>
      </c>
      <c r="B107" t="s">
        <v>1178</v>
      </c>
      <c r="C107" s="5" t="s">
        <v>302</v>
      </c>
      <c r="D107" s="5"/>
      <c r="E107" s="5" t="s">
        <v>302</v>
      </c>
      <c r="F107" s="5" t="s">
        <v>15</v>
      </c>
      <c r="G107" s="5" t="s">
        <v>2</v>
      </c>
      <c r="H107" s="5" t="s">
        <v>2</v>
      </c>
      <c r="I107" s="5" t="s">
        <v>2</v>
      </c>
      <c r="J107" s="5" t="s">
        <v>303</v>
      </c>
      <c r="L107" s="57"/>
    </row>
    <row r="108" spans="1:12" ht="16" outlineLevel="2" collapsed="1" x14ac:dyDescent="0.2">
      <c r="A108" s="4" t="s">
        <v>21</v>
      </c>
      <c r="B108" s="4" t="s">
        <v>16</v>
      </c>
      <c r="C108" s="4" t="s">
        <v>2</v>
      </c>
      <c r="D108" s="4"/>
      <c r="E108" s="4" t="s">
        <v>304</v>
      </c>
      <c r="F108" s="4" t="s">
        <v>15</v>
      </c>
      <c r="G108" s="4" t="s">
        <v>305</v>
      </c>
      <c r="H108" s="4" t="s">
        <v>2</v>
      </c>
      <c r="I108" s="4" t="s">
        <v>2</v>
      </c>
      <c r="J108" s="4" t="s">
        <v>20</v>
      </c>
      <c r="L108" s="4"/>
    </row>
    <row r="109" spans="1:12" ht="16" outlineLevel="2" collapsed="1" x14ac:dyDescent="0.2">
      <c r="A109" s="4" t="s">
        <v>21</v>
      </c>
      <c r="B109" s="4" t="s">
        <v>16</v>
      </c>
      <c r="C109" s="4" t="s">
        <v>2</v>
      </c>
      <c r="D109" s="4"/>
      <c r="E109" s="4" t="s">
        <v>306</v>
      </c>
      <c r="F109" s="4" t="s">
        <v>15</v>
      </c>
      <c r="G109" s="4" t="s">
        <v>307</v>
      </c>
      <c r="H109" s="4" t="s">
        <v>2</v>
      </c>
      <c r="I109" s="4" t="s">
        <v>2</v>
      </c>
      <c r="J109" s="4" t="s">
        <v>24</v>
      </c>
      <c r="L109" s="4"/>
    </row>
    <row r="110" spans="1:12" ht="16" outlineLevel="2" collapsed="1" x14ac:dyDescent="0.2">
      <c r="A110" s="4" t="s">
        <v>21</v>
      </c>
      <c r="B110" s="4" t="s">
        <v>16</v>
      </c>
      <c r="C110" s="4" t="s">
        <v>2</v>
      </c>
      <c r="D110" s="4"/>
      <c r="E110" s="4" t="s">
        <v>308</v>
      </c>
      <c r="F110" s="4" t="s">
        <v>15</v>
      </c>
      <c r="G110" s="4" t="s">
        <v>309</v>
      </c>
      <c r="H110" s="4" t="s">
        <v>2</v>
      </c>
      <c r="I110" s="4" t="s">
        <v>2</v>
      </c>
      <c r="J110" s="4" t="s">
        <v>27</v>
      </c>
      <c r="L110" s="4"/>
    </row>
    <row r="111" spans="1:12" ht="16" outlineLevel="2" collapsed="1" x14ac:dyDescent="0.2">
      <c r="A111" s="4" t="s">
        <v>21</v>
      </c>
      <c r="B111" s="4" t="s">
        <v>16</v>
      </c>
      <c r="C111" s="4" t="s">
        <v>2</v>
      </c>
      <c r="D111" s="4"/>
      <c r="E111" s="4" t="s">
        <v>310</v>
      </c>
      <c r="F111" s="4" t="s">
        <v>15</v>
      </c>
      <c r="G111" s="4" t="s">
        <v>311</v>
      </c>
      <c r="H111" s="4" t="s">
        <v>2</v>
      </c>
      <c r="I111" s="4" t="s">
        <v>2</v>
      </c>
      <c r="J111" s="4" t="s">
        <v>29</v>
      </c>
      <c r="L111" s="4"/>
    </row>
    <row r="112" spans="1:12" ht="16" outlineLevel="2" collapsed="1" x14ac:dyDescent="0.2">
      <c r="A112" s="4" t="s">
        <v>21</v>
      </c>
      <c r="B112" s="4" t="s">
        <v>16</v>
      </c>
      <c r="C112" s="4" t="s">
        <v>2</v>
      </c>
      <c r="D112" s="4"/>
      <c r="E112" s="4" t="s">
        <v>312</v>
      </c>
      <c r="F112" s="4" t="s">
        <v>15</v>
      </c>
      <c r="G112" s="4" t="s">
        <v>313</v>
      </c>
      <c r="H112" s="4" t="s">
        <v>2</v>
      </c>
      <c r="I112" s="4" t="s">
        <v>2</v>
      </c>
      <c r="J112" s="4" t="s">
        <v>33</v>
      </c>
      <c r="L112" s="4"/>
    </row>
    <row r="113" spans="1:12" ht="16" outlineLevel="2" collapsed="1" x14ac:dyDescent="0.2">
      <c r="A113" s="4" t="s">
        <v>21</v>
      </c>
      <c r="B113" s="4" t="s">
        <v>16</v>
      </c>
      <c r="C113" s="4" t="s">
        <v>2</v>
      </c>
      <c r="D113" s="4"/>
      <c r="E113" s="4" t="s">
        <v>314</v>
      </c>
      <c r="F113" s="4" t="s">
        <v>15</v>
      </c>
      <c r="G113" s="4" t="s">
        <v>315</v>
      </c>
      <c r="H113" s="4" t="s">
        <v>2</v>
      </c>
      <c r="I113" s="4" t="s">
        <v>2</v>
      </c>
      <c r="J113" s="4" t="s">
        <v>31</v>
      </c>
      <c r="L113" s="4"/>
    </row>
    <row r="114" spans="1:12" ht="64" outlineLevel="1" x14ac:dyDescent="0.2">
      <c r="A114" s="5" t="s">
        <v>21</v>
      </c>
      <c r="B114" t="s">
        <v>1178</v>
      </c>
      <c r="C114" s="5" t="s">
        <v>316</v>
      </c>
      <c r="D114" s="5"/>
      <c r="E114" s="5" t="s">
        <v>316</v>
      </c>
      <c r="F114" s="5" t="s">
        <v>15</v>
      </c>
      <c r="G114" s="5" t="s">
        <v>2</v>
      </c>
      <c r="H114" s="5" t="s">
        <v>2</v>
      </c>
      <c r="I114" s="5" t="s">
        <v>2</v>
      </c>
      <c r="J114" s="5" t="s">
        <v>317</v>
      </c>
      <c r="L114" s="57"/>
    </row>
    <row r="115" spans="1:12" ht="16" outlineLevel="2" collapsed="1" x14ac:dyDescent="0.2">
      <c r="A115" s="4" t="s">
        <v>21</v>
      </c>
      <c r="B115" s="4" t="s">
        <v>16</v>
      </c>
      <c r="C115" s="4" t="s">
        <v>2</v>
      </c>
      <c r="D115" s="4"/>
      <c r="E115" s="4" t="s">
        <v>318</v>
      </c>
      <c r="F115" s="4" t="s">
        <v>15</v>
      </c>
      <c r="G115" s="4" t="s">
        <v>319</v>
      </c>
      <c r="H115" s="4" t="s">
        <v>2</v>
      </c>
      <c r="I115" s="4" t="s">
        <v>2</v>
      </c>
      <c r="J115" s="4" t="s">
        <v>320</v>
      </c>
      <c r="L115" s="4"/>
    </row>
    <row r="116" spans="1:12" ht="16" outlineLevel="2" collapsed="1" x14ac:dyDescent="0.2">
      <c r="A116" s="4" t="s">
        <v>21</v>
      </c>
      <c r="B116" s="4" t="s">
        <v>96</v>
      </c>
      <c r="C116" s="4" t="s">
        <v>2</v>
      </c>
      <c r="D116" s="4"/>
      <c r="E116" s="4" t="s">
        <v>321</v>
      </c>
      <c r="F116" s="4" t="s">
        <v>15</v>
      </c>
      <c r="G116" s="4" t="s">
        <v>98</v>
      </c>
      <c r="H116" s="4" t="s">
        <v>2</v>
      </c>
      <c r="I116" s="4" t="s">
        <v>2</v>
      </c>
      <c r="J116" s="4" t="s">
        <v>322</v>
      </c>
      <c r="L116" s="4"/>
    </row>
    <row r="117" spans="1:12" ht="16" outlineLevel="2" collapsed="1" x14ac:dyDescent="0.2">
      <c r="A117" s="4" t="s">
        <v>21</v>
      </c>
      <c r="B117" s="4" t="s">
        <v>16</v>
      </c>
      <c r="C117" s="4" t="s">
        <v>2</v>
      </c>
      <c r="D117" s="4"/>
      <c r="E117" s="4" t="s">
        <v>323</v>
      </c>
      <c r="F117" s="4" t="s">
        <v>15</v>
      </c>
      <c r="G117" s="4" t="s">
        <v>324</v>
      </c>
      <c r="H117" s="4" t="s">
        <v>2</v>
      </c>
      <c r="I117" s="4" t="s">
        <v>2</v>
      </c>
      <c r="J117" s="4" t="s">
        <v>325</v>
      </c>
      <c r="L117" s="4"/>
    </row>
    <row r="118" spans="1:12" ht="16" outlineLevel="2" collapsed="1" x14ac:dyDescent="0.2">
      <c r="A118" s="4" t="s">
        <v>21</v>
      </c>
      <c r="B118" s="4" t="s">
        <v>16</v>
      </c>
      <c r="C118" s="4" t="s">
        <v>2</v>
      </c>
      <c r="D118" s="4"/>
      <c r="E118" s="4" t="s">
        <v>326</v>
      </c>
      <c r="F118" s="4" t="s">
        <v>15</v>
      </c>
      <c r="G118" s="4" t="s">
        <v>327</v>
      </c>
      <c r="H118" s="4" t="s">
        <v>2</v>
      </c>
      <c r="I118" s="4" t="s">
        <v>2</v>
      </c>
      <c r="J118" s="4" t="s">
        <v>328</v>
      </c>
      <c r="L118" s="4"/>
    </row>
    <row r="119" spans="1:12" ht="16" outlineLevel="2" collapsed="1" x14ac:dyDescent="0.2">
      <c r="A119" s="4" t="s">
        <v>21</v>
      </c>
      <c r="B119" s="4" t="s">
        <v>16</v>
      </c>
      <c r="C119" s="4" t="s">
        <v>2</v>
      </c>
      <c r="D119" s="4"/>
      <c r="E119" s="4" t="s">
        <v>329</v>
      </c>
      <c r="F119" s="4" t="s">
        <v>15</v>
      </c>
      <c r="G119" s="4" t="s">
        <v>330</v>
      </c>
      <c r="H119" s="4" t="s">
        <v>2</v>
      </c>
      <c r="I119" s="4" t="s">
        <v>2</v>
      </c>
      <c r="J119" s="4" t="s">
        <v>331</v>
      </c>
      <c r="L119" s="4"/>
    </row>
    <row r="120" spans="1:12" ht="32" outlineLevel="1" x14ac:dyDescent="0.2">
      <c r="A120" s="5" t="s">
        <v>21</v>
      </c>
      <c r="B120" t="s">
        <v>1178</v>
      </c>
      <c r="C120" s="5" t="s">
        <v>332</v>
      </c>
      <c r="D120" s="5"/>
      <c r="E120" s="5" t="s">
        <v>332</v>
      </c>
      <c r="F120" s="5" t="s">
        <v>15</v>
      </c>
      <c r="G120" s="5" t="s">
        <v>2</v>
      </c>
      <c r="H120" s="5" t="s">
        <v>2</v>
      </c>
      <c r="I120" s="5" t="s">
        <v>2</v>
      </c>
      <c r="J120" s="5" t="s">
        <v>333</v>
      </c>
      <c r="L120" s="57"/>
    </row>
    <row r="121" spans="1:12" ht="16" outlineLevel="2" collapsed="1" x14ac:dyDescent="0.2">
      <c r="A121" s="4" t="s">
        <v>15</v>
      </c>
      <c r="B121" s="4" t="s">
        <v>25</v>
      </c>
      <c r="C121" s="4" t="s">
        <v>2</v>
      </c>
      <c r="D121" s="4"/>
      <c r="E121" s="4" t="s">
        <v>334</v>
      </c>
      <c r="F121" s="4" t="s">
        <v>15</v>
      </c>
      <c r="G121" s="4" t="s">
        <v>2</v>
      </c>
      <c r="H121" s="4" t="s">
        <v>2</v>
      </c>
      <c r="I121" s="4" t="s">
        <v>2</v>
      </c>
      <c r="J121" s="4" t="s">
        <v>335</v>
      </c>
      <c r="L121" s="4"/>
    </row>
    <row r="122" spans="1:12" ht="32" outlineLevel="2" collapsed="1" x14ac:dyDescent="0.2">
      <c r="A122" s="4" t="s">
        <v>21</v>
      </c>
      <c r="B122" s="4" t="s">
        <v>16</v>
      </c>
      <c r="C122" s="4" t="s">
        <v>2</v>
      </c>
      <c r="D122" s="4"/>
      <c r="E122" s="4" t="s">
        <v>336</v>
      </c>
      <c r="F122" s="4" t="s">
        <v>15</v>
      </c>
      <c r="G122" s="4" t="s">
        <v>337</v>
      </c>
      <c r="H122" s="4" t="s">
        <v>2</v>
      </c>
      <c r="I122" s="4" t="s">
        <v>2</v>
      </c>
      <c r="J122" s="4" t="s">
        <v>338</v>
      </c>
      <c r="L122" s="4"/>
    </row>
    <row r="123" spans="1:12" ht="16" outlineLevel="2" collapsed="1" x14ac:dyDescent="0.2">
      <c r="A123" s="4" t="s">
        <v>15</v>
      </c>
      <c r="B123" s="4" t="s">
        <v>25</v>
      </c>
      <c r="C123" s="4" t="s">
        <v>2</v>
      </c>
      <c r="D123" s="4"/>
      <c r="E123" s="4" t="s">
        <v>339</v>
      </c>
      <c r="F123" s="4" t="s">
        <v>15</v>
      </c>
      <c r="G123" s="4" t="s">
        <v>2</v>
      </c>
      <c r="H123" s="4" t="s">
        <v>2</v>
      </c>
      <c r="I123" s="4" t="s">
        <v>2</v>
      </c>
      <c r="J123" s="4" t="s">
        <v>340</v>
      </c>
      <c r="L123" s="4"/>
    </row>
    <row r="124" spans="1:12" ht="80" outlineLevel="2" collapsed="1" x14ac:dyDescent="0.2">
      <c r="A124" s="4" t="s">
        <v>21</v>
      </c>
      <c r="B124" s="4" t="s">
        <v>16</v>
      </c>
      <c r="C124" s="4" t="s">
        <v>2</v>
      </c>
      <c r="D124" s="4"/>
      <c r="E124" s="4" t="s">
        <v>341</v>
      </c>
      <c r="F124" s="4" t="s">
        <v>15</v>
      </c>
      <c r="G124" s="4" t="s">
        <v>342</v>
      </c>
      <c r="H124" s="4" t="s">
        <v>2</v>
      </c>
      <c r="I124" s="4" t="s">
        <v>2</v>
      </c>
      <c r="J124" s="4" t="s">
        <v>343</v>
      </c>
      <c r="L124" s="4"/>
    </row>
    <row r="125" spans="1:12" ht="32" outlineLevel="1" x14ac:dyDescent="0.2">
      <c r="A125" s="5" t="s">
        <v>21</v>
      </c>
      <c r="B125" t="s">
        <v>1178</v>
      </c>
      <c r="C125" s="5" t="s">
        <v>344</v>
      </c>
      <c r="D125" s="5"/>
      <c r="E125" s="5" t="s">
        <v>344</v>
      </c>
      <c r="F125" s="5" t="s">
        <v>21</v>
      </c>
      <c r="G125" s="5" t="s">
        <v>2</v>
      </c>
      <c r="H125" s="5" t="s">
        <v>2</v>
      </c>
      <c r="I125" s="5" t="s">
        <v>2</v>
      </c>
      <c r="J125" s="5" t="s">
        <v>345</v>
      </c>
      <c r="L125" s="57"/>
    </row>
    <row r="126" spans="1:12" ht="16" outlineLevel="2" collapsed="1" x14ac:dyDescent="0.2">
      <c r="A126" s="4" t="s">
        <v>21</v>
      </c>
      <c r="B126" s="4" t="s">
        <v>16</v>
      </c>
      <c r="C126" s="4" t="s">
        <v>2</v>
      </c>
      <c r="D126" s="4"/>
      <c r="E126" s="4" t="s">
        <v>346</v>
      </c>
      <c r="F126" s="4" t="s">
        <v>15</v>
      </c>
      <c r="G126" s="4" t="s">
        <v>347</v>
      </c>
      <c r="H126" s="4" t="s">
        <v>2</v>
      </c>
      <c r="I126" s="4" t="s">
        <v>2</v>
      </c>
      <c r="J126" s="4" t="s">
        <v>348</v>
      </c>
      <c r="L126" s="4"/>
    </row>
    <row r="127" spans="1:12" ht="16" outlineLevel="2" collapsed="1" x14ac:dyDescent="0.2">
      <c r="A127" s="4" t="s">
        <v>21</v>
      </c>
      <c r="B127" s="4" t="s">
        <v>16</v>
      </c>
      <c r="C127" s="4" t="s">
        <v>2</v>
      </c>
      <c r="D127" s="4"/>
      <c r="E127" s="4" t="s">
        <v>349</v>
      </c>
      <c r="F127" s="4" t="s">
        <v>15</v>
      </c>
      <c r="G127" s="4" t="s">
        <v>350</v>
      </c>
      <c r="H127" s="4" t="s">
        <v>2</v>
      </c>
      <c r="I127" s="4" t="s">
        <v>2</v>
      </c>
      <c r="J127" s="4" t="s">
        <v>351</v>
      </c>
      <c r="L127" s="4"/>
    </row>
    <row r="128" spans="1:12" ht="16" outlineLevel="1" x14ac:dyDescent="0.2">
      <c r="A128" s="5" t="s">
        <v>21</v>
      </c>
      <c r="B128" t="s">
        <v>1178</v>
      </c>
      <c r="C128" s="5" t="s">
        <v>352</v>
      </c>
      <c r="D128" s="5"/>
      <c r="E128" s="5" t="s">
        <v>352</v>
      </c>
      <c r="F128" s="5" t="s">
        <v>21</v>
      </c>
      <c r="G128" s="5" t="s">
        <v>2</v>
      </c>
      <c r="H128" s="5" t="s">
        <v>2</v>
      </c>
      <c r="I128" s="5" t="s">
        <v>2</v>
      </c>
      <c r="J128" s="5" t="s">
        <v>353</v>
      </c>
      <c r="L128" s="57"/>
    </row>
    <row r="129" spans="1:12" ht="16" outlineLevel="2" collapsed="1" x14ac:dyDescent="0.2">
      <c r="A129" s="4" t="s">
        <v>21</v>
      </c>
      <c r="B129" s="4" t="s">
        <v>16</v>
      </c>
      <c r="C129" s="4" t="s">
        <v>2</v>
      </c>
      <c r="D129" s="4"/>
      <c r="E129" s="4" t="s">
        <v>354</v>
      </c>
      <c r="F129" s="4" t="s">
        <v>15</v>
      </c>
      <c r="G129" s="4" t="s">
        <v>355</v>
      </c>
      <c r="H129" s="4" t="s">
        <v>2</v>
      </c>
      <c r="I129" s="4" t="s">
        <v>2</v>
      </c>
      <c r="J129" s="4" t="s">
        <v>20</v>
      </c>
      <c r="L129" s="4"/>
    </row>
    <row r="130" spans="1:12" ht="16" outlineLevel="2" collapsed="1" x14ac:dyDescent="0.2">
      <c r="A130" s="4" t="s">
        <v>21</v>
      </c>
      <c r="B130" s="4" t="s">
        <v>16</v>
      </c>
      <c r="C130" s="4" t="s">
        <v>2</v>
      </c>
      <c r="D130" s="4"/>
      <c r="E130" s="4" t="s">
        <v>356</v>
      </c>
      <c r="F130" s="4" t="s">
        <v>15</v>
      </c>
      <c r="G130" s="4" t="s">
        <v>357</v>
      </c>
      <c r="H130" s="4" t="s">
        <v>2</v>
      </c>
      <c r="I130" s="4" t="s">
        <v>2</v>
      </c>
      <c r="J130" s="4" t="s">
        <v>24</v>
      </c>
      <c r="L130" s="4"/>
    </row>
    <row r="131" spans="1:12" ht="16" outlineLevel="1" collapsed="1" x14ac:dyDescent="0.2">
      <c r="A131" s="4" t="s">
        <v>15</v>
      </c>
      <c r="B131" s="4" t="s">
        <v>25</v>
      </c>
      <c r="C131" s="4" t="s">
        <v>2</v>
      </c>
      <c r="D131" s="4"/>
      <c r="E131" s="4" t="s">
        <v>358</v>
      </c>
      <c r="F131" s="4" t="s">
        <v>15</v>
      </c>
      <c r="G131" s="4" t="s">
        <v>2</v>
      </c>
      <c r="H131" s="4" t="s">
        <v>2</v>
      </c>
      <c r="I131" s="4" t="s">
        <v>2</v>
      </c>
      <c r="J131" s="4" t="s">
        <v>359</v>
      </c>
      <c r="L131" s="4"/>
    </row>
    <row r="132" spans="1:12" ht="32" outlineLevel="1" collapsed="1" x14ac:dyDescent="0.2">
      <c r="A132" s="4" t="s">
        <v>21</v>
      </c>
      <c r="B132" s="4" t="s">
        <v>16</v>
      </c>
      <c r="C132" s="4" t="s">
        <v>2</v>
      </c>
      <c r="D132" s="4"/>
      <c r="E132" s="4" t="s">
        <v>360</v>
      </c>
      <c r="F132" s="4" t="s">
        <v>15</v>
      </c>
      <c r="G132" s="4" t="s">
        <v>361</v>
      </c>
      <c r="H132" s="4" t="s">
        <v>2</v>
      </c>
      <c r="I132" s="4" t="s">
        <v>2</v>
      </c>
      <c r="J132" s="4" t="s">
        <v>362</v>
      </c>
      <c r="L132" s="4"/>
    </row>
    <row r="133" spans="1:12" ht="16" outlineLevel="1" x14ac:dyDescent="0.2">
      <c r="A133" s="5" t="s">
        <v>21</v>
      </c>
      <c r="B133" t="s">
        <v>1178</v>
      </c>
      <c r="C133" s="5" t="s">
        <v>363</v>
      </c>
      <c r="D133" s="5"/>
      <c r="E133" s="5" t="s">
        <v>363</v>
      </c>
      <c r="F133" s="5" t="s">
        <v>15</v>
      </c>
      <c r="G133" s="5" t="s">
        <v>2</v>
      </c>
      <c r="H133" s="5" t="s">
        <v>2</v>
      </c>
      <c r="I133" s="5" t="s">
        <v>2</v>
      </c>
      <c r="J133" s="5" t="s">
        <v>364</v>
      </c>
      <c r="L133" s="57"/>
    </row>
    <row r="134" spans="1:12" ht="50" outlineLevel="2" collapsed="1" x14ac:dyDescent="0.3">
      <c r="A134" s="4" t="s">
        <v>15</v>
      </c>
      <c r="B134" s="4" t="s">
        <v>25</v>
      </c>
      <c r="C134" s="6" t="s">
        <v>365</v>
      </c>
      <c r="D134" s="4"/>
      <c r="E134" s="7" t="s">
        <v>366</v>
      </c>
      <c r="F134" s="4" t="s">
        <v>15</v>
      </c>
      <c r="G134" s="4" t="s">
        <v>2</v>
      </c>
      <c r="H134" s="4" t="s">
        <v>2</v>
      </c>
      <c r="I134" s="4" t="s">
        <v>2</v>
      </c>
      <c r="J134" s="4" t="s">
        <v>20</v>
      </c>
      <c r="L134" s="4"/>
    </row>
    <row r="135" spans="1:12" ht="16" outlineLevel="2" collapsed="1" x14ac:dyDescent="0.2">
      <c r="A135" s="4" t="s">
        <v>21</v>
      </c>
      <c r="B135" s="4" t="s">
        <v>16</v>
      </c>
      <c r="C135" s="4" t="s">
        <v>2</v>
      </c>
      <c r="D135" s="4"/>
      <c r="E135" s="4" t="s">
        <v>367</v>
      </c>
      <c r="F135" s="4" t="s">
        <v>15</v>
      </c>
      <c r="G135" s="4" t="s">
        <v>19</v>
      </c>
      <c r="H135" s="4" t="s">
        <v>2</v>
      </c>
      <c r="I135" s="4" t="s">
        <v>2</v>
      </c>
      <c r="J135" s="4" t="s">
        <v>24</v>
      </c>
      <c r="L135" s="4"/>
    </row>
    <row r="136" spans="1:12" ht="16" outlineLevel="2" collapsed="1" x14ac:dyDescent="0.2">
      <c r="A136" s="4" t="s">
        <v>21</v>
      </c>
      <c r="B136" s="4" t="s">
        <v>16</v>
      </c>
      <c r="C136" s="4" t="s">
        <v>2</v>
      </c>
      <c r="D136" s="4"/>
      <c r="E136" s="4" t="s">
        <v>368</v>
      </c>
      <c r="F136" s="4" t="s">
        <v>15</v>
      </c>
      <c r="G136" s="4" t="s">
        <v>19</v>
      </c>
      <c r="H136" s="4" t="s">
        <v>2</v>
      </c>
      <c r="I136" s="4" t="s">
        <v>2</v>
      </c>
      <c r="J136" s="4" t="s">
        <v>27</v>
      </c>
      <c r="L136" s="4"/>
    </row>
    <row r="137" spans="1:12" ht="25" outlineLevel="2" collapsed="1" x14ac:dyDescent="0.3">
      <c r="A137" s="4" t="s">
        <v>15</v>
      </c>
      <c r="B137" s="4" t="s">
        <v>25</v>
      </c>
      <c r="C137" s="6" t="s">
        <v>365</v>
      </c>
      <c r="D137" s="4"/>
      <c r="E137" s="7" t="s">
        <v>369</v>
      </c>
      <c r="F137" s="4" t="s">
        <v>15</v>
      </c>
      <c r="G137" s="4" t="s">
        <v>2</v>
      </c>
      <c r="H137" s="4" t="s">
        <v>2</v>
      </c>
      <c r="I137" s="4" t="s">
        <v>2</v>
      </c>
      <c r="J137" s="4" t="s">
        <v>29</v>
      </c>
      <c r="L137" s="4"/>
    </row>
    <row r="138" spans="1:12" ht="16" outlineLevel="2" collapsed="1" x14ac:dyDescent="0.2">
      <c r="A138" s="4" t="s">
        <v>21</v>
      </c>
      <c r="B138" s="4" t="s">
        <v>16</v>
      </c>
      <c r="C138" s="4" t="s">
        <v>2</v>
      </c>
      <c r="D138" s="4"/>
      <c r="E138" s="4" t="s">
        <v>367</v>
      </c>
      <c r="F138" s="4" t="s">
        <v>15</v>
      </c>
      <c r="G138" s="4" t="s">
        <v>19</v>
      </c>
      <c r="H138" s="4" t="s">
        <v>2</v>
      </c>
      <c r="I138" s="4" t="s">
        <v>2</v>
      </c>
      <c r="J138" s="4" t="s">
        <v>31</v>
      </c>
      <c r="L138" s="4"/>
    </row>
    <row r="139" spans="1:12" ht="16" outlineLevel="2" collapsed="1" x14ac:dyDescent="0.2">
      <c r="A139" s="4" t="s">
        <v>21</v>
      </c>
      <c r="B139" s="4" t="s">
        <v>16</v>
      </c>
      <c r="C139" s="4" t="s">
        <v>2</v>
      </c>
      <c r="D139" s="4"/>
      <c r="E139" s="4" t="s">
        <v>368</v>
      </c>
      <c r="F139" s="4" t="s">
        <v>15</v>
      </c>
      <c r="G139" s="4" t="s">
        <v>19</v>
      </c>
      <c r="H139" s="4" t="s">
        <v>2</v>
      </c>
      <c r="I139" s="4" t="s">
        <v>2</v>
      </c>
      <c r="J139" s="4" t="s">
        <v>33</v>
      </c>
      <c r="L139" s="4"/>
    </row>
    <row r="140" spans="1:12" ht="25" outlineLevel="2" collapsed="1" x14ac:dyDescent="0.3">
      <c r="A140" s="4" t="s">
        <v>15</v>
      </c>
      <c r="B140" s="4" t="s">
        <v>25</v>
      </c>
      <c r="C140" s="6" t="s">
        <v>365</v>
      </c>
      <c r="D140" s="4"/>
      <c r="E140" s="7" t="s">
        <v>370</v>
      </c>
      <c r="F140" s="4" t="s">
        <v>15</v>
      </c>
      <c r="G140" s="4" t="s">
        <v>2</v>
      </c>
      <c r="H140" s="4" t="s">
        <v>2</v>
      </c>
      <c r="I140" s="4" t="s">
        <v>2</v>
      </c>
      <c r="J140" s="4" t="s">
        <v>35</v>
      </c>
      <c r="L140" s="4"/>
    </row>
    <row r="141" spans="1:12" ht="16" outlineLevel="2" collapsed="1" x14ac:dyDescent="0.2">
      <c r="A141" s="4" t="s">
        <v>21</v>
      </c>
      <c r="B141" s="4" t="s">
        <v>16</v>
      </c>
      <c r="C141" s="4" t="s">
        <v>2</v>
      </c>
      <c r="D141" s="4"/>
      <c r="E141" s="4" t="s">
        <v>367</v>
      </c>
      <c r="F141" s="4" t="s">
        <v>15</v>
      </c>
      <c r="G141" s="4" t="s">
        <v>19</v>
      </c>
      <c r="H141" s="4" t="s">
        <v>2</v>
      </c>
      <c r="I141" s="4" t="s">
        <v>2</v>
      </c>
      <c r="J141" s="4" t="s">
        <v>37</v>
      </c>
      <c r="L141" s="4"/>
    </row>
    <row r="142" spans="1:12" ht="16" outlineLevel="2" collapsed="1" x14ac:dyDescent="0.2">
      <c r="A142" s="4" t="s">
        <v>21</v>
      </c>
      <c r="B142" s="4" t="s">
        <v>16</v>
      </c>
      <c r="C142" s="4" t="s">
        <v>2</v>
      </c>
      <c r="D142" s="4"/>
      <c r="E142" s="4" t="s">
        <v>368</v>
      </c>
      <c r="F142" s="4" t="s">
        <v>15</v>
      </c>
      <c r="G142" s="4" t="s">
        <v>19</v>
      </c>
      <c r="H142" s="4" t="s">
        <v>2</v>
      </c>
      <c r="I142" s="4" t="s">
        <v>2</v>
      </c>
      <c r="J142" s="4" t="s">
        <v>39</v>
      </c>
      <c r="L142" s="4"/>
    </row>
    <row r="143" spans="1:12" ht="25" outlineLevel="2" collapsed="1" x14ac:dyDescent="0.3">
      <c r="A143" s="4" t="s">
        <v>15</v>
      </c>
      <c r="B143" s="4" t="s">
        <v>25</v>
      </c>
      <c r="C143" s="6" t="s">
        <v>365</v>
      </c>
      <c r="D143" s="4"/>
      <c r="E143" s="7" t="s">
        <v>371</v>
      </c>
      <c r="F143" s="4" t="s">
        <v>15</v>
      </c>
      <c r="G143" s="4" t="s">
        <v>2</v>
      </c>
      <c r="H143" s="4" t="s">
        <v>2</v>
      </c>
      <c r="I143" s="4" t="s">
        <v>2</v>
      </c>
      <c r="J143" s="4" t="s">
        <v>41</v>
      </c>
      <c r="L143" s="4"/>
    </row>
    <row r="144" spans="1:12" ht="16" outlineLevel="2" collapsed="1" x14ac:dyDescent="0.2">
      <c r="A144" s="4" t="s">
        <v>21</v>
      </c>
      <c r="B144" s="4" t="s">
        <v>16</v>
      </c>
      <c r="C144" s="4" t="s">
        <v>2</v>
      </c>
      <c r="D144" s="4"/>
      <c r="E144" s="4" t="s">
        <v>367</v>
      </c>
      <c r="F144" s="4" t="s">
        <v>15</v>
      </c>
      <c r="G144" s="4" t="s">
        <v>19</v>
      </c>
      <c r="H144" s="4" t="s">
        <v>2</v>
      </c>
      <c r="I144" s="4" t="s">
        <v>2</v>
      </c>
      <c r="J144" s="4" t="s">
        <v>43</v>
      </c>
      <c r="L144" s="4"/>
    </row>
    <row r="145" spans="1:12" ht="16" outlineLevel="2" collapsed="1" x14ac:dyDescent="0.2">
      <c r="A145" s="4" t="s">
        <v>21</v>
      </c>
      <c r="B145" s="4" t="s">
        <v>16</v>
      </c>
      <c r="C145" s="4" t="s">
        <v>2</v>
      </c>
      <c r="D145" s="4"/>
      <c r="E145" s="4" t="s">
        <v>368</v>
      </c>
      <c r="F145" s="4" t="s">
        <v>15</v>
      </c>
      <c r="G145" s="4" t="s">
        <v>19</v>
      </c>
      <c r="H145" s="4" t="s">
        <v>2</v>
      </c>
      <c r="I145" s="4" t="s">
        <v>2</v>
      </c>
      <c r="J145" s="4" t="s">
        <v>47</v>
      </c>
      <c r="L145" s="4"/>
    </row>
    <row r="146" spans="1:12" ht="50" outlineLevel="2" collapsed="1" x14ac:dyDescent="0.3">
      <c r="A146" s="4" t="s">
        <v>15</v>
      </c>
      <c r="B146" s="4" t="s">
        <v>25</v>
      </c>
      <c r="C146" s="6" t="s">
        <v>365</v>
      </c>
      <c r="D146" s="4"/>
      <c r="E146" s="7" t="s">
        <v>372</v>
      </c>
      <c r="F146" s="4" t="s">
        <v>15</v>
      </c>
      <c r="G146" s="4" t="s">
        <v>2</v>
      </c>
      <c r="H146" s="4" t="s">
        <v>2</v>
      </c>
      <c r="I146" s="4" t="s">
        <v>2</v>
      </c>
      <c r="J146" s="4" t="s">
        <v>51</v>
      </c>
      <c r="L146" s="4"/>
    </row>
    <row r="147" spans="1:12" ht="16" outlineLevel="2" collapsed="1" x14ac:dyDescent="0.2">
      <c r="A147" s="4" t="s">
        <v>21</v>
      </c>
      <c r="B147" s="4" t="s">
        <v>16</v>
      </c>
      <c r="C147" s="4" t="s">
        <v>2</v>
      </c>
      <c r="D147" s="4"/>
      <c r="E147" s="4" t="s">
        <v>367</v>
      </c>
      <c r="F147" s="4" t="s">
        <v>15</v>
      </c>
      <c r="G147" s="4" t="s">
        <v>19</v>
      </c>
      <c r="H147" s="4" t="s">
        <v>2</v>
      </c>
      <c r="I147" s="4" t="s">
        <v>2</v>
      </c>
      <c r="J147" s="4" t="s">
        <v>53</v>
      </c>
      <c r="L147" s="4"/>
    </row>
    <row r="148" spans="1:12" ht="16" outlineLevel="2" collapsed="1" x14ac:dyDescent="0.2">
      <c r="A148" s="4" t="s">
        <v>21</v>
      </c>
      <c r="B148" s="4" t="s">
        <v>16</v>
      </c>
      <c r="C148" s="4" t="s">
        <v>2</v>
      </c>
      <c r="D148" s="4"/>
      <c r="E148" s="4" t="s">
        <v>368</v>
      </c>
      <c r="F148" s="4" t="s">
        <v>15</v>
      </c>
      <c r="G148" s="4" t="s">
        <v>19</v>
      </c>
      <c r="H148" s="4" t="s">
        <v>2</v>
      </c>
      <c r="I148" s="4" t="s">
        <v>2</v>
      </c>
      <c r="J148" s="4" t="s">
        <v>55</v>
      </c>
      <c r="L148" s="4"/>
    </row>
    <row r="149" spans="1:12" ht="75" outlineLevel="2" collapsed="1" x14ac:dyDescent="0.3">
      <c r="A149" s="4" t="s">
        <v>15</v>
      </c>
      <c r="B149" s="4" t="s">
        <v>25</v>
      </c>
      <c r="C149" s="6" t="s">
        <v>365</v>
      </c>
      <c r="D149" s="4"/>
      <c r="E149" s="7" t="s">
        <v>373</v>
      </c>
      <c r="F149" s="4" t="s">
        <v>15</v>
      </c>
      <c r="G149" s="4" t="s">
        <v>2</v>
      </c>
      <c r="H149" s="4" t="s">
        <v>2</v>
      </c>
      <c r="I149" s="4" t="s">
        <v>2</v>
      </c>
      <c r="J149" s="4" t="s">
        <v>57</v>
      </c>
      <c r="L149" s="4"/>
    </row>
    <row r="150" spans="1:12" ht="16" outlineLevel="2" collapsed="1" x14ac:dyDescent="0.2">
      <c r="A150" s="4" t="s">
        <v>21</v>
      </c>
      <c r="B150" s="4" t="s">
        <v>16</v>
      </c>
      <c r="C150" s="4" t="s">
        <v>2</v>
      </c>
      <c r="D150" s="4"/>
      <c r="E150" s="4" t="s">
        <v>367</v>
      </c>
      <c r="F150" s="4" t="s">
        <v>15</v>
      </c>
      <c r="G150" s="4" t="s">
        <v>19</v>
      </c>
      <c r="H150" s="4" t="s">
        <v>2</v>
      </c>
      <c r="I150" s="4" t="s">
        <v>2</v>
      </c>
      <c r="J150" s="4" t="s">
        <v>59</v>
      </c>
      <c r="L150" s="4"/>
    </row>
    <row r="151" spans="1:12" ht="16" outlineLevel="2" collapsed="1" x14ac:dyDescent="0.2">
      <c r="A151" s="4" t="s">
        <v>21</v>
      </c>
      <c r="B151" s="4" t="s">
        <v>16</v>
      </c>
      <c r="C151" s="4" t="s">
        <v>2</v>
      </c>
      <c r="D151" s="4"/>
      <c r="E151" s="4" t="s">
        <v>368</v>
      </c>
      <c r="F151" s="4" t="s">
        <v>15</v>
      </c>
      <c r="G151" s="4" t="s">
        <v>19</v>
      </c>
      <c r="H151" s="4" t="s">
        <v>2</v>
      </c>
      <c r="I151" s="4" t="s">
        <v>2</v>
      </c>
      <c r="J151" s="4" t="s">
        <v>61</v>
      </c>
      <c r="L151" s="4"/>
    </row>
    <row r="152" spans="1:12" ht="32" outlineLevel="2" x14ac:dyDescent="0.2">
      <c r="A152" s="5" t="s">
        <v>21</v>
      </c>
      <c r="B152" t="s">
        <v>1178</v>
      </c>
      <c r="C152" s="5" t="s">
        <v>374</v>
      </c>
      <c r="D152" s="5"/>
      <c r="E152" s="5" t="s">
        <v>374</v>
      </c>
      <c r="F152" s="5" t="s">
        <v>21</v>
      </c>
      <c r="G152" s="5" t="s">
        <v>2</v>
      </c>
      <c r="H152" s="5" t="s">
        <v>2</v>
      </c>
      <c r="I152" s="5" t="s">
        <v>2</v>
      </c>
      <c r="J152" s="5" t="s">
        <v>63</v>
      </c>
      <c r="L152" s="57"/>
    </row>
    <row r="153" spans="1:12" ht="16" outlineLevel="3" collapsed="1" x14ac:dyDescent="0.2">
      <c r="A153" s="4" t="s">
        <v>21</v>
      </c>
      <c r="B153" s="4" t="s">
        <v>16</v>
      </c>
      <c r="C153" s="4" t="s">
        <v>2</v>
      </c>
      <c r="D153" s="4"/>
      <c r="E153" s="4" t="s">
        <v>367</v>
      </c>
      <c r="F153" s="4" t="s">
        <v>15</v>
      </c>
      <c r="G153" s="4" t="s">
        <v>19</v>
      </c>
      <c r="H153" s="4" t="s">
        <v>2</v>
      </c>
      <c r="I153" s="4" t="s">
        <v>2</v>
      </c>
      <c r="J153" s="4" t="s">
        <v>20</v>
      </c>
      <c r="L153" s="4"/>
    </row>
    <row r="154" spans="1:12" ht="16" outlineLevel="3" collapsed="1" x14ac:dyDescent="0.2">
      <c r="A154" s="4" t="s">
        <v>21</v>
      </c>
      <c r="B154" s="4" t="s">
        <v>16</v>
      </c>
      <c r="C154" s="4" t="s">
        <v>2</v>
      </c>
      <c r="D154" s="4"/>
      <c r="E154" s="4" t="s">
        <v>368</v>
      </c>
      <c r="F154" s="4" t="s">
        <v>15</v>
      </c>
      <c r="G154" s="4" t="s">
        <v>19</v>
      </c>
      <c r="H154" s="4" t="s">
        <v>2</v>
      </c>
      <c r="I154" s="4" t="s">
        <v>2</v>
      </c>
      <c r="J154" s="4" t="s">
        <v>24</v>
      </c>
      <c r="L154" s="4"/>
    </row>
    <row r="155" spans="1:12" ht="25" outlineLevel="1" collapsed="1" x14ac:dyDescent="0.3">
      <c r="A155" s="4" t="s">
        <v>15</v>
      </c>
      <c r="B155" s="4" t="s">
        <v>25</v>
      </c>
      <c r="C155" s="6" t="s">
        <v>365</v>
      </c>
      <c r="D155" s="4"/>
      <c r="E155" s="7" t="s">
        <v>375</v>
      </c>
      <c r="F155" s="4" t="s">
        <v>15</v>
      </c>
      <c r="G155" s="4" t="s">
        <v>2</v>
      </c>
      <c r="H155" s="4" t="s">
        <v>2</v>
      </c>
      <c r="I155" s="4" t="s">
        <v>2</v>
      </c>
      <c r="J155" s="4" t="s">
        <v>376</v>
      </c>
      <c r="L155" s="4"/>
    </row>
    <row r="156" spans="1:12" ht="16" outlineLevel="1" x14ac:dyDescent="0.2">
      <c r="A156" s="5" t="s">
        <v>15</v>
      </c>
      <c r="B156" t="s">
        <v>1178</v>
      </c>
      <c r="C156" s="5" t="s">
        <v>377</v>
      </c>
      <c r="D156" s="5"/>
      <c r="E156" s="5" t="s">
        <v>377</v>
      </c>
      <c r="F156" s="5" t="s">
        <v>15</v>
      </c>
      <c r="G156" s="5" t="s">
        <v>2</v>
      </c>
      <c r="H156" s="5" t="s">
        <v>2</v>
      </c>
      <c r="I156" s="5" t="s">
        <v>2</v>
      </c>
      <c r="J156" s="5" t="s">
        <v>378</v>
      </c>
      <c r="L156" s="57"/>
    </row>
    <row r="157" spans="1:12" ht="25" outlineLevel="2" collapsed="1" x14ac:dyDescent="0.3">
      <c r="A157" s="4" t="s">
        <v>15</v>
      </c>
      <c r="B157" s="4" t="s">
        <v>25</v>
      </c>
      <c r="C157" s="6" t="s">
        <v>365</v>
      </c>
      <c r="D157" s="4"/>
      <c r="E157" s="7" t="s">
        <v>379</v>
      </c>
      <c r="F157" s="4" t="s">
        <v>15</v>
      </c>
      <c r="G157" s="4" t="s">
        <v>2</v>
      </c>
      <c r="H157" s="4" t="s">
        <v>2</v>
      </c>
      <c r="I157" s="4" t="s">
        <v>2</v>
      </c>
      <c r="J157" s="4" t="s">
        <v>20</v>
      </c>
      <c r="L157" s="4"/>
    </row>
    <row r="158" spans="1:12" ht="16" outlineLevel="2" collapsed="1" x14ac:dyDescent="0.2">
      <c r="A158" s="4" t="s">
        <v>21</v>
      </c>
      <c r="B158" s="4" t="s">
        <v>16</v>
      </c>
      <c r="C158" s="4" t="s">
        <v>2</v>
      </c>
      <c r="D158" s="4"/>
      <c r="E158" s="4" t="s">
        <v>367</v>
      </c>
      <c r="F158" s="4" t="s">
        <v>15</v>
      </c>
      <c r="G158" s="4" t="s">
        <v>19</v>
      </c>
      <c r="H158" s="4" t="s">
        <v>2</v>
      </c>
      <c r="I158" s="4" t="s">
        <v>2</v>
      </c>
      <c r="J158" s="4" t="s">
        <v>24</v>
      </c>
      <c r="L158" s="4"/>
    </row>
    <row r="159" spans="1:12" ht="16" outlineLevel="2" collapsed="1" x14ac:dyDescent="0.2">
      <c r="A159" s="4" t="s">
        <v>21</v>
      </c>
      <c r="B159" s="4" t="s">
        <v>16</v>
      </c>
      <c r="C159" s="4" t="s">
        <v>2</v>
      </c>
      <c r="D159" s="4"/>
      <c r="E159" s="4" t="s">
        <v>368</v>
      </c>
      <c r="F159" s="4" t="s">
        <v>15</v>
      </c>
      <c r="G159" s="4" t="s">
        <v>19</v>
      </c>
      <c r="H159" s="4" t="s">
        <v>2</v>
      </c>
      <c r="I159" s="4" t="s">
        <v>2</v>
      </c>
      <c r="J159" s="4" t="s">
        <v>27</v>
      </c>
      <c r="L159" s="4"/>
    </row>
    <row r="160" spans="1:12" ht="25" outlineLevel="2" collapsed="1" x14ac:dyDescent="0.3">
      <c r="A160" s="4" t="s">
        <v>15</v>
      </c>
      <c r="B160" s="4" t="s">
        <v>25</v>
      </c>
      <c r="C160" s="6" t="s">
        <v>365</v>
      </c>
      <c r="D160" s="4"/>
      <c r="E160" s="7" t="s">
        <v>380</v>
      </c>
      <c r="F160" s="4" t="s">
        <v>15</v>
      </c>
      <c r="G160" s="4" t="s">
        <v>2</v>
      </c>
      <c r="H160" s="4" t="s">
        <v>2</v>
      </c>
      <c r="I160" s="4" t="s">
        <v>2</v>
      </c>
      <c r="J160" s="4" t="s">
        <v>29</v>
      </c>
      <c r="L160" s="4"/>
    </row>
    <row r="161" spans="1:12" ht="16" outlineLevel="2" collapsed="1" x14ac:dyDescent="0.2">
      <c r="A161" s="4" t="s">
        <v>21</v>
      </c>
      <c r="B161" s="4" t="s">
        <v>16</v>
      </c>
      <c r="C161" s="4" t="s">
        <v>2</v>
      </c>
      <c r="D161" s="4"/>
      <c r="E161" s="4" t="s">
        <v>367</v>
      </c>
      <c r="F161" s="4" t="s">
        <v>15</v>
      </c>
      <c r="G161" s="4" t="s">
        <v>19</v>
      </c>
      <c r="H161" s="4" t="s">
        <v>2</v>
      </c>
      <c r="I161" s="4" t="s">
        <v>2</v>
      </c>
      <c r="J161" s="4" t="s">
        <v>31</v>
      </c>
      <c r="L161" s="4"/>
    </row>
    <row r="162" spans="1:12" ht="16" outlineLevel="2" collapsed="1" x14ac:dyDescent="0.2">
      <c r="A162" s="4" t="s">
        <v>21</v>
      </c>
      <c r="B162" s="4" t="s">
        <v>16</v>
      </c>
      <c r="C162" s="4" t="s">
        <v>2</v>
      </c>
      <c r="D162" s="4"/>
      <c r="E162" s="4" t="s">
        <v>368</v>
      </c>
      <c r="F162" s="4" t="s">
        <v>15</v>
      </c>
      <c r="G162" s="4" t="s">
        <v>19</v>
      </c>
      <c r="H162" s="4" t="s">
        <v>2</v>
      </c>
      <c r="I162" s="4" t="s">
        <v>2</v>
      </c>
      <c r="J162" s="4" t="s">
        <v>33</v>
      </c>
      <c r="L162" s="4"/>
    </row>
    <row r="163" spans="1:12" ht="25" outlineLevel="2" collapsed="1" x14ac:dyDescent="0.3">
      <c r="A163" s="4" t="s">
        <v>15</v>
      </c>
      <c r="B163" s="4" t="s">
        <v>25</v>
      </c>
      <c r="C163" s="6" t="s">
        <v>365</v>
      </c>
      <c r="D163" s="4"/>
      <c r="E163" s="7" t="s">
        <v>381</v>
      </c>
      <c r="F163" s="4" t="s">
        <v>15</v>
      </c>
      <c r="G163" s="4" t="s">
        <v>2</v>
      </c>
      <c r="H163" s="4" t="s">
        <v>2</v>
      </c>
      <c r="I163" s="4" t="s">
        <v>2</v>
      </c>
      <c r="J163" s="4" t="s">
        <v>35</v>
      </c>
      <c r="L163" s="4"/>
    </row>
    <row r="164" spans="1:12" ht="16" outlineLevel="2" collapsed="1" x14ac:dyDescent="0.2">
      <c r="A164" s="4" t="s">
        <v>21</v>
      </c>
      <c r="B164" s="4" t="s">
        <v>16</v>
      </c>
      <c r="C164" s="4" t="s">
        <v>2</v>
      </c>
      <c r="D164" s="4"/>
      <c r="E164" s="4" t="s">
        <v>367</v>
      </c>
      <c r="F164" s="4" t="s">
        <v>15</v>
      </c>
      <c r="G164" s="4" t="s">
        <v>19</v>
      </c>
      <c r="H164" s="4" t="s">
        <v>2</v>
      </c>
      <c r="I164" s="4" t="s">
        <v>2</v>
      </c>
      <c r="J164" s="4" t="s">
        <v>37</v>
      </c>
      <c r="L164" s="4"/>
    </row>
    <row r="165" spans="1:12" ht="16" outlineLevel="2" collapsed="1" x14ac:dyDescent="0.2">
      <c r="A165" s="4" t="s">
        <v>21</v>
      </c>
      <c r="B165" s="4" t="s">
        <v>16</v>
      </c>
      <c r="C165" s="4" t="s">
        <v>2</v>
      </c>
      <c r="D165" s="4"/>
      <c r="E165" s="4" t="s">
        <v>368</v>
      </c>
      <c r="F165" s="4" t="s">
        <v>15</v>
      </c>
      <c r="G165" s="4" t="s">
        <v>19</v>
      </c>
      <c r="H165" s="4" t="s">
        <v>2</v>
      </c>
      <c r="I165" s="4" t="s">
        <v>2</v>
      </c>
      <c r="J165" s="4" t="s">
        <v>39</v>
      </c>
      <c r="L165" s="4"/>
    </row>
    <row r="166" spans="1:12" ht="25" outlineLevel="2" collapsed="1" x14ac:dyDescent="0.3">
      <c r="A166" s="4" t="s">
        <v>15</v>
      </c>
      <c r="B166" s="4" t="s">
        <v>25</v>
      </c>
      <c r="C166" s="6" t="s">
        <v>365</v>
      </c>
      <c r="D166" s="4"/>
      <c r="E166" s="7" t="s">
        <v>382</v>
      </c>
      <c r="F166" s="4" t="s">
        <v>15</v>
      </c>
      <c r="G166" s="4" t="s">
        <v>2</v>
      </c>
      <c r="H166" s="4" t="s">
        <v>2</v>
      </c>
      <c r="I166" s="4" t="s">
        <v>2</v>
      </c>
      <c r="J166" s="4" t="s">
        <v>41</v>
      </c>
      <c r="L166" s="4"/>
    </row>
    <row r="167" spans="1:12" ht="16" outlineLevel="2" collapsed="1" x14ac:dyDescent="0.2">
      <c r="A167" s="4" t="s">
        <v>21</v>
      </c>
      <c r="B167" s="4" t="s">
        <v>16</v>
      </c>
      <c r="C167" s="4" t="s">
        <v>2</v>
      </c>
      <c r="D167" s="4"/>
      <c r="E167" s="4" t="s">
        <v>367</v>
      </c>
      <c r="F167" s="4" t="s">
        <v>15</v>
      </c>
      <c r="G167" s="4" t="s">
        <v>19</v>
      </c>
      <c r="H167" s="4" t="s">
        <v>2</v>
      </c>
      <c r="I167" s="4" t="s">
        <v>2</v>
      </c>
      <c r="J167" s="4" t="s">
        <v>43</v>
      </c>
      <c r="L167" s="4"/>
    </row>
    <row r="168" spans="1:12" ht="16" outlineLevel="2" collapsed="1" x14ac:dyDescent="0.2">
      <c r="A168" s="4" t="s">
        <v>21</v>
      </c>
      <c r="B168" s="4" t="s">
        <v>16</v>
      </c>
      <c r="C168" s="4" t="s">
        <v>2</v>
      </c>
      <c r="D168" s="4"/>
      <c r="E168" s="4" t="s">
        <v>368</v>
      </c>
      <c r="F168" s="4" t="s">
        <v>15</v>
      </c>
      <c r="G168" s="4" t="s">
        <v>19</v>
      </c>
      <c r="H168" s="4" t="s">
        <v>2</v>
      </c>
      <c r="I168" s="4" t="s">
        <v>2</v>
      </c>
      <c r="J168" s="4" t="s">
        <v>47</v>
      </c>
      <c r="L168" s="4"/>
    </row>
    <row r="169" spans="1:12" ht="25" outlineLevel="2" collapsed="1" x14ac:dyDescent="0.3">
      <c r="A169" s="4" t="s">
        <v>15</v>
      </c>
      <c r="B169" s="4" t="s">
        <v>25</v>
      </c>
      <c r="C169" s="6" t="s">
        <v>365</v>
      </c>
      <c r="D169" s="4"/>
      <c r="E169" s="7" t="s">
        <v>383</v>
      </c>
      <c r="F169" s="4" t="s">
        <v>15</v>
      </c>
      <c r="G169" s="4" t="s">
        <v>2</v>
      </c>
      <c r="H169" s="4" t="s">
        <v>2</v>
      </c>
      <c r="I169" s="4" t="s">
        <v>2</v>
      </c>
      <c r="J169" s="4" t="s">
        <v>51</v>
      </c>
      <c r="L169" s="4"/>
    </row>
    <row r="170" spans="1:12" ht="16" outlineLevel="2" collapsed="1" x14ac:dyDescent="0.2">
      <c r="A170" s="4" t="s">
        <v>21</v>
      </c>
      <c r="B170" s="4" t="s">
        <v>16</v>
      </c>
      <c r="C170" s="4" t="s">
        <v>2</v>
      </c>
      <c r="D170" s="4"/>
      <c r="E170" s="4" t="s">
        <v>367</v>
      </c>
      <c r="F170" s="4" t="s">
        <v>15</v>
      </c>
      <c r="G170" s="4" t="s">
        <v>19</v>
      </c>
      <c r="H170" s="4" t="s">
        <v>2</v>
      </c>
      <c r="I170" s="4" t="s">
        <v>2</v>
      </c>
      <c r="J170" s="4" t="s">
        <v>53</v>
      </c>
      <c r="L170" s="4"/>
    </row>
    <row r="171" spans="1:12" ht="16" outlineLevel="2" collapsed="1" x14ac:dyDescent="0.2">
      <c r="A171" s="4" t="s">
        <v>21</v>
      </c>
      <c r="B171" s="4" t="s">
        <v>16</v>
      </c>
      <c r="C171" s="4" t="s">
        <v>2</v>
      </c>
      <c r="D171" s="4"/>
      <c r="E171" s="4" t="s">
        <v>368</v>
      </c>
      <c r="F171" s="4" t="s">
        <v>15</v>
      </c>
      <c r="G171" s="4" t="s">
        <v>19</v>
      </c>
      <c r="H171" s="4" t="s">
        <v>2</v>
      </c>
      <c r="I171" s="4" t="s">
        <v>2</v>
      </c>
      <c r="J171" s="4" t="s">
        <v>55</v>
      </c>
      <c r="L171" s="4"/>
    </row>
    <row r="172" spans="1:12" ht="25" outlineLevel="2" collapsed="1" x14ac:dyDescent="0.3">
      <c r="A172" s="4" t="s">
        <v>15</v>
      </c>
      <c r="B172" s="4" t="s">
        <v>25</v>
      </c>
      <c r="C172" s="6" t="s">
        <v>365</v>
      </c>
      <c r="D172" s="4"/>
      <c r="E172" s="7" t="s">
        <v>384</v>
      </c>
      <c r="F172" s="4" t="s">
        <v>15</v>
      </c>
      <c r="G172" s="4" t="s">
        <v>2</v>
      </c>
      <c r="H172" s="4" t="s">
        <v>2</v>
      </c>
      <c r="I172" s="4" t="s">
        <v>2</v>
      </c>
      <c r="J172" s="4" t="s">
        <v>57</v>
      </c>
      <c r="L172" s="4"/>
    </row>
    <row r="173" spans="1:12" ht="16" outlineLevel="2" collapsed="1" x14ac:dyDescent="0.2">
      <c r="A173" s="4" t="s">
        <v>21</v>
      </c>
      <c r="B173" s="4" t="s">
        <v>16</v>
      </c>
      <c r="C173" s="4" t="s">
        <v>2</v>
      </c>
      <c r="D173" s="4"/>
      <c r="E173" s="4" t="s">
        <v>367</v>
      </c>
      <c r="F173" s="4" t="s">
        <v>15</v>
      </c>
      <c r="G173" s="4" t="s">
        <v>19</v>
      </c>
      <c r="H173" s="4" t="s">
        <v>2</v>
      </c>
      <c r="I173" s="4" t="s">
        <v>2</v>
      </c>
      <c r="J173" s="4" t="s">
        <v>59</v>
      </c>
      <c r="L173" s="4"/>
    </row>
    <row r="174" spans="1:12" ht="16" outlineLevel="2" collapsed="1" x14ac:dyDescent="0.2">
      <c r="A174" s="4" t="s">
        <v>21</v>
      </c>
      <c r="B174" s="4" t="s">
        <v>16</v>
      </c>
      <c r="C174" s="4" t="s">
        <v>2</v>
      </c>
      <c r="D174" s="4"/>
      <c r="E174" s="4" t="s">
        <v>368</v>
      </c>
      <c r="F174" s="4" t="s">
        <v>15</v>
      </c>
      <c r="G174" s="4" t="s">
        <v>19</v>
      </c>
      <c r="H174" s="4" t="s">
        <v>2</v>
      </c>
      <c r="I174" s="4" t="s">
        <v>2</v>
      </c>
      <c r="J174" s="4" t="s">
        <v>61</v>
      </c>
      <c r="L174" s="4"/>
    </row>
    <row r="175" spans="1:12" ht="25" outlineLevel="2" collapsed="1" x14ac:dyDescent="0.3">
      <c r="A175" s="4" t="s">
        <v>15</v>
      </c>
      <c r="B175" s="4" t="s">
        <v>25</v>
      </c>
      <c r="C175" s="6" t="s">
        <v>365</v>
      </c>
      <c r="D175" s="4"/>
      <c r="E175" s="7" t="s">
        <v>385</v>
      </c>
      <c r="F175" s="4" t="s">
        <v>15</v>
      </c>
      <c r="G175" s="4" t="s">
        <v>2</v>
      </c>
      <c r="H175" s="4" t="s">
        <v>2</v>
      </c>
      <c r="I175" s="4" t="s">
        <v>2</v>
      </c>
      <c r="J175" s="4" t="s">
        <v>63</v>
      </c>
      <c r="L175" s="4"/>
    </row>
    <row r="176" spans="1:12" ht="16" outlineLevel="2" collapsed="1" x14ac:dyDescent="0.2">
      <c r="A176" s="4" t="s">
        <v>21</v>
      </c>
      <c r="B176" s="4" t="s">
        <v>16</v>
      </c>
      <c r="C176" s="4" t="s">
        <v>2</v>
      </c>
      <c r="D176" s="4"/>
      <c r="E176" s="4" t="s">
        <v>367</v>
      </c>
      <c r="F176" s="4" t="s">
        <v>15</v>
      </c>
      <c r="G176" s="4" t="s">
        <v>19</v>
      </c>
      <c r="H176" s="4" t="s">
        <v>2</v>
      </c>
      <c r="I176" s="4" t="s">
        <v>2</v>
      </c>
      <c r="J176" s="4" t="s">
        <v>65</v>
      </c>
      <c r="L176" s="4"/>
    </row>
    <row r="177" spans="1:12" ht="16" outlineLevel="2" collapsed="1" x14ac:dyDescent="0.2">
      <c r="A177" s="4" t="s">
        <v>21</v>
      </c>
      <c r="B177" s="4" t="s">
        <v>16</v>
      </c>
      <c r="C177" s="4" t="s">
        <v>2</v>
      </c>
      <c r="D177" s="4"/>
      <c r="E177" s="4" t="s">
        <v>368</v>
      </c>
      <c r="F177" s="4" t="s">
        <v>15</v>
      </c>
      <c r="G177" s="4" t="s">
        <v>19</v>
      </c>
      <c r="H177" s="4" t="s">
        <v>2</v>
      </c>
      <c r="I177" s="4" t="s">
        <v>2</v>
      </c>
      <c r="J177" s="4" t="s">
        <v>67</v>
      </c>
      <c r="L177" s="4"/>
    </row>
    <row r="178" spans="1:12" ht="32" outlineLevel="2" x14ac:dyDescent="0.2">
      <c r="A178" s="5" t="s">
        <v>21</v>
      </c>
      <c r="B178" t="s">
        <v>1178</v>
      </c>
      <c r="C178" s="5" t="s">
        <v>386</v>
      </c>
      <c r="D178" s="5"/>
      <c r="E178" s="5" t="s">
        <v>386</v>
      </c>
      <c r="F178" s="5" t="s">
        <v>21</v>
      </c>
      <c r="G178" s="5" t="s">
        <v>2</v>
      </c>
      <c r="H178" s="5" t="s">
        <v>2</v>
      </c>
      <c r="I178" s="5" t="s">
        <v>2</v>
      </c>
      <c r="J178" s="5" t="s">
        <v>69</v>
      </c>
      <c r="L178" s="57"/>
    </row>
    <row r="179" spans="1:12" ht="16" outlineLevel="3" collapsed="1" x14ac:dyDescent="0.2">
      <c r="A179" s="4" t="s">
        <v>21</v>
      </c>
      <c r="B179" s="4" t="s">
        <v>16</v>
      </c>
      <c r="C179" s="4" t="s">
        <v>2</v>
      </c>
      <c r="D179" s="4"/>
      <c r="E179" s="4" t="s">
        <v>367</v>
      </c>
      <c r="F179" s="4" t="s">
        <v>15</v>
      </c>
      <c r="G179" s="4" t="s">
        <v>19</v>
      </c>
      <c r="H179" s="4" t="s">
        <v>2</v>
      </c>
      <c r="I179" s="4" t="s">
        <v>2</v>
      </c>
      <c r="J179" s="4" t="s">
        <v>20</v>
      </c>
      <c r="L179" s="4"/>
    </row>
    <row r="180" spans="1:12" ht="16" outlineLevel="3" collapsed="1" x14ac:dyDescent="0.2">
      <c r="A180" s="4" t="s">
        <v>21</v>
      </c>
      <c r="B180" s="4" t="s">
        <v>16</v>
      </c>
      <c r="C180" s="4" t="s">
        <v>2</v>
      </c>
      <c r="D180" s="4"/>
      <c r="E180" s="4" t="s">
        <v>368</v>
      </c>
      <c r="F180" s="4" t="s">
        <v>15</v>
      </c>
      <c r="G180" s="4" t="s">
        <v>19</v>
      </c>
      <c r="H180" s="4" t="s">
        <v>2</v>
      </c>
      <c r="I180" s="4" t="s">
        <v>2</v>
      </c>
      <c r="J180" s="4" t="s">
        <v>24</v>
      </c>
      <c r="L180" s="4"/>
    </row>
    <row r="181" spans="1:12" ht="32" outlineLevel="1" x14ac:dyDescent="0.2">
      <c r="A181" s="5" t="s">
        <v>21</v>
      </c>
      <c r="B181" t="s">
        <v>1178</v>
      </c>
      <c r="C181" s="5" t="s">
        <v>387</v>
      </c>
      <c r="D181" s="5"/>
      <c r="E181" s="5" t="s">
        <v>387</v>
      </c>
      <c r="F181" s="5" t="s">
        <v>21</v>
      </c>
      <c r="G181" s="5" t="s">
        <v>2</v>
      </c>
      <c r="H181" s="5" t="s">
        <v>2</v>
      </c>
      <c r="I181" s="5" t="s">
        <v>2</v>
      </c>
      <c r="J181" s="5" t="s">
        <v>388</v>
      </c>
      <c r="L181" s="57"/>
    </row>
    <row r="182" spans="1:12" ht="16" outlineLevel="2" collapsed="1" x14ac:dyDescent="0.2">
      <c r="A182" s="4" t="s">
        <v>21</v>
      </c>
      <c r="B182" s="4" t="s">
        <v>16</v>
      </c>
      <c r="C182" s="4" t="s">
        <v>2</v>
      </c>
      <c r="D182" s="4"/>
      <c r="E182" s="4" t="s">
        <v>389</v>
      </c>
      <c r="F182" s="4" t="s">
        <v>15</v>
      </c>
      <c r="G182" s="4" t="s">
        <v>390</v>
      </c>
      <c r="H182" s="4" t="s">
        <v>2</v>
      </c>
      <c r="I182" s="4" t="s">
        <v>2</v>
      </c>
      <c r="J182" s="4" t="s">
        <v>20</v>
      </c>
      <c r="L182" s="4"/>
    </row>
    <row r="183" spans="1:12" ht="32" outlineLevel="2" collapsed="1" x14ac:dyDescent="0.2">
      <c r="A183" s="4" t="s">
        <v>21</v>
      </c>
      <c r="B183" s="4" t="s">
        <v>16</v>
      </c>
      <c r="C183" s="4" t="s">
        <v>2</v>
      </c>
      <c r="D183" s="4"/>
      <c r="E183" s="4" t="s">
        <v>391</v>
      </c>
      <c r="F183" s="4" t="s">
        <v>15</v>
      </c>
      <c r="G183" s="4" t="s">
        <v>392</v>
      </c>
      <c r="H183" s="4" t="s">
        <v>2</v>
      </c>
      <c r="I183" s="4" t="s">
        <v>2</v>
      </c>
      <c r="J183" s="4" t="s">
        <v>24</v>
      </c>
      <c r="L183" s="4"/>
    </row>
    <row r="184" spans="1:12" ht="64" outlineLevel="1" x14ac:dyDescent="0.2">
      <c r="A184" s="5" t="s">
        <v>21</v>
      </c>
      <c r="B184" t="s">
        <v>1178</v>
      </c>
      <c r="C184" s="5" t="s">
        <v>393</v>
      </c>
      <c r="D184" s="5"/>
      <c r="E184" s="5" t="s">
        <v>393</v>
      </c>
      <c r="F184" s="5" t="s">
        <v>21</v>
      </c>
      <c r="G184" s="5" t="s">
        <v>2</v>
      </c>
      <c r="H184" s="5" t="s">
        <v>2</v>
      </c>
      <c r="I184" s="5" t="s">
        <v>2</v>
      </c>
      <c r="J184" s="5" t="s">
        <v>394</v>
      </c>
      <c r="L184" s="57"/>
    </row>
    <row r="185" spans="1:12" ht="16" outlineLevel="2" collapsed="1" x14ac:dyDescent="0.2">
      <c r="A185" s="4" t="s">
        <v>21</v>
      </c>
      <c r="B185" s="4" t="s">
        <v>16</v>
      </c>
      <c r="C185" s="4" t="s">
        <v>2</v>
      </c>
      <c r="D185" s="4"/>
      <c r="E185" s="4" t="s">
        <v>389</v>
      </c>
      <c r="F185" s="4" t="s">
        <v>15</v>
      </c>
      <c r="G185" s="4" t="s">
        <v>395</v>
      </c>
      <c r="H185" s="4" t="s">
        <v>2</v>
      </c>
      <c r="I185" s="4" t="s">
        <v>2</v>
      </c>
      <c r="J185" s="4" t="s">
        <v>20</v>
      </c>
      <c r="L185" s="4"/>
    </row>
    <row r="186" spans="1:12" ht="16" outlineLevel="2" collapsed="1" x14ac:dyDescent="0.2">
      <c r="A186" s="4" t="s">
        <v>21</v>
      </c>
      <c r="B186" s="4" t="s">
        <v>16</v>
      </c>
      <c r="C186" s="4" t="s">
        <v>2</v>
      </c>
      <c r="D186" s="4"/>
      <c r="E186" s="4" t="s">
        <v>368</v>
      </c>
      <c r="F186" s="4" t="s">
        <v>15</v>
      </c>
      <c r="G186" s="4" t="s">
        <v>396</v>
      </c>
      <c r="H186" s="4" t="s">
        <v>2</v>
      </c>
      <c r="I186" s="4" t="s">
        <v>2</v>
      </c>
      <c r="J186" s="4" t="s">
        <v>24</v>
      </c>
      <c r="L186" s="4"/>
    </row>
    <row r="187" spans="1:12" ht="16" outlineLevel="1" x14ac:dyDescent="0.2">
      <c r="A187" s="5" t="s">
        <v>21</v>
      </c>
      <c r="B187" t="s">
        <v>1178</v>
      </c>
      <c r="C187" s="5" t="s">
        <v>397</v>
      </c>
      <c r="D187" s="5"/>
      <c r="E187" s="5" t="s">
        <v>397</v>
      </c>
      <c r="F187" s="5" t="s">
        <v>21</v>
      </c>
      <c r="G187" s="5" t="s">
        <v>2</v>
      </c>
      <c r="H187" s="5" t="s">
        <v>2</v>
      </c>
      <c r="I187" s="5" t="s">
        <v>2</v>
      </c>
      <c r="J187" s="5" t="s">
        <v>398</v>
      </c>
      <c r="L187" s="57"/>
    </row>
    <row r="188" spans="1:12" ht="16" outlineLevel="2" collapsed="1" x14ac:dyDescent="0.2">
      <c r="A188" s="4" t="s">
        <v>21</v>
      </c>
      <c r="B188" s="4" t="s">
        <v>16</v>
      </c>
      <c r="C188" s="4" t="s">
        <v>2</v>
      </c>
      <c r="D188" s="4"/>
      <c r="E188" s="4" t="s">
        <v>367</v>
      </c>
      <c r="F188" s="4" t="s">
        <v>15</v>
      </c>
      <c r="G188" s="4" t="s">
        <v>399</v>
      </c>
      <c r="H188" s="4" t="s">
        <v>2</v>
      </c>
      <c r="I188" s="4" t="s">
        <v>2</v>
      </c>
      <c r="J188" s="4" t="s">
        <v>20</v>
      </c>
      <c r="L188" s="4"/>
    </row>
    <row r="189" spans="1:12" ht="32" outlineLevel="2" collapsed="1" x14ac:dyDescent="0.2">
      <c r="A189" s="4" t="s">
        <v>21</v>
      </c>
      <c r="B189" s="4" t="s">
        <v>16</v>
      </c>
      <c r="C189" s="4" t="s">
        <v>2</v>
      </c>
      <c r="D189" s="4"/>
      <c r="E189" s="4" t="s">
        <v>400</v>
      </c>
      <c r="F189" s="4" t="s">
        <v>15</v>
      </c>
      <c r="G189" s="4" t="s">
        <v>401</v>
      </c>
      <c r="H189" s="4" t="s">
        <v>2</v>
      </c>
      <c r="I189" s="4" t="s">
        <v>2</v>
      </c>
      <c r="J189" s="4" t="s">
        <v>24</v>
      </c>
      <c r="L189" s="4"/>
    </row>
    <row r="190" spans="1:12" ht="16" outlineLevel="1" x14ac:dyDescent="0.2">
      <c r="A190" s="5" t="s">
        <v>21</v>
      </c>
      <c r="B190" t="s">
        <v>1178</v>
      </c>
      <c r="C190" s="5" t="s">
        <v>402</v>
      </c>
      <c r="D190" s="5"/>
      <c r="E190" s="5" t="s">
        <v>402</v>
      </c>
      <c r="F190" s="5" t="s">
        <v>15</v>
      </c>
      <c r="G190" s="5" t="s">
        <v>2</v>
      </c>
      <c r="H190" s="5" t="s">
        <v>2</v>
      </c>
      <c r="I190" s="5" t="s">
        <v>2</v>
      </c>
      <c r="J190" s="5" t="s">
        <v>403</v>
      </c>
      <c r="L190" s="57"/>
    </row>
    <row r="191" spans="1:12" ht="32" outlineLevel="2" collapsed="1" x14ac:dyDescent="0.2">
      <c r="A191" s="4" t="s">
        <v>21</v>
      </c>
      <c r="B191" s="4" t="s">
        <v>16</v>
      </c>
      <c r="C191" s="4" t="s">
        <v>2</v>
      </c>
      <c r="D191" s="4"/>
      <c r="E191" s="4" t="s">
        <v>404</v>
      </c>
      <c r="F191" s="4" t="s">
        <v>15</v>
      </c>
      <c r="G191" s="4" t="s">
        <v>405</v>
      </c>
      <c r="H191" s="4" t="s">
        <v>2</v>
      </c>
      <c r="I191" s="4" t="s">
        <v>2</v>
      </c>
      <c r="J191" s="4" t="s">
        <v>20</v>
      </c>
      <c r="L191" s="4"/>
    </row>
    <row r="192" spans="1:12" ht="32" outlineLevel="2" collapsed="1" x14ac:dyDescent="0.2">
      <c r="A192" s="4" t="s">
        <v>21</v>
      </c>
      <c r="B192" s="4" t="s">
        <v>16</v>
      </c>
      <c r="C192" s="4" t="s">
        <v>2</v>
      </c>
      <c r="D192" s="4"/>
      <c r="E192" s="4" t="s">
        <v>406</v>
      </c>
      <c r="F192" s="4" t="s">
        <v>15</v>
      </c>
      <c r="G192" s="4" t="s">
        <v>407</v>
      </c>
      <c r="H192" s="4" t="s">
        <v>2</v>
      </c>
      <c r="I192" s="4" t="s">
        <v>2</v>
      </c>
      <c r="J192" s="4" t="s">
        <v>24</v>
      </c>
      <c r="L192" s="4"/>
    </row>
    <row r="193" spans="1:12" ht="16" outlineLevel="1" x14ac:dyDescent="0.2">
      <c r="A193" s="5" t="s">
        <v>21</v>
      </c>
      <c r="B193" t="s">
        <v>1178</v>
      </c>
      <c r="C193" s="5" t="s">
        <v>408</v>
      </c>
      <c r="D193" s="5"/>
      <c r="E193" s="5" t="s">
        <v>408</v>
      </c>
      <c r="F193" s="5" t="s">
        <v>15</v>
      </c>
      <c r="G193" s="5" t="s">
        <v>2</v>
      </c>
      <c r="H193" s="5" t="s">
        <v>2</v>
      </c>
      <c r="I193" s="5" t="s">
        <v>2</v>
      </c>
      <c r="J193" s="5" t="s">
        <v>409</v>
      </c>
      <c r="L193" s="57"/>
    </row>
    <row r="194" spans="1:12" ht="16" outlineLevel="2" collapsed="1" x14ac:dyDescent="0.2">
      <c r="A194" s="4" t="s">
        <v>15</v>
      </c>
      <c r="B194" s="4" t="s">
        <v>25</v>
      </c>
      <c r="C194" s="4" t="s">
        <v>2</v>
      </c>
      <c r="D194" s="4"/>
      <c r="E194" s="4" t="s">
        <v>410</v>
      </c>
      <c r="F194" s="4" t="s">
        <v>15</v>
      </c>
      <c r="G194" s="4" t="s">
        <v>2</v>
      </c>
      <c r="H194" s="4" t="s">
        <v>2</v>
      </c>
      <c r="I194" s="4" t="s">
        <v>2</v>
      </c>
      <c r="J194" s="4" t="s">
        <v>20</v>
      </c>
      <c r="L194" s="4"/>
    </row>
    <row r="195" spans="1:12" ht="32" outlineLevel="2" collapsed="1" x14ac:dyDescent="0.2">
      <c r="A195" s="4" t="s">
        <v>21</v>
      </c>
      <c r="B195" s="4" t="s">
        <v>16</v>
      </c>
      <c r="C195" s="4" t="s">
        <v>2</v>
      </c>
      <c r="D195" s="4"/>
      <c r="E195" s="4" t="s">
        <v>411</v>
      </c>
      <c r="F195" s="4" t="s">
        <v>15</v>
      </c>
      <c r="G195" s="4" t="s">
        <v>19</v>
      </c>
      <c r="H195" s="4" t="s">
        <v>2</v>
      </c>
      <c r="I195" s="4" t="s">
        <v>2</v>
      </c>
      <c r="J195" s="4" t="s">
        <v>24</v>
      </c>
      <c r="L195" s="4"/>
    </row>
    <row r="196" spans="1:12" ht="16" outlineLevel="2" collapsed="1" x14ac:dyDescent="0.2">
      <c r="A196" s="4" t="s">
        <v>21</v>
      </c>
      <c r="B196" s="4" t="s">
        <v>16</v>
      </c>
      <c r="C196" s="4" t="s">
        <v>2</v>
      </c>
      <c r="D196" s="4"/>
      <c r="E196" s="4" t="s">
        <v>412</v>
      </c>
      <c r="F196" s="4" t="s">
        <v>15</v>
      </c>
      <c r="G196" s="4" t="s">
        <v>19</v>
      </c>
      <c r="H196" s="4" t="s">
        <v>2</v>
      </c>
      <c r="I196" s="4" t="s">
        <v>2</v>
      </c>
      <c r="J196" s="4" t="s">
        <v>27</v>
      </c>
      <c r="L196" s="4"/>
    </row>
    <row r="197" spans="1:12" ht="16" outlineLevel="2" collapsed="1" x14ac:dyDescent="0.2">
      <c r="A197" s="4" t="s">
        <v>15</v>
      </c>
      <c r="B197" s="4" t="s">
        <v>25</v>
      </c>
      <c r="C197" s="4" t="s">
        <v>2</v>
      </c>
      <c r="D197" s="4"/>
      <c r="E197" s="4" t="s">
        <v>413</v>
      </c>
      <c r="F197" s="4" t="s">
        <v>15</v>
      </c>
      <c r="G197" s="4" t="s">
        <v>2</v>
      </c>
      <c r="H197" s="4" t="s">
        <v>2</v>
      </c>
      <c r="I197" s="4" t="s">
        <v>2</v>
      </c>
      <c r="J197" s="4" t="s">
        <v>29</v>
      </c>
      <c r="L197" s="4"/>
    </row>
    <row r="198" spans="1:12" ht="32" outlineLevel="2" collapsed="1" x14ac:dyDescent="0.2">
      <c r="A198" s="4" t="s">
        <v>21</v>
      </c>
      <c r="B198" s="4" t="s">
        <v>16</v>
      </c>
      <c r="C198" s="4" t="s">
        <v>2</v>
      </c>
      <c r="D198" s="4"/>
      <c r="E198" s="4" t="s">
        <v>411</v>
      </c>
      <c r="F198" s="4" t="s">
        <v>15</v>
      </c>
      <c r="G198" s="4" t="s">
        <v>19</v>
      </c>
      <c r="H198" s="4" t="s">
        <v>2</v>
      </c>
      <c r="I198" s="4" t="s">
        <v>2</v>
      </c>
      <c r="J198" s="4" t="s">
        <v>31</v>
      </c>
      <c r="L198" s="4"/>
    </row>
    <row r="199" spans="1:12" ht="16" outlineLevel="2" collapsed="1" x14ac:dyDescent="0.2">
      <c r="A199" s="4" t="s">
        <v>21</v>
      </c>
      <c r="B199" s="4" t="s">
        <v>16</v>
      </c>
      <c r="C199" s="4" t="s">
        <v>2</v>
      </c>
      <c r="D199" s="4"/>
      <c r="E199" s="4" t="s">
        <v>412</v>
      </c>
      <c r="F199" s="4" t="s">
        <v>15</v>
      </c>
      <c r="G199" s="4" t="s">
        <v>19</v>
      </c>
      <c r="H199" s="4" t="s">
        <v>2</v>
      </c>
      <c r="I199" s="4" t="s">
        <v>2</v>
      </c>
      <c r="J199" s="4" t="s">
        <v>33</v>
      </c>
      <c r="L199" s="4"/>
    </row>
    <row r="200" spans="1:12" ht="16" outlineLevel="2" collapsed="1" x14ac:dyDescent="0.2">
      <c r="A200" s="4" t="s">
        <v>15</v>
      </c>
      <c r="B200" s="4" t="s">
        <v>25</v>
      </c>
      <c r="C200" s="4" t="s">
        <v>2</v>
      </c>
      <c r="D200" s="4"/>
      <c r="E200" s="4" t="s">
        <v>414</v>
      </c>
      <c r="F200" s="4" t="s">
        <v>15</v>
      </c>
      <c r="G200" s="4" t="s">
        <v>2</v>
      </c>
      <c r="H200" s="4" t="s">
        <v>2</v>
      </c>
      <c r="I200" s="4" t="s">
        <v>2</v>
      </c>
      <c r="J200" s="4" t="s">
        <v>35</v>
      </c>
      <c r="L200" s="4"/>
    </row>
    <row r="201" spans="1:12" ht="32" outlineLevel="2" collapsed="1" x14ac:dyDescent="0.2">
      <c r="A201" s="4" t="s">
        <v>21</v>
      </c>
      <c r="B201" s="4" t="s">
        <v>16</v>
      </c>
      <c r="C201" s="4" t="s">
        <v>2</v>
      </c>
      <c r="D201" s="4"/>
      <c r="E201" s="4" t="s">
        <v>411</v>
      </c>
      <c r="F201" s="4" t="s">
        <v>15</v>
      </c>
      <c r="G201" s="4" t="s">
        <v>19</v>
      </c>
      <c r="H201" s="4" t="s">
        <v>2</v>
      </c>
      <c r="I201" s="4" t="s">
        <v>2</v>
      </c>
      <c r="J201" s="4" t="s">
        <v>37</v>
      </c>
      <c r="L201" s="4"/>
    </row>
    <row r="202" spans="1:12" ht="16" outlineLevel="2" collapsed="1" x14ac:dyDescent="0.2">
      <c r="A202" s="4" t="s">
        <v>21</v>
      </c>
      <c r="B202" s="4" t="s">
        <v>16</v>
      </c>
      <c r="C202" s="4" t="s">
        <v>2</v>
      </c>
      <c r="D202" s="4"/>
      <c r="E202" s="4" t="s">
        <v>412</v>
      </c>
      <c r="F202" s="4" t="s">
        <v>15</v>
      </c>
      <c r="G202" s="4" t="s">
        <v>19</v>
      </c>
      <c r="H202" s="4" t="s">
        <v>2</v>
      </c>
      <c r="I202" s="4" t="s">
        <v>2</v>
      </c>
      <c r="J202" s="4" t="s">
        <v>39</v>
      </c>
      <c r="L202" s="4"/>
    </row>
    <row r="203" spans="1:12" ht="16" outlineLevel="2" x14ac:dyDescent="0.2">
      <c r="A203" s="5" t="s">
        <v>15</v>
      </c>
      <c r="B203" t="s">
        <v>1178</v>
      </c>
      <c r="C203" s="5" t="s">
        <v>415</v>
      </c>
      <c r="D203" s="5"/>
      <c r="E203" s="5" t="s">
        <v>415</v>
      </c>
      <c r="F203" s="5" t="s">
        <v>21</v>
      </c>
      <c r="G203" s="5" t="s">
        <v>2</v>
      </c>
      <c r="H203" s="5" t="s">
        <v>2</v>
      </c>
      <c r="I203" s="5" t="s">
        <v>2</v>
      </c>
      <c r="J203" s="5" t="s">
        <v>41</v>
      </c>
      <c r="L203" s="57"/>
    </row>
    <row r="204" spans="1:12" ht="16" outlineLevel="3" collapsed="1" x14ac:dyDescent="0.2">
      <c r="A204" s="4" t="s">
        <v>21</v>
      </c>
      <c r="B204" s="4" t="s">
        <v>16</v>
      </c>
      <c r="C204" s="4" t="s">
        <v>2</v>
      </c>
      <c r="D204" s="4"/>
      <c r="E204" s="4" t="s">
        <v>416</v>
      </c>
      <c r="F204" s="4" t="s">
        <v>15</v>
      </c>
      <c r="G204" s="4" t="s">
        <v>19</v>
      </c>
      <c r="H204" s="4" t="s">
        <v>2</v>
      </c>
      <c r="I204" s="4" t="s">
        <v>2</v>
      </c>
      <c r="J204" s="4" t="s">
        <v>20</v>
      </c>
      <c r="L204" s="4"/>
    </row>
    <row r="205" spans="1:12" ht="16" outlineLevel="3" collapsed="1" x14ac:dyDescent="0.2">
      <c r="A205" s="4" t="s">
        <v>21</v>
      </c>
      <c r="B205" s="4" t="s">
        <v>16</v>
      </c>
      <c r="C205" s="4" t="s">
        <v>2</v>
      </c>
      <c r="D205" s="4"/>
      <c r="E205" s="4" t="s">
        <v>367</v>
      </c>
      <c r="F205" s="4" t="s">
        <v>15</v>
      </c>
      <c r="G205" s="4" t="s">
        <v>19</v>
      </c>
      <c r="H205" s="4" t="s">
        <v>2</v>
      </c>
      <c r="I205" s="4" t="s">
        <v>2</v>
      </c>
      <c r="J205" s="4" t="s">
        <v>24</v>
      </c>
      <c r="L205" s="4"/>
    </row>
    <row r="206" spans="1:12" ht="32" outlineLevel="3" collapsed="1" x14ac:dyDescent="0.2">
      <c r="A206" s="4" t="s">
        <v>21</v>
      </c>
      <c r="B206" s="4" t="s">
        <v>16</v>
      </c>
      <c r="C206" s="4" t="s">
        <v>2</v>
      </c>
      <c r="D206" s="4"/>
      <c r="E206" s="4" t="s">
        <v>417</v>
      </c>
      <c r="F206" s="4" t="s">
        <v>15</v>
      </c>
      <c r="G206" s="4" t="s">
        <v>19</v>
      </c>
      <c r="H206" s="4" t="s">
        <v>2</v>
      </c>
      <c r="I206" s="4" t="s">
        <v>2</v>
      </c>
      <c r="J206" s="4" t="s">
        <v>27</v>
      </c>
      <c r="L206" s="4"/>
    </row>
    <row r="207" spans="1:12" ht="16" outlineLevel="1" collapsed="1" x14ac:dyDescent="0.2">
      <c r="A207" s="4" t="s">
        <v>15</v>
      </c>
      <c r="B207" s="4" t="s">
        <v>25</v>
      </c>
      <c r="C207" s="4" t="s">
        <v>2</v>
      </c>
      <c r="D207" s="4"/>
      <c r="E207" s="4" t="s">
        <v>418</v>
      </c>
      <c r="F207" s="4" t="s">
        <v>15</v>
      </c>
      <c r="G207" s="4" t="s">
        <v>2</v>
      </c>
      <c r="H207" s="4" t="s">
        <v>2</v>
      </c>
      <c r="I207" s="4" t="s">
        <v>2</v>
      </c>
      <c r="J207" s="4" t="s">
        <v>419</v>
      </c>
      <c r="L207" s="4"/>
    </row>
    <row r="208" spans="1:12" ht="16" outlineLevel="1" x14ac:dyDescent="0.2">
      <c r="A208" s="5" t="s">
        <v>21</v>
      </c>
      <c r="B208" t="s">
        <v>1178</v>
      </c>
      <c r="C208" s="5" t="s">
        <v>420</v>
      </c>
      <c r="D208" s="5"/>
      <c r="E208" s="5" t="s">
        <v>420</v>
      </c>
      <c r="F208" s="5" t="s">
        <v>21</v>
      </c>
      <c r="G208" s="5" t="s">
        <v>2</v>
      </c>
      <c r="H208" s="5" t="s">
        <v>2</v>
      </c>
      <c r="I208" s="5" t="s">
        <v>2</v>
      </c>
      <c r="J208" s="5" t="s">
        <v>421</v>
      </c>
      <c r="L208" s="57"/>
    </row>
    <row r="209" spans="1:12" ht="32" outlineLevel="2" collapsed="1" x14ac:dyDescent="0.2">
      <c r="A209" s="4" t="s">
        <v>21</v>
      </c>
      <c r="B209" s="4" t="s">
        <v>16</v>
      </c>
      <c r="C209" s="4" t="s">
        <v>2</v>
      </c>
      <c r="D209" s="4"/>
      <c r="E209" s="4" t="s">
        <v>422</v>
      </c>
      <c r="F209" s="4" t="s">
        <v>15</v>
      </c>
      <c r="G209" s="4" t="s">
        <v>423</v>
      </c>
      <c r="H209" s="4" t="s">
        <v>2</v>
      </c>
      <c r="I209" s="4" t="s">
        <v>2</v>
      </c>
      <c r="J209" s="4" t="s">
        <v>20</v>
      </c>
      <c r="L209" s="4"/>
    </row>
    <row r="210" spans="1:12" ht="48" outlineLevel="2" collapsed="1" x14ac:dyDescent="0.2">
      <c r="A210" s="4" t="s">
        <v>21</v>
      </c>
      <c r="B210" s="4" t="s">
        <v>16</v>
      </c>
      <c r="C210" s="4" t="s">
        <v>2</v>
      </c>
      <c r="D210" s="4"/>
      <c r="E210" s="4" t="s">
        <v>424</v>
      </c>
      <c r="F210" s="4" t="s">
        <v>15</v>
      </c>
      <c r="G210" s="4" t="s">
        <v>425</v>
      </c>
      <c r="H210" s="4" t="s">
        <v>2</v>
      </c>
      <c r="I210" s="4" t="s">
        <v>2</v>
      </c>
      <c r="J210" s="4" t="s">
        <v>24</v>
      </c>
      <c r="L210" s="4"/>
    </row>
    <row r="211" spans="1:12" ht="32" outlineLevel="1" x14ac:dyDescent="0.2">
      <c r="A211" s="5" t="s">
        <v>21</v>
      </c>
      <c r="B211" t="s">
        <v>1178</v>
      </c>
      <c r="C211" s="5" t="s">
        <v>426</v>
      </c>
      <c r="D211" s="5"/>
      <c r="E211" s="5" t="s">
        <v>426</v>
      </c>
      <c r="F211" s="5" t="s">
        <v>15</v>
      </c>
      <c r="G211" s="5" t="s">
        <v>2</v>
      </c>
      <c r="H211" s="5" t="s">
        <v>2</v>
      </c>
      <c r="I211" s="5" t="s">
        <v>2</v>
      </c>
      <c r="J211" s="5" t="s">
        <v>427</v>
      </c>
      <c r="L211" s="57"/>
    </row>
    <row r="212" spans="1:12" ht="16" outlineLevel="2" collapsed="1" x14ac:dyDescent="0.2">
      <c r="A212" s="4" t="s">
        <v>15</v>
      </c>
      <c r="B212" s="4" t="s">
        <v>25</v>
      </c>
      <c r="C212" s="4" t="s">
        <v>2</v>
      </c>
      <c r="D212" s="4"/>
      <c r="E212" s="4" t="s">
        <v>428</v>
      </c>
      <c r="F212" s="4" t="s">
        <v>15</v>
      </c>
      <c r="G212" s="4" t="s">
        <v>2</v>
      </c>
      <c r="H212" s="4" t="s">
        <v>2</v>
      </c>
      <c r="I212" s="4" t="s">
        <v>2</v>
      </c>
      <c r="J212" s="4" t="s">
        <v>20</v>
      </c>
      <c r="L212" s="4"/>
    </row>
    <row r="213" spans="1:12" ht="32" outlineLevel="2" collapsed="1" x14ac:dyDescent="0.2">
      <c r="A213" s="4" t="s">
        <v>21</v>
      </c>
      <c r="B213" s="4" t="s">
        <v>16</v>
      </c>
      <c r="C213" s="4" t="s">
        <v>2</v>
      </c>
      <c r="D213" s="4"/>
      <c r="E213" s="4" t="s">
        <v>411</v>
      </c>
      <c r="F213" s="4" t="s">
        <v>15</v>
      </c>
      <c r="G213" s="4" t="s">
        <v>19</v>
      </c>
      <c r="H213" s="4" t="s">
        <v>2</v>
      </c>
      <c r="I213" s="4" t="s">
        <v>2</v>
      </c>
      <c r="J213" s="4" t="s">
        <v>24</v>
      </c>
      <c r="L213" s="4"/>
    </row>
    <row r="214" spans="1:12" ht="16" outlineLevel="2" collapsed="1" x14ac:dyDescent="0.2">
      <c r="A214" s="4" t="s">
        <v>21</v>
      </c>
      <c r="B214" s="4" t="s">
        <v>16</v>
      </c>
      <c r="C214" s="4" t="s">
        <v>2</v>
      </c>
      <c r="D214" s="4"/>
      <c r="E214" s="4" t="s">
        <v>412</v>
      </c>
      <c r="F214" s="4" t="s">
        <v>15</v>
      </c>
      <c r="G214" s="4" t="s">
        <v>19</v>
      </c>
      <c r="H214" s="4" t="s">
        <v>2</v>
      </c>
      <c r="I214" s="4" t="s">
        <v>2</v>
      </c>
      <c r="J214" s="4" t="s">
        <v>27</v>
      </c>
      <c r="L214" s="4"/>
    </row>
    <row r="215" spans="1:12" ht="16" outlineLevel="2" collapsed="1" x14ac:dyDescent="0.2">
      <c r="A215" s="4" t="s">
        <v>15</v>
      </c>
      <c r="B215" s="4" t="s">
        <v>25</v>
      </c>
      <c r="C215" s="4" t="s">
        <v>2</v>
      </c>
      <c r="D215" s="4"/>
      <c r="E215" s="4" t="s">
        <v>429</v>
      </c>
      <c r="F215" s="4" t="s">
        <v>15</v>
      </c>
      <c r="G215" s="4" t="s">
        <v>2</v>
      </c>
      <c r="H215" s="4" t="s">
        <v>2</v>
      </c>
      <c r="I215" s="4" t="s">
        <v>2</v>
      </c>
      <c r="J215" s="4" t="s">
        <v>29</v>
      </c>
      <c r="L215" s="4"/>
    </row>
    <row r="216" spans="1:12" ht="32" outlineLevel="2" collapsed="1" x14ac:dyDescent="0.2">
      <c r="A216" s="4" t="s">
        <v>21</v>
      </c>
      <c r="B216" s="4" t="s">
        <v>16</v>
      </c>
      <c r="C216" s="4" t="s">
        <v>2</v>
      </c>
      <c r="D216" s="4"/>
      <c r="E216" s="4" t="s">
        <v>411</v>
      </c>
      <c r="F216" s="4" t="s">
        <v>15</v>
      </c>
      <c r="G216" s="4" t="s">
        <v>19</v>
      </c>
      <c r="H216" s="4" t="s">
        <v>2</v>
      </c>
      <c r="I216" s="4" t="s">
        <v>2</v>
      </c>
      <c r="J216" s="4" t="s">
        <v>31</v>
      </c>
      <c r="L216" s="4"/>
    </row>
    <row r="217" spans="1:12" ht="16" outlineLevel="2" collapsed="1" x14ac:dyDescent="0.2">
      <c r="A217" s="4" t="s">
        <v>21</v>
      </c>
      <c r="B217" s="4" t="s">
        <v>16</v>
      </c>
      <c r="C217" s="4" t="s">
        <v>2</v>
      </c>
      <c r="D217" s="4"/>
      <c r="E217" s="4" t="s">
        <v>412</v>
      </c>
      <c r="F217" s="4" t="s">
        <v>15</v>
      </c>
      <c r="G217" s="4" t="s">
        <v>19</v>
      </c>
      <c r="H217" s="4" t="s">
        <v>2</v>
      </c>
      <c r="I217" s="4" t="s">
        <v>2</v>
      </c>
      <c r="J217" s="4" t="s">
        <v>33</v>
      </c>
      <c r="L217" s="4"/>
    </row>
    <row r="218" spans="1:12" ht="32" outlineLevel="2" x14ac:dyDescent="0.2">
      <c r="A218" s="5" t="s">
        <v>15</v>
      </c>
      <c r="B218" t="s">
        <v>1178</v>
      </c>
      <c r="C218" s="5" t="s">
        <v>430</v>
      </c>
      <c r="D218" s="5"/>
      <c r="E218" s="5" t="s">
        <v>430</v>
      </c>
      <c r="F218" s="5" t="s">
        <v>21</v>
      </c>
      <c r="G218" s="5" t="s">
        <v>2</v>
      </c>
      <c r="H218" s="5" t="s">
        <v>2</v>
      </c>
      <c r="I218" s="5" t="s">
        <v>2</v>
      </c>
      <c r="J218" s="5" t="s">
        <v>35</v>
      </c>
      <c r="L218" s="57"/>
    </row>
    <row r="219" spans="1:12" ht="16" outlineLevel="3" collapsed="1" x14ac:dyDescent="0.2">
      <c r="A219" s="4" t="s">
        <v>21</v>
      </c>
      <c r="B219" s="4" t="s">
        <v>16</v>
      </c>
      <c r="C219" s="4" t="s">
        <v>2</v>
      </c>
      <c r="D219" s="4"/>
      <c r="E219" s="4" t="s">
        <v>416</v>
      </c>
      <c r="F219" s="4" t="s">
        <v>15</v>
      </c>
      <c r="G219" s="4" t="s">
        <v>19</v>
      </c>
      <c r="H219" s="4" t="s">
        <v>2</v>
      </c>
      <c r="I219" s="4" t="s">
        <v>2</v>
      </c>
      <c r="J219" s="4" t="s">
        <v>20</v>
      </c>
      <c r="L219" s="4"/>
    </row>
    <row r="220" spans="1:12" ht="16" outlineLevel="3" collapsed="1" x14ac:dyDescent="0.2">
      <c r="A220" s="4" t="s">
        <v>21</v>
      </c>
      <c r="B220" s="4" t="s">
        <v>16</v>
      </c>
      <c r="C220" s="4" t="s">
        <v>2</v>
      </c>
      <c r="D220" s="4"/>
      <c r="E220" s="4" t="s">
        <v>367</v>
      </c>
      <c r="F220" s="4" t="s">
        <v>15</v>
      </c>
      <c r="G220" s="4" t="s">
        <v>19</v>
      </c>
      <c r="H220" s="4" t="s">
        <v>2</v>
      </c>
      <c r="I220" s="4" t="s">
        <v>2</v>
      </c>
      <c r="J220" s="4" t="s">
        <v>24</v>
      </c>
      <c r="L220" s="4"/>
    </row>
    <row r="221" spans="1:12" ht="32" outlineLevel="3" collapsed="1" x14ac:dyDescent="0.2">
      <c r="A221" s="4" t="s">
        <v>21</v>
      </c>
      <c r="B221" s="4" t="s">
        <v>16</v>
      </c>
      <c r="C221" s="4" t="s">
        <v>2</v>
      </c>
      <c r="D221" s="4"/>
      <c r="E221" s="4" t="s">
        <v>417</v>
      </c>
      <c r="F221" s="4" t="s">
        <v>15</v>
      </c>
      <c r="G221" s="4" t="s">
        <v>19</v>
      </c>
      <c r="H221" s="4" t="s">
        <v>2</v>
      </c>
      <c r="I221" s="4" t="s">
        <v>2</v>
      </c>
      <c r="J221" s="4" t="s">
        <v>27</v>
      </c>
      <c r="L221" s="4"/>
    </row>
    <row r="222" spans="1:12" ht="25" outlineLevel="1" collapsed="1" x14ac:dyDescent="0.3">
      <c r="A222" s="4" t="s">
        <v>15</v>
      </c>
      <c r="B222" s="4" t="s">
        <v>25</v>
      </c>
      <c r="C222" s="6" t="s">
        <v>365</v>
      </c>
      <c r="D222" s="4"/>
      <c r="E222" s="7" t="s">
        <v>431</v>
      </c>
      <c r="F222" s="4" t="s">
        <v>15</v>
      </c>
      <c r="G222" s="4" t="s">
        <v>2</v>
      </c>
      <c r="H222" s="4" t="s">
        <v>2</v>
      </c>
      <c r="I222" s="4" t="s">
        <v>2</v>
      </c>
      <c r="J222" s="4" t="s">
        <v>432</v>
      </c>
      <c r="L222" s="4"/>
    </row>
    <row r="223" spans="1:12" ht="16" outlineLevel="1" x14ac:dyDescent="0.2">
      <c r="A223" s="5" t="s">
        <v>21</v>
      </c>
      <c r="B223" t="s">
        <v>1178</v>
      </c>
      <c r="C223" s="5" t="s">
        <v>433</v>
      </c>
      <c r="D223" s="5"/>
      <c r="E223" s="5" t="s">
        <v>433</v>
      </c>
      <c r="F223" s="5" t="s">
        <v>21</v>
      </c>
      <c r="G223" s="5" t="s">
        <v>2</v>
      </c>
      <c r="H223" s="5" t="s">
        <v>2</v>
      </c>
      <c r="I223" s="5" t="s">
        <v>2</v>
      </c>
      <c r="J223" s="5" t="s">
        <v>434</v>
      </c>
      <c r="L223" s="57"/>
    </row>
    <row r="224" spans="1:12" ht="16" outlineLevel="2" collapsed="1" x14ac:dyDescent="0.2">
      <c r="A224" s="4" t="s">
        <v>21</v>
      </c>
      <c r="B224" s="4" t="s">
        <v>16</v>
      </c>
      <c r="C224" s="4" t="s">
        <v>2</v>
      </c>
      <c r="D224" s="4"/>
      <c r="E224" s="4" t="s">
        <v>433</v>
      </c>
      <c r="F224" s="4" t="s">
        <v>15</v>
      </c>
      <c r="G224" s="4" t="s">
        <v>435</v>
      </c>
      <c r="H224" s="4" t="s">
        <v>2</v>
      </c>
      <c r="I224" s="4" t="s">
        <v>2</v>
      </c>
      <c r="J224" s="4" t="s">
        <v>20</v>
      </c>
      <c r="L224" s="4"/>
    </row>
    <row r="225" spans="1:12" ht="16" outlineLevel="2" collapsed="1" x14ac:dyDescent="0.2">
      <c r="A225" s="4" t="s">
        <v>21</v>
      </c>
      <c r="B225" s="4" t="s">
        <v>16</v>
      </c>
      <c r="C225" s="4" t="s">
        <v>2</v>
      </c>
      <c r="D225" s="4"/>
      <c r="E225" s="4" t="s">
        <v>436</v>
      </c>
      <c r="F225" s="4" t="s">
        <v>15</v>
      </c>
      <c r="G225" s="4" t="s">
        <v>437</v>
      </c>
      <c r="H225" s="4" t="s">
        <v>2</v>
      </c>
      <c r="I225" s="4" t="s">
        <v>2</v>
      </c>
      <c r="J225" s="4" t="s">
        <v>24</v>
      </c>
      <c r="L225" s="4"/>
    </row>
    <row r="226" spans="1:12" ht="16" outlineLevel="2" collapsed="1" x14ac:dyDescent="0.2">
      <c r="A226" s="4" t="s">
        <v>21</v>
      </c>
      <c r="B226" s="4" t="s">
        <v>16</v>
      </c>
      <c r="C226" s="4" t="s">
        <v>2</v>
      </c>
      <c r="D226" s="4"/>
      <c r="E226" s="4" t="s">
        <v>438</v>
      </c>
      <c r="F226" s="4" t="s">
        <v>15</v>
      </c>
      <c r="G226" s="4" t="s">
        <v>439</v>
      </c>
      <c r="H226" s="4" t="s">
        <v>2</v>
      </c>
      <c r="I226" s="4" t="s">
        <v>2</v>
      </c>
      <c r="J226" s="4" t="s">
        <v>27</v>
      </c>
      <c r="L226" s="4"/>
    </row>
    <row r="227" spans="1:12" ht="16" outlineLevel="2" collapsed="1" x14ac:dyDescent="0.2">
      <c r="A227" s="4" t="s">
        <v>21</v>
      </c>
      <c r="B227" s="4" t="s">
        <v>16</v>
      </c>
      <c r="C227" s="4" t="s">
        <v>2</v>
      </c>
      <c r="D227" s="4"/>
      <c r="E227" s="4" t="s">
        <v>440</v>
      </c>
      <c r="F227" s="4" t="s">
        <v>15</v>
      </c>
      <c r="G227" s="4" t="s">
        <v>441</v>
      </c>
      <c r="H227" s="4" t="s">
        <v>2</v>
      </c>
      <c r="I227" s="4" t="s">
        <v>2</v>
      </c>
      <c r="J227" s="4" t="s">
        <v>29</v>
      </c>
      <c r="L227" s="4"/>
    </row>
    <row r="228" spans="1:12" ht="16" outlineLevel="1" x14ac:dyDescent="0.2">
      <c r="A228" s="5" t="s">
        <v>21</v>
      </c>
      <c r="B228" t="s">
        <v>1178</v>
      </c>
      <c r="C228" s="5" t="s">
        <v>442</v>
      </c>
      <c r="D228" s="5"/>
      <c r="E228" s="5" t="s">
        <v>442</v>
      </c>
      <c r="F228" s="5" t="s">
        <v>21</v>
      </c>
      <c r="G228" s="5" t="s">
        <v>2</v>
      </c>
      <c r="H228" s="5" t="s">
        <v>2</v>
      </c>
      <c r="I228" s="5" t="s">
        <v>2</v>
      </c>
      <c r="J228" s="5" t="s">
        <v>443</v>
      </c>
      <c r="L228" s="57"/>
    </row>
    <row r="229" spans="1:12" ht="16" outlineLevel="2" collapsed="1" x14ac:dyDescent="0.2">
      <c r="A229" s="4" t="s">
        <v>21</v>
      </c>
      <c r="B229" s="4" t="s">
        <v>16</v>
      </c>
      <c r="C229" s="4" t="s">
        <v>2</v>
      </c>
      <c r="D229" s="4"/>
      <c r="E229" s="4" t="s">
        <v>442</v>
      </c>
      <c r="F229" s="4" t="s">
        <v>15</v>
      </c>
      <c r="G229" s="4" t="s">
        <v>444</v>
      </c>
      <c r="H229" s="4" t="s">
        <v>2</v>
      </c>
      <c r="I229" s="4" t="s">
        <v>2</v>
      </c>
      <c r="J229" s="4" t="s">
        <v>20</v>
      </c>
      <c r="L229" s="4"/>
    </row>
    <row r="230" spans="1:12" ht="32" outlineLevel="2" collapsed="1" x14ac:dyDescent="0.2">
      <c r="A230" s="4" t="s">
        <v>21</v>
      </c>
      <c r="B230" s="4" t="s">
        <v>16</v>
      </c>
      <c r="C230" s="4" t="s">
        <v>2</v>
      </c>
      <c r="D230" s="4"/>
      <c r="E230" s="4" t="s">
        <v>445</v>
      </c>
      <c r="F230" s="4" t="s">
        <v>15</v>
      </c>
      <c r="G230" s="4" t="s">
        <v>446</v>
      </c>
      <c r="H230" s="4" t="s">
        <v>2</v>
      </c>
      <c r="I230" s="4" t="s">
        <v>2</v>
      </c>
      <c r="J230" s="4" t="s">
        <v>24</v>
      </c>
      <c r="L230" s="4"/>
    </row>
    <row r="231" spans="1:12" ht="16" outlineLevel="1" x14ac:dyDescent="0.2">
      <c r="A231" s="5" t="s">
        <v>21</v>
      </c>
      <c r="B231" t="s">
        <v>1178</v>
      </c>
      <c r="C231" s="5" t="s">
        <v>447</v>
      </c>
      <c r="D231" s="5"/>
      <c r="E231" s="5" t="s">
        <v>447</v>
      </c>
      <c r="F231" s="5" t="s">
        <v>21</v>
      </c>
      <c r="G231" s="5" t="s">
        <v>2</v>
      </c>
      <c r="H231" s="5" t="s">
        <v>2</v>
      </c>
      <c r="I231" s="5" t="s">
        <v>2</v>
      </c>
      <c r="J231" s="5" t="s">
        <v>448</v>
      </c>
      <c r="L231" s="57"/>
    </row>
    <row r="232" spans="1:12" ht="16" outlineLevel="2" collapsed="1" x14ac:dyDescent="0.2">
      <c r="A232" s="4" t="s">
        <v>21</v>
      </c>
      <c r="B232" s="4" t="s">
        <v>16</v>
      </c>
      <c r="C232" s="4" t="s">
        <v>2</v>
      </c>
      <c r="D232" s="4"/>
      <c r="E232" s="4" t="s">
        <v>447</v>
      </c>
      <c r="F232" s="4" t="s">
        <v>15</v>
      </c>
      <c r="G232" s="4" t="s">
        <v>19</v>
      </c>
      <c r="H232" s="4" t="s">
        <v>2</v>
      </c>
      <c r="I232" s="4" t="s">
        <v>2</v>
      </c>
      <c r="J232" s="4" t="s">
        <v>20</v>
      </c>
      <c r="L232" s="4"/>
    </row>
    <row r="233" spans="1:12" ht="16" outlineLevel="2" collapsed="1" x14ac:dyDescent="0.2">
      <c r="A233" s="4" t="s">
        <v>21</v>
      </c>
      <c r="B233" s="4" t="s">
        <v>16</v>
      </c>
      <c r="C233" s="4" t="s">
        <v>2</v>
      </c>
      <c r="D233" s="4"/>
      <c r="E233" s="4" t="s">
        <v>367</v>
      </c>
      <c r="F233" s="4" t="s">
        <v>15</v>
      </c>
      <c r="G233" s="4" t="s">
        <v>19</v>
      </c>
      <c r="H233" s="4" t="s">
        <v>2</v>
      </c>
      <c r="I233" s="4" t="s">
        <v>2</v>
      </c>
      <c r="J233" s="4" t="s">
        <v>24</v>
      </c>
      <c r="L233" s="4"/>
    </row>
    <row r="234" spans="1:12" ht="16" outlineLevel="2" collapsed="1" x14ac:dyDescent="0.2">
      <c r="A234" s="4" t="s">
        <v>21</v>
      </c>
      <c r="B234" s="4" t="s">
        <v>16</v>
      </c>
      <c r="C234" s="4" t="s">
        <v>2</v>
      </c>
      <c r="D234" s="4"/>
      <c r="E234" s="4" t="s">
        <v>368</v>
      </c>
      <c r="F234" s="4" t="s">
        <v>15</v>
      </c>
      <c r="G234" s="4" t="s">
        <v>19</v>
      </c>
      <c r="H234" s="4" t="s">
        <v>2</v>
      </c>
      <c r="I234" s="4" t="s">
        <v>2</v>
      </c>
      <c r="J234" s="4" t="s">
        <v>27</v>
      </c>
      <c r="L234" s="4"/>
    </row>
    <row r="235" spans="1:12" ht="32" outlineLevel="1" x14ac:dyDescent="0.2">
      <c r="A235" s="5" t="s">
        <v>21</v>
      </c>
      <c r="B235" t="s">
        <v>1178</v>
      </c>
      <c r="C235" s="5" t="s">
        <v>449</v>
      </c>
      <c r="D235" s="5"/>
      <c r="E235" s="5" t="s">
        <v>449</v>
      </c>
      <c r="F235" s="5" t="s">
        <v>21</v>
      </c>
      <c r="G235" s="5" t="s">
        <v>2</v>
      </c>
      <c r="H235" s="5" t="s">
        <v>2</v>
      </c>
      <c r="I235" s="5" t="s">
        <v>2</v>
      </c>
      <c r="J235" s="5" t="s">
        <v>450</v>
      </c>
      <c r="L235" s="57"/>
    </row>
    <row r="236" spans="1:12" ht="16" outlineLevel="2" collapsed="1" x14ac:dyDescent="0.2">
      <c r="A236" s="4" t="s">
        <v>21</v>
      </c>
      <c r="B236" s="4" t="s">
        <v>16</v>
      </c>
      <c r="C236" s="4" t="s">
        <v>2</v>
      </c>
      <c r="D236" s="4"/>
      <c r="E236" s="4" t="s">
        <v>451</v>
      </c>
      <c r="F236" s="4" t="s">
        <v>15</v>
      </c>
      <c r="G236" s="4" t="s">
        <v>19</v>
      </c>
      <c r="H236" s="4" t="s">
        <v>2</v>
      </c>
      <c r="I236" s="4" t="s">
        <v>2</v>
      </c>
      <c r="J236" s="4" t="s">
        <v>20</v>
      </c>
      <c r="L236" s="4"/>
    </row>
    <row r="237" spans="1:12" ht="16" outlineLevel="2" collapsed="1" x14ac:dyDescent="0.2">
      <c r="A237" s="4" t="s">
        <v>21</v>
      </c>
      <c r="B237" s="4" t="s">
        <v>16</v>
      </c>
      <c r="C237" s="4" t="s">
        <v>2</v>
      </c>
      <c r="D237" s="4"/>
      <c r="E237" s="4" t="s">
        <v>367</v>
      </c>
      <c r="F237" s="4" t="s">
        <v>15</v>
      </c>
      <c r="G237" s="4" t="s">
        <v>19</v>
      </c>
      <c r="H237" s="4" t="s">
        <v>2</v>
      </c>
      <c r="I237" s="4" t="s">
        <v>2</v>
      </c>
      <c r="J237" s="4" t="s">
        <v>24</v>
      </c>
      <c r="L237" s="4"/>
    </row>
    <row r="238" spans="1:12" ht="16" outlineLevel="2" collapsed="1" x14ac:dyDescent="0.2">
      <c r="A238" s="4" t="s">
        <v>21</v>
      </c>
      <c r="B238" s="4" t="s">
        <v>16</v>
      </c>
      <c r="C238" s="4" t="s">
        <v>2</v>
      </c>
      <c r="D238" s="4"/>
      <c r="E238" s="4" t="s">
        <v>368</v>
      </c>
      <c r="F238" s="4" t="s">
        <v>15</v>
      </c>
      <c r="G238" s="4" t="s">
        <v>19</v>
      </c>
      <c r="H238" s="4" t="s">
        <v>2</v>
      </c>
      <c r="I238" s="4" t="s">
        <v>2</v>
      </c>
      <c r="J238" s="4" t="s">
        <v>27</v>
      </c>
      <c r="L238" s="4"/>
    </row>
    <row r="239" spans="1:12" ht="25" outlineLevel="1" collapsed="1" x14ac:dyDescent="0.3">
      <c r="A239" s="4" t="s">
        <v>15</v>
      </c>
      <c r="B239" s="4" t="s">
        <v>25</v>
      </c>
      <c r="C239" s="6" t="s">
        <v>365</v>
      </c>
      <c r="D239" s="4"/>
      <c r="E239" s="7" t="s">
        <v>452</v>
      </c>
      <c r="F239" s="4" t="s">
        <v>15</v>
      </c>
      <c r="G239" s="4" t="s">
        <v>2</v>
      </c>
      <c r="H239" s="4" t="s">
        <v>2</v>
      </c>
      <c r="I239" s="4" t="s">
        <v>2</v>
      </c>
      <c r="J239" s="4" t="s">
        <v>453</v>
      </c>
      <c r="L239" s="4"/>
    </row>
    <row r="240" spans="1:12" ht="32" outlineLevel="1" collapsed="1" x14ac:dyDescent="0.2">
      <c r="A240" s="4" t="s">
        <v>21</v>
      </c>
      <c r="B240" s="4" t="s">
        <v>16</v>
      </c>
      <c r="C240" s="4" t="s">
        <v>2</v>
      </c>
      <c r="D240" s="4"/>
      <c r="E240" s="4" t="s">
        <v>454</v>
      </c>
      <c r="F240" s="4" t="s">
        <v>15</v>
      </c>
      <c r="G240" s="4" t="s">
        <v>455</v>
      </c>
      <c r="H240" s="4" t="s">
        <v>2</v>
      </c>
      <c r="I240" s="4" t="s">
        <v>2</v>
      </c>
      <c r="J240" s="4" t="s">
        <v>456</v>
      </c>
      <c r="L240" s="4"/>
    </row>
    <row r="241" spans="1:12" ht="25" outlineLevel="1" collapsed="1" x14ac:dyDescent="0.3">
      <c r="A241" s="4" t="s">
        <v>15</v>
      </c>
      <c r="B241" s="4" t="s">
        <v>25</v>
      </c>
      <c r="C241" s="6" t="s">
        <v>365</v>
      </c>
      <c r="D241" s="4"/>
      <c r="E241" s="7" t="s">
        <v>457</v>
      </c>
      <c r="F241" s="4" t="s">
        <v>15</v>
      </c>
      <c r="G241" s="4" t="s">
        <v>2</v>
      </c>
      <c r="H241" s="4" t="s">
        <v>2</v>
      </c>
      <c r="I241" s="4" t="s">
        <v>2</v>
      </c>
      <c r="J241" s="4" t="s">
        <v>458</v>
      </c>
      <c r="L241" s="4"/>
    </row>
    <row r="242" spans="1:12" ht="16" outlineLevel="1" collapsed="1" x14ac:dyDescent="0.2">
      <c r="A242" s="4" t="s">
        <v>21</v>
      </c>
      <c r="B242" s="4" t="s">
        <v>16</v>
      </c>
      <c r="C242" s="4" t="s">
        <v>2</v>
      </c>
      <c r="D242" s="4"/>
      <c r="E242" s="4" t="s">
        <v>459</v>
      </c>
      <c r="F242" s="4" t="s">
        <v>15</v>
      </c>
      <c r="G242" s="4" t="s">
        <v>460</v>
      </c>
      <c r="H242" s="4" t="s">
        <v>2</v>
      </c>
      <c r="I242" s="4" t="s">
        <v>2</v>
      </c>
      <c r="J242" s="4" t="s">
        <v>461</v>
      </c>
      <c r="L242" s="4"/>
    </row>
    <row r="243" spans="1:12" ht="32" outlineLevel="1" collapsed="1" x14ac:dyDescent="0.2">
      <c r="A243" s="4" t="s">
        <v>21</v>
      </c>
      <c r="B243" s="4" t="s">
        <v>16</v>
      </c>
      <c r="C243" s="4" t="s">
        <v>2</v>
      </c>
      <c r="D243" s="4"/>
      <c r="E243" s="4" t="s">
        <v>462</v>
      </c>
      <c r="F243" s="4" t="s">
        <v>15</v>
      </c>
      <c r="G243" s="4" t="s">
        <v>463</v>
      </c>
      <c r="H243" s="4" t="s">
        <v>2</v>
      </c>
      <c r="I243" s="4" t="s">
        <v>2</v>
      </c>
      <c r="J243" s="4" t="s">
        <v>464</v>
      </c>
      <c r="L243" s="4"/>
    </row>
    <row r="244" spans="1:12" ht="16" outlineLevel="1" collapsed="1" x14ac:dyDescent="0.2">
      <c r="A244" s="4" t="s">
        <v>21</v>
      </c>
      <c r="B244" s="4" t="s">
        <v>16</v>
      </c>
      <c r="C244" s="4" t="s">
        <v>2</v>
      </c>
      <c r="D244" s="4"/>
      <c r="E244" s="4" t="s">
        <v>465</v>
      </c>
      <c r="F244" s="4" t="s">
        <v>15</v>
      </c>
      <c r="G244" s="4" t="s">
        <v>466</v>
      </c>
      <c r="H244" s="4" t="s">
        <v>2</v>
      </c>
      <c r="I244" s="4" t="s">
        <v>2</v>
      </c>
      <c r="J244" s="4" t="s">
        <v>467</v>
      </c>
      <c r="L244" s="4"/>
    </row>
    <row r="245" spans="1:12" ht="25" outlineLevel="1" collapsed="1" x14ac:dyDescent="0.3">
      <c r="A245" s="4" t="s">
        <v>15</v>
      </c>
      <c r="B245" s="4" t="s">
        <v>25</v>
      </c>
      <c r="C245" s="6" t="s">
        <v>365</v>
      </c>
      <c r="D245" s="4"/>
      <c r="E245" s="7" t="s">
        <v>468</v>
      </c>
      <c r="F245" s="4" t="s">
        <v>15</v>
      </c>
      <c r="G245" s="4" t="s">
        <v>2</v>
      </c>
      <c r="H245" s="4" t="s">
        <v>2</v>
      </c>
      <c r="I245" s="4" t="s">
        <v>2</v>
      </c>
      <c r="J245" s="4" t="s">
        <v>469</v>
      </c>
      <c r="L245" s="4"/>
    </row>
    <row r="246" spans="1:12" ht="16" outlineLevel="1" collapsed="1" x14ac:dyDescent="0.2">
      <c r="A246" s="4" t="s">
        <v>21</v>
      </c>
      <c r="B246" s="4" t="s">
        <v>22</v>
      </c>
      <c r="C246" t="s">
        <v>171</v>
      </c>
      <c r="D246" s="4"/>
      <c r="E246" s="4" t="s">
        <v>470</v>
      </c>
      <c r="F246" s="4" t="s">
        <v>15</v>
      </c>
      <c r="G246" s="4" t="s">
        <v>21</v>
      </c>
      <c r="H246" s="4" t="s">
        <v>2</v>
      </c>
      <c r="I246" s="4" t="s">
        <v>2</v>
      </c>
      <c r="J246" s="4" t="s">
        <v>471</v>
      </c>
      <c r="L246" s="4"/>
    </row>
    <row r="247" spans="1:12" ht="208" outlineLevel="1" collapsed="1" x14ac:dyDescent="0.2">
      <c r="A247" s="4" t="s">
        <v>15</v>
      </c>
      <c r="B247" s="4" t="s">
        <v>16</v>
      </c>
      <c r="C247" s="4" t="s">
        <v>2</v>
      </c>
      <c r="D247" s="4" t="b">
        <f>EXACT(G246,"Yes")</f>
        <v>1</v>
      </c>
      <c r="E247" s="4" t="s">
        <v>472</v>
      </c>
      <c r="F247" s="4" t="s">
        <v>15</v>
      </c>
      <c r="G247" s="4" t="s">
        <v>473</v>
      </c>
      <c r="H247" s="4" t="s">
        <v>2</v>
      </c>
      <c r="I247" s="4" t="s">
        <v>2</v>
      </c>
      <c r="J247" s="4" t="s">
        <v>474</v>
      </c>
      <c r="L247" s="4"/>
    </row>
    <row r="248" spans="1:12" ht="16" outlineLevel="1" x14ac:dyDescent="0.2">
      <c r="A248" s="5" t="s">
        <v>15</v>
      </c>
      <c r="B248" t="s">
        <v>1178</v>
      </c>
      <c r="C248" s="5" t="s">
        <v>475</v>
      </c>
      <c r="D248" s="5"/>
      <c r="E248" s="5" t="s">
        <v>475</v>
      </c>
      <c r="F248" s="5" t="s">
        <v>15</v>
      </c>
      <c r="G248" s="5" t="s">
        <v>2</v>
      </c>
      <c r="H248" s="5" t="s">
        <v>2</v>
      </c>
      <c r="I248" s="5" t="s">
        <v>2</v>
      </c>
      <c r="J248" s="5" t="s">
        <v>476</v>
      </c>
      <c r="L248" s="57"/>
    </row>
    <row r="249" spans="1:12" ht="32" outlineLevel="2" x14ac:dyDescent="0.2">
      <c r="A249" s="17" t="s">
        <v>15</v>
      </c>
      <c r="B249" t="s">
        <v>1178</v>
      </c>
      <c r="C249" s="17" t="s">
        <v>477</v>
      </c>
      <c r="D249" s="17"/>
      <c r="E249" s="17" t="s">
        <v>477</v>
      </c>
      <c r="F249" s="17" t="s">
        <v>21</v>
      </c>
      <c r="G249" s="17" t="s">
        <v>2</v>
      </c>
      <c r="H249" s="17" t="s">
        <v>2</v>
      </c>
      <c r="I249" s="17" t="s">
        <v>2</v>
      </c>
      <c r="J249" s="17" t="s">
        <v>20</v>
      </c>
      <c r="L249" s="31"/>
    </row>
    <row r="250" spans="1:12" s="39" customFormat="1" ht="16" outlineLevel="3" collapsed="1" x14ac:dyDescent="0.2">
      <c r="A250" s="38" t="s">
        <v>21</v>
      </c>
      <c r="B250" s="38" t="s">
        <v>16</v>
      </c>
      <c r="C250" s="38" t="s">
        <v>2</v>
      </c>
      <c r="D250" s="38"/>
      <c r="E250" s="38" t="s">
        <v>478</v>
      </c>
      <c r="F250" s="38" t="s">
        <v>15</v>
      </c>
      <c r="G250" s="38" t="s">
        <v>19</v>
      </c>
      <c r="H250" s="38" t="s">
        <v>2</v>
      </c>
      <c r="I250" s="38" t="s">
        <v>2</v>
      </c>
      <c r="J250" s="38" t="s">
        <v>479</v>
      </c>
      <c r="L250" s="38"/>
    </row>
    <row r="251" spans="1:12" s="39" customFormat="1" ht="16" outlineLevel="3" collapsed="1" x14ac:dyDescent="0.2">
      <c r="A251" s="38" t="s">
        <v>21</v>
      </c>
      <c r="B251" s="38" t="s">
        <v>16</v>
      </c>
      <c r="C251" s="38" t="s">
        <v>2</v>
      </c>
      <c r="D251" s="38"/>
      <c r="E251" s="38" t="s">
        <v>480</v>
      </c>
      <c r="F251" s="38" t="s">
        <v>15</v>
      </c>
      <c r="G251" s="38" t="s">
        <v>19</v>
      </c>
      <c r="H251" s="38" t="s">
        <v>2</v>
      </c>
      <c r="I251" s="38" t="s">
        <v>2</v>
      </c>
      <c r="J251" s="38" t="s">
        <v>481</v>
      </c>
      <c r="L251" s="38"/>
    </row>
    <row r="252" spans="1:12" ht="32" outlineLevel="3" x14ac:dyDescent="0.2">
      <c r="A252" s="5" t="s">
        <v>15</v>
      </c>
      <c r="B252" t="s">
        <v>1178</v>
      </c>
      <c r="C252" s="11" t="s">
        <v>2300</v>
      </c>
      <c r="D252" s="5"/>
      <c r="E252" s="50" t="s">
        <v>1680</v>
      </c>
      <c r="F252" s="5" t="s">
        <v>15</v>
      </c>
      <c r="G252" s="5" t="s">
        <v>2</v>
      </c>
      <c r="H252" s="5" t="s">
        <v>2</v>
      </c>
      <c r="I252" s="5" t="s">
        <v>2</v>
      </c>
      <c r="J252" s="5"/>
      <c r="L252" s="5"/>
    </row>
    <row r="253" spans="1:12" ht="32" outlineLevel="4" collapsed="1" x14ac:dyDescent="0.2">
      <c r="A253" s="4" t="s">
        <v>15</v>
      </c>
      <c r="B253" s="4" t="s">
        <v>25</v>
      </c>
      <c r="C253" s="4" t="s">
        <v>2</v>
      </c>
      <c r="D253" s="4"/>
      <c r="E253" s="12" t="s">
        <v>1302</v>
      </c>
      <c r="F253" s="4" t="s">
        <v>15</v>
      </c>
      <c r="G253" s="4" t="s">
        <v>2</v>
      </c>
      <c r="H253" s="4" t="s">
        <v>2</v>
      </c>
      <c r="I253" s="4" t="s">
        <v>2</v>
      </c>
      <c r="J253" s="4"/>
      <c r="L253" s="4"/>
    </row>
    <row r="254" spans="1:12" ht="16" outlineLevel="4" collapsed="1" x14ac:dyDescent="0.2">
      <c r="A254" s="4" t="s">
        <v>15</v>
      </c>
      <c r="B254" s="4" t="s">
        <v>25</v>
      </c>
      <c r="C254" s="4" t="s">
        <v>2</v>
      </c>
      <c r="D254" s="4"/>
      <c r="E254" s="12" t="s">
        <v>502</v>
      </c>
      <c r="F254" s="4" t="s">
        <v>15</v>
      </c>
      <c r="G254" s="4" t="s">
        <v>2</v>
      </c>
      <c r="H254" s="4" t="s">
        <v>2</v>
      </c>
      <c r="I254" s="4" t="s">
        <v>2</v>
      </c>
      <c r="J254" s="4"/>
      <c r="L254" s="4"/>
    </row>
    <row r="255" spans="1:12" ht="16" outlineLevel="4" collapsed="1" x14ac:dyDescent="0.2">
      <c r="A255" s="4" t="s">
        <v>21</v>
      </c>
      <c r="B255" s="4" t="s">
        <v>16</v>
      </c>
      <c r="C255" s="4" t="s">
        <v>2</v>
      </c>
      <c r="D255" s="4"/>
      <c r="E255" s="12" t="s">
        <v>482</v>
      </c>
      <c r="F255" s="4" t="s">
        <v>15</v>
      </c>
      <c r="G255" s="4" t="s">
        <v>19</v>
      </c>
      <c r="H255" s="4" t="s">
        <v>2</v>
      </c>
      <c r="I255" s="4" t="s">
        <v>2</v>
      </c>
      <c r="J255" s="4"/>
      <c r="L255" s="4"/>
    </row>
    <row r="256" spans="1:12" ht="16" outlineLevel="4" collapsed="1" x14ac:dyDescent="0.2">
      <c r="A256" s="4" t="s">
        <v>21</v>
      </c>
      <c r="B256" s="4" t="s">
        <v>16</v>
      </c>
      <c r="C256" s="4" t="s">
        <v>2</v>
      </c>
      <c r="D256" s="4"/>
      <c r="E256" s="12" t="s">
        <v>483</v>
      </c>
      <c r="F256" s="4" t="s">
        <v>15</v>
      </c>
      <c r="G256" s="4" t="s">
        <v>19</v>
      </c>
      <c r="H256" s="4" t="s">
        <v>2</v>
      </c>
      <c r="I256" s="4" t="s">
        <v>2</v>
      </c>
      <c r="J256" s="4"/>
      <c r="L256" s="4"/>
    </row>
    <row r="257" spans="1:12" ht="32" outlineLevel="4" x14ac:dyDescent="0.2">
      <c r="A257" s="5" t="s">
        <v>21</v>
      </c>
      <c r="B257" t="s">
        <v>1178</v>
      </c>
      <c r="C257" s="11" t="s">
        <v>2301</v>
      </c>
      <c r="D257" s="5"/>
      <c r="E257" s="11" t="s">
        <v>1685</v>
      </c>
      <c r="F257" s="5" t="s">
        <v>21</v>
      </c>
      <c r="G257" s="5" t="s">
        <v>2</v>
      </c>
      <c r="H257" s="5" t="s">
        <v>2</v>
      </c>
      <c r="I257" s="5" t="s">
        <v>2</v>
      </c>
      <c r="J257" s="5"/>
      <c r="L257" s="5"/>
    </row>
    <row r="258" spans="1:12" ht="16" outlineLevel="5" collapsed="1" x14ac:dyDescent="0.2">
      <c r="A258" s="4" t="s">
        <v>21</v>
      </c>
      <c r="B258" s="4" t="s">
        <v>138</v>
      </c>
      <c r="C258" s="4" t="s">
        <v>2</v>
      </c>
      <c r="D258" s="4"/>
      <c r="E258" s="12" t="s">
        <v>1303</v>
      </c>
      <c r="F258" s="4" t="s">
        <v>15</v>
      </c>
      <c r="G258" s="4" t="s">
        <v>484</v>
      </c>
      <c r="H258" s="4" t="s">
        <v>2</v>
      </c>
      <c r="I258" s="4" t="s">
        <v>2</v>
      </c>
      <c r="J258" s="4"/>
      <c r="L258" s="4"/>
    </row>
    <row r="259" spans="1:12" ht="16" outlineLevel="5" collapsed="1" x14ac:dyDescent="0.2">
      <c r="A259" s="4" t="s">
        <v>21</v>
      </c>
      <c r="B259" s="4" t="s">
        <v>16</v>
      </c>
      <c r="C259" s="4" t="s">
        <v>2</v>
      </c>
      <c r="D259" s="4"/>
      <c r="E259" s="12" t="s">
        <v>1304</v>
      </c>
      <c r="F259" s="4" t="s">
        <v>15</v>
      </c>
      <c r="G259" s="4">
        <v>1</v>
      </c>
      <c r="H259" s="4" t="s">
        <v>2</v>
      </c>
      <c r="I259" s="4" t="s">
        <v>2</v>
      </c>
      <c r="J259" s="4"/>
      <c r="L259" s="4"/>
    </row>
    <row r="260" spans="1:12" ht="16" outlineLevel="5" x14ac:dyDescent="0.2">
      <c r="A260" s="4" t="s">
        <v>21</v>
      </c>
      <c r="B260" s="4" t="s">
        <v>16</v>
      </c>
      <c r="C260" s="4"/>
      <c r="D260" s="4"/>
      <c r="E260" s="12" t="s">
        <v>1305</v>
      </c>
      <c r="F260" s="4"/>
      <c r="G260" s="4"/>
      <c r="H260" s="4"/>
      <c r="I260" s="4"/>
      <c r="J260" s="4"/>
      <c r="L260" s="4"/>
    </row>
    <row r="261" spans="1:12" ht="16" outlineLevel="5" x14ac:dyDescent="0.2">
      <c r="A261" s="4"/>
      <c r="B261" s="4" t="s">
        <v>138</v>
      </c>
      <c r="C261" s="4"/>
      <c r="D261" s="4"/>
      <c r="E261" s="12" t="s">
        <v>1686</v>
      </c>
      <c r="F261" s="4"/>
      <c r="G261" s="4"/>
      <c r="H261" s="4"/>
      <c r="I261" s="4"/>
      <c r="J261" s="4"/>
      <c r="L261" s="4"/>
    </row>
    <row r="262" spans="1:12" ht="32" outlineLevel="4" x14ac:dyDescent="0.2">
      <c r="A262" s="4" t="s">
        <v>21</v>
      </c>
      <c r="B262" s="4" t="s">
        <v>16</v>
      </c>
      <c r="C262" s="4" t="s">
        <v>2</v>
      </c>
      <c r="D262" s="4"/>
      <c r="E262" s="12" t="s">
        <v>485</v>
      </c>
      <c r="F262" s="4" t="s">
        <v>15</v>
      </c>
      <c r="G262" s="4" t="s">
        <v>19</v>
      </c>
      <c r="H262" s="4" t="s">
        <v>2</v>
      </c>
      <c r="I262" s="4" t="s">
        <v>2</v>
      </c>
      <c r="J262" s="4"/>
      <c r="L262" s="4"/>
    </row>
    <row r="263" spans="1:12" ht="16" outlineLevel="4" collapsed="1" x14ac:dyDescent="0.2">
      <c r="A263" s="4" t="s">
        <v>21</v>
      </c>
      <c r="B263" s="4" t="s">
        <v>16</v>
      </c>
      <c r="C263" s="4" t="s">
        <v>2</v>
      </c>
      <c r="D263" s="4"/>
      <c r="E263" s="12" t="s">
        <v>486</v>
      </c>
      <c r="F263" s="4" t="s">
        <v>15</v>
      </c>
      <c r="G263" s="4" t="s">
        <v>19</v>
      </c>
      <c r="H263" s="4" t="s">
        <v>2</v>
      </c>
      <c r="I263" s="4" t="s">
        <v>2</v>
      </c>
      <c r="J263" s="4"/>
      <c r="L263" s="4"/>
    </row>
    <row r="264" spans="1:12" ht="16" outlineLevel="4" collapsed="1" x14ac:dyDescent="0.2">
      <c r="A264" s="4" t="s">
        <v>21</v>
      </c>
      <c r="B264" s="4" t="s">
        <v>16</v>
      </c>
      <c r="C264" s="4" t="s">
        <v>2</v>
      </c>
      <c r="D264" s="4"/>
      <c r="E264" s="12" t="s">
        <v>487</v>
      </c>
      <c r="F264" s="4" t="s">
        <v>15</v>
      </c>
      <c r="G264" s="4" t="s">
        <v>19</v>
      </c>
      <c r="H264" s="4" t="s">
        <v>2</v>
      </c>
      <c r="I264" s="4" t="s">
        <v>2</v>
      </c>
      <c r="J264" s="4"/>
      <c r="L264" s="4"/>
    </row>
    <row r="265" spans="1:12" ht="32" outlineLevel="3" x14ac:dyDescent="0.2">
      <c r="A265" s="5" t="s">
        <v>15</v>
      </c>
      <c r="B265" t="s">
        <v>1178</v>
      </c>
      <c r="C265" s="11" t="s">
        <v>2302</v>
      </c>
      <c r="D265" s="5"/>
      <c r="E265" s="11" t="s">
        <v>1667</v>
      </c>
      <c r="F265" s="5" t="s">
        <v>15</v>
      </c>
      <c r="G265" s="5" t="s">
        <v>2</v>
      </c>
      <c r="H265" s="5" t="s">
        <v>2</v>
      </c>
      <c r="I265" s="5" t="s">
        <v>2</v>
      </c>
      <c r="J265" s="5"/>
      <c r="L265" s="5"/>
    </row>
    <row r="266" spans="1:12" ht="16" outlineLevel="4" collapsed="1" x14ac:dyDescent="0.2">
      <c r="A266" s="4" t="s">
        <v>15</v>
      </c>
      <c r="B266" s="4" t="s">
        <v>25</v>
      </c>
      <c r="C266" s="4" t="s">
        <v>2</v>
      </c>
      <c r="D266" s="4"/>
      <c r="E266" s="12" t="s">
        <v>1687</v>
      </c>
      <c r="F266" s="4" t="s">
        <v>15</v>
      </c>
      <c r="G266" s="4" t="s">
        <v>2</v>
      </c>
      <c r="H266" s="4" t="s">
        <v>2</v>
      </c>
      <c r="I266" s="4" t="s">
        <v>2</v>
      </c>
      <c r="J266" s="4"/>
      <c r="L266" s="4"/>
    </row>
    <row r="267" spans="1:12" ht="16" outlineLevel="4" collapsed="1" x14ac:dyDescent="0.2">
      <c r="A267" s="4" t="s">
        <v>15</v>
      </c>
      <c r="B267" s="4" t="s">
        <v>25</v>
      </c>
      <c r="C267" s="4" t="s">
        <v>2</v>
      </c>
      <c r="D267" s="4"/>
      <c r="E267" s="12" t="s">
        <v>1688</v>
      </c>
      <c r="F267" s="4" t="s">
        <v>15</v>
      </c>
      <c r="G267" s="4" t="s">
        <v>2</v>
      </c>
      <c r="H267" s="4" t="s">
        <v>2</v>
      </c>
      <c r="I267" s="4" t="s">
        <v>2</v>
      </c>
      <c r="J267" s="4"/>
      <c r="L267" s="4"/>
    </row>
    <row r="268" spans="1:12" ht="16" outlineLevel="4" collapsed="1" x14ac:dyDescent="0.2">
      <c r="A268" s="4" t="s">
        <v>21</v>
      </c>
      <c r="B268" s="4" t="s">
        <v>16</v>
      </c>
      <c r="C268" s="4" t="s">
        <v>2</v>
      </c>
      <c r="D268" s="4"/>
      <c r="E268" s="12" t="s">
        <v>482</v>
      </c>
      <c r="F268" s="4" t="s">
        <v>15</v>
      </c>
      <c r="G268" s="4" t="s">
        <v>19</v>
      </c>
      <c r="H268" s="4" t="s">
        <v>2</v>
      </c>
      <c r="I268" s="4" t="s">
        <v>2</v>
      </c>
      <c r="J268" s="4"/>
      <c r="L268" s="4"/>
    </row>
    <row r="269" spans="1:12" ht="16" outlineLevel="4" collapsed="1" x14ac:dyDescent="0.2">
      <c r="A269" s="4" t="s">
        <v>21</v>
      </c>
      <c r="B269" s="4" t="s">
        <v>16</v>
      </c>
      <c r="C269" s="4" t="s">
        <v>2</v>
      </c>
      <c r="D269" s="4"/>
      <c r="E269" s="12" t="s">
        <v>483</v>
      </c>
      <c r="F269" s="4" t="s">
        <v>15</v>
      </c>
      <c r="G269" s="4" t="s">
        <v>19</v>
      </c>
      <c r="H269" s="4" t="s">
        <v>2</v>
      </c>
      <c r="I269" s="4" t="s">
        <v>2</v>
      </c>
      <c r="J269" s="4"/>
      <c r="L269" s="4"/>
    </row>
    <row r="270" spans="1:12" ht="32" outlineLevel="4" collapsed="1" x14ac:dyDescent="0.2">
      <c r="A270" s="4" t="s">
        <v>21</v>
      </c>
      <c r="B270" s="4" t="s">
        <v>16</v>
      </c>
      <c r="C270" s="4" t="s">
        <v>2</v>
      </c>
      <c r="D270" s="4"/>
      <c r="E270" s="12" t="s">
        <v>485</v>
      </c>
      <c r="F270" s="4" t="s">
        <v>15</v>
      </c>
      <c r="G270" s="4" t="s">
        <v>19</v>
      </c>
      <c r="H270" s="4" t="s">
        <v>2</v>
      </c>
      <c r="I270" s="4" t="s">
        <v>2</v>
      </c>
      <c r="J270" s="4"/>
      <c r="L270" s="4"/>
    </row>
    <row r="271" spans="1:12" ht="16" outlineLevel="4" collapsed="1" x14ac:dyDescent="0.2">
      <c r="A271" s="4" t="s">
        <v>15</v>
      </c>
      <c r="B271" s="4" t="s">
        <v>16</v>
      </c>
      <c r="C271" s="4" t="s">
        <v>2</v>
      </c>
      <c r="D271" s="4"/>
      <c r="E271" s="12" t="s">
        <v>486</v>
      </c>
      <c r="F271" s="4" t="s">
        <v>15</v>
      </c>
      <c r="G271" s="4" t="s">
        <v>19</v>
      </c>
      <c r="H271" s="4" t="s">
        <v>2</v>
      </c>
      <c r="I271" s="4" t="s">
        <v>2</v>
      </c>
      <c r="J271" s="4"/>
      <c r="L271" s="4"/>
    </row>
    <row r="272" spans="1:12" ht="16" outlineLevel="4" collapsed="1" x14ac:dyDescent="0.2">
      <c r="A272" s="4" t="s">
        <v>15</v>
      </c>
      <c r="B272" s="4" t="s">
        <v>16</v>
      </c>
      <c r="C272" s="4" t="s">
        <v>2</v>
      </c>
      <c r="D272" s="4"/>
      <c r="E272" s="12" t="s">
        <v>487</v>
      </c>
      <c r="F272" s="4" t="s">
        <v>15</v>
      </c>
      <c r="G272" s="4" t="s">
        <v>19</v>
      </c>
      <c r="H272" s="4" t="s">
        <v>2</v>
      </c>
      <c r="I272" s="4" t="s">
        <v>2</v>
      </c>
      <c r="J272" s="4"/>
      <c r="L272" s="4"/>
    </row>
    <row r="273" spans="1:12" ht="32" outlineLevel="3" x14ac:dyDescent="0.2">
      <c r="A273" s="5" t="s">
        <v>15</v>
      </c>
      <c r="B273" t="s">
        <v>1178</v>
      </c>
      <c r="C273" s="11" t="s">
        <v>2303</v>
      </c>
      <c r="D273" s="5"/>
      <c r="E273" s="50" t="s">
        <v>1668</v>
      </c>
      <c r="F273" s="5" t="s">
        <v>15</v>
      </c>
      <c r="G273" s="5" t="s">
        <v>2</v>
      </c>
      <c r="H273" s="5" t="s">
        <v>2</v>
      </c>
      <c r="I273" s="5" t="s">
        <v>2</v>
      </c>
      <c r="J273" s="5"/>
      <c r="L273" s="5"/>
    </row>
    <row r="274" spans="1:12" ht="32" outlineLevel="4" collapsed="1" x14ac:dyDescent="0.2">
      <c r="A274" s="4" t="s">
        <v>15</v>
      </c>
      <c r="B274" s="4" t="s">
        <v>25</v>
      </c>
      <c r="C274" s="4" t="s">
        <v>2</v>
      </c>
      <c r="D274" s="4"/>
      <c r="E274" s="12" t="s">
        <v>1689</v>
      </c>
      <c r="F274" s="4" t="s">
        <v>15</v>
      </c>
      <c r="G274" s="4" t="s">
        <v>2</v>
      </c>
      <c r="H274" s="4" t="s">
        <v>2</v>
      </c>
      <c r="I274" s="4" t="s">
        <v>2</v>
      </c>
      <c r="J274" s="4"/>
      <c r="L274" s="4"/>
    </row>
    <row r="275" spans="1:12" ht="16" outlineLevel="4" collapsed="1" x14ac:dyDescent="0.2">
      <c r="A275" s="4" t="s">
        <v>15</v>
      </c>
      <c r="B275" s="4" t="s">
        <v>25</v>
      </c>
      <c r="C275" s="4" t="s">
        <v>2</v>
      </c>
      <c r="D275" s="4"/>
      <c r="E275" s="12" t="s">
        <v>1690</v>
      </c>
      <c r="F275" s="4" t="s">
        <v>15</v>
      </c>
      <c r="G275" s="4" t="s">
        <v>2</v>
      </c>
      <c r="H275" s="4" t="s">
        <v>2</v>
      </c>
      <c r="I275" s="4" t="s">
        <v>2</v>
      </c>
      <c r="J275" s="4"/>
      <c r="L275" s="4"/>
    </row>
    <row r="276" spans="1:12" ht="16" outlineLevel="4" collapsed="1" x14ac:dyDescent="0.2">
      <c r="A276" s="4" t="s">
        <v>21</v>
      </c>
      <c r="B276" s="4" t="s">
        <v>16</v>
      </c>
      <c r="C276" s="4" t="s">
        <v>2</v>
      </c>
      <c r="D276" s="4"/>
      <c r="E276" s="12" t="s">
        <v>482</v>
      </c>
      <c r="F276" s="4" t="s">
        <v>15</v>
      </c>
      <c r="G276" s="4" t="s">
        <v>19</v>
      </c>
      <c r="H276" s="4" t="s">
        <v>2</v>
      </c>
      <c r="I276" s="4" t="s">
        <v>2</v>
      </c>
      <c r="J276" s="4"/>
      <c r="L276" s="4"/>
    </row>
    <row r="277" spans="1:12" ht="16" outlineLevel="4" collapsed="1" x14ac:dyDescent="0.2">
      <c r="A277" s="4" t="s">
        <v>21</v>
      </c>
      <c r="B277" s="4" t="s">
        <v>16</v>
      </c>
      <c r="C277" s="4" t="s">
        <v>2</v>
      </c>
      <c r="D277" s="4"/>
      <c r="E277" s="12" t="s">
        <v>483</v>
      </c>
      <c r="F277" s="4" t="s">
        <v>15</v>
      </c>
      <c r="G277" s="4" t="s">
        <v>19</v>
      </c>
      <c r="H277" s="4" t="s">
        <v>2</v>
      </c>
      <c r="I277" s="4" t="s">
        <v>2</v>
      </c>
      <c r="J277" s="4"/>
      <c r="L277" s="4"/>
    </row>
    <row r="278" spans="1:12" ht="32" outlineLevel="4" x14ac:dyDescent="0.2">
      <c r="A278" s="5" t="s">
        <v>21</v>
      </c>
      <c r="B278" t="s">
        <v>1178</v>
      </c>
      <c r="C278" s="11" t="s">
        <v>2304</v>
      </c>
      <c r="D278" s="5"/>
      <c r="E278" s="11" t="s">
        <v>1691</v>
      </c>
      <c r="F278" s="5" t="s">
        <v>21</v>
      </c>
      <c r="G278" s="5" t="s">
        <v>2</v>
      </c>
      <c r="H278" s="5" t="s">
        <v>2</v>
      </c>
      <c r="I278" s="5" t="s">
        <v>2</v>
      </c>
      <c r="J278" s="5"/>
      <c r="L278" s="5"/>
    </row>
    <row r="279" spans="1:12" ht="16" outlineLevel="5" collapsed="1" x14ac:dyDescent="0.2">
      <c r="A279" s="4" t="s">
        <v>21</v>
      </c>
      <c r="B279" s="4" t="s">
        <v>16</v>
      </c>
      <c r="C279" s="4" t="s">
        <v>2</v>
      </c>
      <c r="D279" s="4"/>
      <c r="E279" s="12" t="s">
        <v>1692</v>
      </c>
      <c r="F279" s="4" t="s">
        <v>15</v>
      </c>
      <c r="G279" s="4" t="s">
        <v>19</v>
      </c>
      <c r="H279" s="4" t="s">
        <v>2</v>
      </c>
      <c r="I279" s="4" t="s">
        <v>2</v>
      </c>
      <c r="J279" s="4"/>
      <c r="L279" s="4"/>
    </row>
    <row r="280" spans="1:12" ht="16" outlineLevel="5" collapsed="1" x14ac:dyDescent="0.2">
      <c r="A280" s="4" t="s">
        <v>21</v>
      </c>
      <c r="B280" s="4" t="s">
        <v>138</v>
      </c>
      <c r="C280" s="4" t="s">
        <v>2</v>
      </c>
      <c r="D280" s="4"/>
      <c r="E280" s="12" t="s">
        <v>1693</v>
      </c>
      <c r="F280" s="4" t="s">
        <v>15</v>
      </c>
      <c r="G280" s="4">
        <v>1</v>
      </c>
      <c r="H280" s="4" t="s">
        <v>2</v>
      </c>
      <c r="I280" s="4" t="s">
        <v>2</v>
      </c>
      <c r="J280" s="4"/>
      <c r="L280" s="4"/>
    </row>
    <row r="281" spans="1:12" ht="32" outlineLevel="4" x14ac:dyDescent="0.2">
      <c r="A281" s="4" t="s">
        <v>21</v>
      </c>
      <c r="B281" s="4" t="s">
        <v>16</v>
      </c>
      <c r="C281" s="4" t="s">
        <v>2</v>
      </c>
      <c r="D281" s="4"/>
      <c r="E281" s="12" t="s">
        <v>485</v>
      </c>
      <c r="F281" s="4" t="s">
        <v>15</v>
      </c>
      <c r="G281" s="4" t="s">
        <v>19</v>
      </c>
      <c r="H281" s="4" t="s">
        <v>2</v>
      </c>
      <c r="I281" s="4" t="s">
        <v>2</v>
      </c>
      <c r="J281" s="4"/>
      <c r="L281" s="4"/>
    </row>
    <row r="282" spans="1:12" ht="16" outlineLevel="4" collapsed="1" x14ac:dyDescent="0.2">
      <c r="A282" s="4" t="s">
        <v>15</v>
      </c>
      <c r="B282" s="4" t="s">
        <v>16</v>
      </c>
      <c r="C282" s="4" t="s">
        <v>2</v>
      </c>
      <c r="D282" s="4"/>
      <c r="E282" s="12" t="s">
        <v>486</v>
      </c>
      <c r="F282" s="4" t="s">
        <v>15</v>
      </c>
      <c r="G282" s="4" t="s">
        <v>19</v>
      </c>
      <c r="H282" s="4" t="s">
        <v>2</v>
      </c>
      <c r="I282" s="4" t="s">
        <v>2</v>
      </c>
      <c r="J282" s="4"/>
      <c r="L282" s="4"/>
    </row>
    <row r="283" spans="1:12" ht="16" outlineLevel="4" collapsed="1" x14ac:dyDescent="0.2">
      <c r="A283" s="4" t="s">
        <v>15</v>
      </c>
      <c r="B283" s="4" t="s">
        <v>16</v>
      </c>
      <c r="C283" s="4" t="s">
        <v>2</v>
      </c>
      <c r="D283" s="4"/>
      <c r="E283" s="12" t="s">
        <v>487</v>
      </c>
      <c r="F283" s="4" t="s">
        <v>15</v>
      </c>
      <c r="G283" s="4" t="s">
        <v>19</v>
      </c>
      <c r="H283" s="4" t="s">
        <v>2</v>
      </c>
      <c r="I283" s="4" t="s">
        <v>2</v>
      </c>
      <c r="J283" s="4"/>
      <c r="L283" s="4"/>
    </row>
    <row r="284" spans="1:12" ht="128" outlineLevel="3" x14ac:dyDescent="0.2">
      <c r="A284" s="5" t="s">
        <v>15</v>
      </c>
      <c r="B284" t="s">
        <v>1178</v>
      </c>
      <c r="C284" s="11" t="s">
        <v>2305</v>
      </c>
      <c r="D284" s="5"/>
      <c r="E284" s="50" t="s">
        <v>1694</v>
      </c>
      <c r="F284" s="5" t="s">
        <v>15</v>
      </c>
      <c r="G284" s="5" t="s">
        <v>2</v>
      </c>
      <c r="H284" s="5" t="s">
        <v>2</v>
      </c>
      <c r="I284" s="5" t="s">
        <v>2</v>
      </c>
      <c r="J284" s="5"/>
      <c r="L284" s="5"/>
    </row>
    <row r="285" spans="1:12" ht="256" outlineLevel="4" collapsed="1" x14ac:dyDescent="0.2">
      <c r="A285" s="4" t="s">
        <v>15</v>
      </c>
      <c r="B285" s="4" t="s">
        <v>25</v>
      </c>
      <c r="C285" s="4" t="s">
        <v>2</v>
      </c>
      <c r="D285" s="4"/>
      <c r="E285" s="12" t="s">
        <v>1695</v>
      </c>
      <c r="F285" s="4" t="s">
        <v>15</v>
      </c>
      <c r="G285" s="4" t="s">
        <v>2</v>
      </c>
      <c r="H285" s="4" t="s">
        <v>2</v>
      </c>
      <c r="I285" s="4" t="s">
        <v>2</v>
      </c>
      <c r="J285" s="4"/>
      <c r="L285" s="4"/>
    </row>
    <row r="286" spans="1:12" ht="16" outlineLevel="4" collapsed="1" x14ac:dyDescent="0.2">
      <c r="A286" s="4" t="s">
        <v>15</v>
      </c>
      <c r="B286" s="4" t="s">
        <v>25</v>
      </c>
      <c r="C286" s="4" t="s">
        <v>2</v>
      </c>
      <c r="D286" s="4"/>
      <c r="E286" s="12" t="s">
        <v>1696</v>
      </c>
      <c r="F286" s="4" t="s">
        <v>15</v>
      </c>
      <c r="G286" s="4" t="s">
        <v>2</v>
      </c>
      <c r="H286" s="4" t="s">
        <v>2</v>
      </c>
      <c r="I286" s="4" t="s">
        <v>2</v>
      </c>
      <c r="J286" s="4"/>
      <c r="L286" s="4"/>
    </row>
    <row r="287" spans="1:12" ht="16" outlineLevel="4" collapsed="1" x14ac:dyDescent="0.2">
      <c r="A287" s="4" t="s">
        <v>21</v>
      </c>
      <c r="B287" s="4" t="s">
        <v>16</v>
      </c>
      <c r="C287" s="4" t="s">
        <v>2</v>
      </c>
      <c r="D287" s="4"/>
      <c r="E287" s="12" t="s">
        <v>482</v>
      </c>
      <c r="F287" s="4" t="s">
        <v>15</v>
      </c>
      <c r="G287" s="4" t="s">
        <v>19</v>
      </c>
      <c r="H287" s="4" t="s">
        <v>2</v>
      </c>
      <c r="I287" s="4" t="s">
        <v>2</v>
      </c>
      <c r="J287" s="4"/>
      <c r="L287" s="4"/>
    </row>
    <row r="288" spans="1:12" ht="16" outlineLevel="4" collapsed="1" x14ac:dyDescent="0.2">
      <c r="A288" s="4" t="s">
        <v>21</v>
      </c>
      <c r="B288" s="4" t="s">
        <v>16</v>
      </c>
      <c r="C288" s="4" t="s">
        <v>2</v>
      </c>
      <c r="D288" s="4"/>
      <c r="E288" s="12" t="s">
        <v>483</v>
      </c>
      <c r="F288" s="4" t="s">
        <v>15</v>
      </c>
      <c r="G288" s="4" t="s">
        <v>19</v>
      </c>
      <c r="H288" s="4" t="s">
        <v>2</v>
      </c>
      <c r="I288" s="4" t="s">
        <v>2</v>
      </c>
      <c r="J288" s="4"/>
      <c r="L288" s="4"/>
    </row>
    <row r="289" spans="1:12" ht="32" outlineLevel="4" x14ac:dyDescent="0.2">
      <c r="A289" s="4" t="s">
        <v>21</v>
      </c>
      <c r="B289" s="4" t="s">
        <v>16</v>
      </c>
      <c r="C289" s="4" t="s">
        <v>2</v>
      </c>
      <c r="D289" s="4"/>
      <c r="E289" s="12" t="s">
        <v>485</v>
      </c>
      <c r="F289" s="4" t="s">
        <v>15</v>
      </c>
      <c r="G289" s="4" t="s">
        <v>19</v>
      </c>
      <c r="H289" s="4" t="s">
        <v>2</v>
      </c>
      <c r="I289" s="4" t="s">
        <v>2</v>
      </c>
      <c r="J289" s="4"/>
      <c r="L289" s="4"/>
    </row>
    <row r="290" spans="1:12" ht="16" outlineLevel="4" collapsed="1" x14ac:dyDescent="0.2">
      <c r="A290" s="4" t="s">
        <v>15</v>
      </c>
      <c r="B290" s="4" t="s">
        <v>16</v>
      </c>
      <c r="C290" s="4" t="s">
        <v>2</v>
      </c>
      <c r="D290" s="4"/>
      <c r="E290" s="12" t="s">
        <v>486</v>
      </c>
      <c r="F290" s="4" t="s">
        <v>15</v>
      </c>
      <c r="G290" s="4" t="s">
        <v>19</v>
      </c>
      <c r="H290" s="4" t="s">
        <v>2</v>
      </c>
      <c r="I290" s="4" t="s">
        <v>2</v>
      </c>
      <c r="J290" s="4"/>
      <c r="L290" s="4"/>
    </row>
    <row r="291" spans="1:12" ht="16" outlineLevel="4" collapsed="1" x14ac:dyDescent="0.2">
      <c r="A291" s="4" t="s">
        <v>15</v>
      </c>
      <c r="B291" s="4" t="s">
        <v>16</v>
      </c>
      <c r="C291" s="4" t="s">
        <v>2</v>
      </c>
      <c r="D291" s="4"/>
      <c r="E291" s="12" t="s">
        <v>487</v>
      </c>
      <c r="F291" s="4" t="s">
        <v>15</v>
      </c>
      <c r="G291" s="4" t="s">
        <v>19</v>
      </c>
      <c r="H291" s="4" t="s">
        <v>2</v>
      </c>
      <c r="I291" s="4" t="s">
        <v>2</v>
      </c>
      <c r="J291" s="4"/>
      <c r="L291" s="4"/>
    </row>
    <row r="292" spans="1:12" ht="48" outlineLevel="3" x14ac:dyDescent="0.2">
      <c r="A292" s="5" t="s">
        <v>15</v>
      </c>
      <c r="B292" t="s">
        <v>1178</v>
      </c>
      <c r="C292" s="11" t="s">
        <v>2306</v>
      </c>
      <c r="D292" s="5"/>
      <c r="E292" s="11" t="s">
        <v>1681</v>
      </c>
      <c r="F292" s="5" t="s">
        <v>15</v>
      </c>
      <c r="G292" s="5" t="s">
        <v>2</v>
      </c>
      <c r="H292" s="5" t="s">
        <v>2</v>
      </c>
      <c r="I292" s="5" t="s">
        <v>2</v>
      </c>
      <c r="J292" s="5"/>
      <c r="L292" s="5"/>
    </row>
    <row r="293" spans="1:12" ht="80" outlineLevel="4" collapsed="1" x14ac:dyDescent="0.2">
      <c r="A293" s="4" t="s">
        <v>15</v>
      </c>
      <c r="B293" s="4" t="s">
        <v>25</v>
      </c>
      <c r="C293" s="4" t="s">
        <v>2</v>
      </c>
      <c r="D293" s="4"/>
      <c r="E293" s="12" t="s">
        <v>1697</v>
      </c>
      <c r="F293" s="4" t="s">
        <v>15</v>
      </c>
      <c r="G293" s="4" t="s">
        <v>2</v>
      </c>
      <c r="H293" s="4" t="s">
        <v>2</v>
      </c>
      <c r="I293" s="4" t="s">
        <v>2</v>
      </c>
      <c r="J293" s="4"/>
      <c r="L293" s="4"/>
    </row>
    <row r="294" spans="1:12" ht="16" outlineLevel="4" collapsed="1" x14ac:dyDescent="0.2">
      <c r="A294" s="4" t="s">
        <v>15</v>
      </c>
      <c r="B294" s="4" t="s">
        <v>25</v>
      </c>
      <c r="C294" s="4" t="s">
        <v>2</v>
      </c>
      <c r="D294" s="4"/>
      <c r="E294" s="12" t="s">
        <v>1688</v>
      </c>
      <c r="F294" s="4" t="s">
        <v>15</v>
      </c>
      <c r="G294" s="4" t="s">
        <v>2</v>
      </c>
      <c r="H294" s="4" t="s">
        <v>2</v>
      </c>
      <c r="I294" s="4" t="s">
        <v>2</v>
      </c>
      <c r="J294" s="4"/>
      <c r="L294" s="4"/>
    </row>
    <row r="295" spans="1:12" ht="16" outlineLevel="4" collapsed="1" x14ac:dyDescent="0.2">
      <c r="A295" s="4" t="s">
        <v>21</v>
      </c>
      <c r="B295" s="4" t="s">
        <v>16</v>
      </c>
      <c r="C295" s="4" t="s">
        <v>2</v>
      </c>
      <c r="D295" s="4"/>
      <c r="E295" s="12" t="s">
        <v>482</v>
      </c>
      <c r="F295" s="4" t="s">
        <v>15</v>
      </c>
      <c r="G295" s="4" t="s">
        <v>19</v>
      </c>
      <c r="H295" s="4" t="s">
        <v>2</v>
      </c>
      <c r="I295" s="4" t="s">
        <v>2</v>
      </c>
      <c r="J295" s="4"/>
      <c r="L295" s="4"/>
    </row>
    <row r="296" spans="1:12" ht="16" outlineLevel="4" collapsed="1" x14ac:dyDescent="0.2">
      <c r="A296" s="4" t="s">
        <v>21</v>
      </c>
      <c r="B296" s="4" t="s">
        <v>16</v>
      </c>
      <c r="C296" s="4" t="s">
        <v>2</v>
      </c>
      <c r="D296" s="4"/>
      <c r="E296" s="12" t="s">
        <v>483</v>
      </c>
      <c r="F296" s="4" t="s">
        <v>15</v>
      </c>
      <c r="G296" s="4" t="s">
        <v>19</v>
      </c>
      <c r="H296" s="4" t="s">
        <v>2</v>
      </c>
      <c r="I296" s="4" t="s">
        <v>2</v>
      </c>
      <c r="J296" s="4"/>
      <c r="L296" s="4"/>
    </row>
    <row r="297" spans="1:12" ht="48" outlineLevel="4" x14ac:dyDescent="0.2">
      <c r="A297" s="5" t="s">
        <v>21</v>
      </c>
      <c r="B297" t="s">
        <v>1178</v>
      </c>
      <c r="C297" s="11" t="s">
        <v>2307</v>
      </c>
      <c r="D297" s="5"/>
      <c r="E297" s="11" t="s">
        <v>1698</v>
      </c>
      <c r="F297" s="5" t="s">
        <v>21</v>
      </c>
      <c r="G297" s="5" t="s">
        <v>2</v>
      </c>
      <c r="H297" s="5" t="s">
        <v>2</v>
      </c>
      <c r="I297" s="5" t="s">
        <v>2</v>
      </c>
      <c r="J297" s="5"/>
      <c r="L297" s="5"/>
    </row>
    <row r="298" spans="1:12" ht="16" outlineLevel="5" collapsed="1" x14ac:dyDescent="0.2">
      <c r="A298" s="4" t="s">
        <v>21</v>
      </c>
      <c r="B298" s="4" t="s">
        <v>16</v>
      </c>
      <c r="C298" s="4" t="s">
        <v>2</v>
      </c>
      <c r="D298" s="4"/>
      <c r="E298" s="12" t="s">
        <v>1692</v>
      </c>
      <c r="F298" s="4" t="s">
        <v>15</v>
      </c>
      <c r="G298" s="4" t="s">
        <v>19</v>
      </c>
      <c r="H298" s="4" t="s">
        <v>2</v>
      </c>
      <c r="I298" s="4" t="s">
        <v>2</v>
      </c>
      <c r="J298" s="4"/>
      <c r="L298" s="4"/>
    </row>
    <row r="299" spans="1:12" ht="16" outlineLevel="5" x14ac:dyDescent="0.2">
      <c r="A299" s="4"/>
      <c r="B299" s="4" t="s">
        <v>138</v>
      </c>
      <c r="C299" s="4"/>
      <c r="D299" s="4"/>
      <c r="E299" s="12" t="s">
        <v>1657</v>
      </c>
      <c r="F299" s="4"/>
      <c r="G299" s="4"/>
      <c r="H299" s="4"/>
      <c r="I299" s="4"/>
      <c r="J299" s="4"/>
      <c r="L299" s="4"/>
    </row>
    <row r="300" spans="1:12" ht="16" outlineLevel="5" x14ac:dyDescent="0.2">
      <c r="A300" s="4"/>
      <c r="B300" s="4" t="s">
        <v>138</v>
      </c>
      <c r="C300" s="4"/>
      <c r="D300" s="4"/>
      <c r="E300" s="12" t="s">
        <v>1699</v>
      </c>
      <c r="F300" s="4"/>
      <c r="G300" s="4"/>
      <c r="H300" s="4"/>
      <c r="I300" s="4"/>
      <c r="J300" s="4"/>
      <c r="L300" s="4"/>
    </row>
    <row r="301" spans="1:12" ht="16" outlineLevel="5" collapsed="1" x14ac:dyDescent="0.2">
      <c r="A301" s="4" t="s">
        <v>21</v>
      </c>
      <c r="B301" s="4" t="s">
        <v>138</v>
      </c>
      <c r="C301" s="4" t="s">
        <v>2</v>
      </c>
      <c r="D301" s="4"/>
      <c r="E301" s="12" t="s">
        <v>1700</v>
      </c>
      <c r="F301" s="4" t="s">
        <v>15</v>
      </c>
      <c r="G301" s="4">
        <v>1</v>
      </c>
      <c r="H301" s="4" t="s">
        <v>2</v>
      </c>
      <c r="I301" s="4" t="s">
        <v>2</v>
      </c>
      <c r="J301" s="4"/>
      <c r="L301" s="4"/>
    </row>
    <row r="302" spans="1:12" ht="32" outlineLevel="4" x14ac:dyDescent="0.2">
      <c r="A302" s="4" t="s">
        <v>21</v>
      </c>
      <c r="B302" s="4" t="s">
        <v>16</v>
      </c>
      <c r="C302" s="4" t="s">
        <v>2</v>
      </c>
      <c r="D302" s="4"/>
      <c r="E302" s="12" t="s">
        <v>485</v>
      </c>
      <c r="F302" s="4" t="s">
        <v>15</v>
      </c>
      <c r="G302" s="4" t="s">
        <v>19</v>
      </c>
      <c r="H302" s="4" t="s">
        <v>2</v>
      </c>
      <c r="I302" s="4" t="s">
        <v>2</v>
      </c>
      <c r="J302" s="4"/>
      <c r="L302" s="4"/>
    </row>
    <row r="303" spans="1:12" ht="16" outlineLevel="4" collapsed="1" x14ac:dyDescent="0.2">
      <c r="A303" s="4" t="s">
        <v>15</v>
      </c>
      <c r="B303" s="4" t="s">
        <v>16</v>
      </c>
      <c r="C303" s="4" t="s">
        <v>2</v>
      </c>
      <c r="D303" s="4"/>
      <c r="E303" s="12" t="s">
        <v>486</v>
      </c>
      <c r="F303" s="4" t="s">
        <v>15</v>
      </c>
      <c r="G303" s="4" t="s">
        <v>19</v>
      </c>
      <c r="H303" s="4" t="s">
        <v>2</v>
      </c>
      <c r="I303" s="4" t="s">
        <v>2</v>
      </c>
      <c r="J303" s="4"/>
      <c r="L303" s="4"/>
    </row>
    <row r="304" spans="1:12" ht="19" customHeight="1" outlineLevel="4" collapsed="1" x14ac:dyDescent="0.2">
      <c r="A304" s="4" t="s">
        <v>15</v>
      </c>
      <c r="B304" s="4" t="s">
        <v>16</v>
      </c>
      <c r="C304" s="4" t="s">
        <v>2</v>
      </c>
      <c r="D304" s="4"/>
      <c r="E304" s="12" t="s">
        <v>487</v>
      </c>
      <c r="F304" s="4" t="s">
        <v>15</v>
      </c>
      <c r="G304" s="4" t="s">
        <v>19</v>
      </c>
      <c r="H304" s="4" t="s">
        <v>2</v>
      </c>
      <c r="I304" s="4" t="s">
        <v>2</v>
      </c>
      <c r="J304" s="4"/>
      <c r="L304" s="4"/>
    </row>
    <row r="305" spans="1:12" ht="32" outlineLevel="2" x14ac:dyDescent="0.2">
      <c r="A305" s="17" t="s">
        <v>15</v>
      </c>
      <c r="B305" t="s">
        <v>1178</v>
      </c>
      <c r="C305" s="17" t="s">
        <v>495</v>
      </c>
      <c r="D305" s="17"/>
      <c r="E305" s="17" t="s">
        <v>495</v>
      </c>
      <c r="F305" s="17" t="s">
        <v>21</v>
      </c>
      <c r="G305" s="17" t="s">
        <v>2</v>
      </c>
      <c r="H305" s="17" t="s">
        <v>2</v>
      </c>
      <c r="I305" s="17" t="s">
        <v>2</v>
      </c>
      <c r="J305" s="17" t="s">
        <v>496</v>
      </c>
      <c r="L305" s="17"/>
    </row>
    <row r="306" spans="1:12" s="39" customFormat="1" ht="16" outlineLevel="3" collapsed="1" x14ac:dyDescent="0.2">
      <c r="A306" s="38" t="s">
        <v>21</v>
      </c>
      <c r="B306" s="38" t="s">
        <v>16</v>
      </c>
      <c r="C306" s="38" t="s">
        <v>2</v>
      </c>
      <c r="D306" s="38"/>
      <c r="E306" s="38" t="s">
        <v>478</v>
      </c>
      <c r="F306" s="38" t="s">
        <v>15</v>
      </c>
      <c r="G306" s="38" t="s">
        <v>19</v>
      </c>
      <c r="H306" s="38" t="s">
        <v>2</v>
      </c>
      <c r="I306" s="38" t="s">
        <v>2</v>
      </c>
      <c r="J306" s="38" t="s">
        <v>479</v>
      </c>
      <c r="L306" s="38"/>
    </row>
    <row r="307" spans="1:12" s="39" customFormat="1" ht="16" outlineLevel="3" collapsed="1" x14ac:dyDescent="0.2">
      <c r="A307" s="38" t="s">
        <v>21</v>
      </c>
      <c r="B307" s="38" t="s">
        <v>16</v>
      </c>
      <c r="C307" s="38" t="s">
        <v>2</v>
      </c>
      <c r="D307" s="38"/>
      <c r="E307" s="38" t="s">
        <v>480</v>
      </c>
      <c r="F307" s="38" t="s">
        <v>15</v>
      </c>
      <c r="G307" s="38" t="s">
        <v>19</v>
      </c>
      <c r="H307" s="38" t="s">
        <v>2</v>
      </c>
      <c r="I307" s="38" t="s">
        <v>2</v>
      </c>
      <c r="J307" s="38" t="s">
        <v>481</v>
      </c>
      <c r="L307" s="38"/>
    </row>
    <row r="308" spans="1:12" ht="32" outlineLevel="3" x14ac:dyDescent="0.2">
      <c r="A308" s="5" t="s">
        <v>15</v>
      </c>
      <c r="B308" t="s">
        <v>1178</v>
      </c>
      <c r="C308" s="11" t="s">
        <v>2346</v>
      </c>
      <c r="D308" s="5"/>
      <c r="E308" s="50" t="s">
        <v>2346</v>
      </c>
      <c r="F308" s="5" t="s">
        <v>15</v>
      </c>
      <c r="G308" s="5" t="s">
        <v>2</v>
      </c>
      <c r="H308" s="5" t="s">
        <v>2</v>
      </c>
      <c r="I308" s="5" t="s">
        <v>2</v>
      </c>
      <c r="J308" s="5"/>
      <c r="L308" s="5"/>
    </row>
    <row r="309" spans="1:12" ht="32" outlineLevel="4" collapsed="1" x14ac:dyDescent="0.2">
      <c r="A309" s="4" t="s">
        <v>15</v>
      </c>
      <c r="B309" s="4" t="s">
        <v>25</v>
      </c>
      <c r="C309" s="4" t="s">
        <v>2</v>
      </c>
      <c r="D309" s="4"/>
      <c r="E309" s="12" t="s">
        <v>1701</v>
      </c>
      <c r="F309" s="4" t="s">
        <v>15</v>
      </c>
      <c r="G309" s="4" t="s">
        <v>2</v>
      </c>
      <c r="H309" s="4" t="s">
        <v>2</v>
      </c>
      <c r="I309" s="4" t="s">
        <v>2</v>
      </c>
      <c r="J309" s="4"/>
      <c r="L309" s="4"/>
    </row>
    <row r="310" spans="1:12" ht="16" outlineLevel="4" collapsed="1" x14ac:dyDescent="0.2">
      <c r="A310" s="4" t="s">
        <v>15</v>
      </c>
      <c r="B310" s="4" t="s">
        <v>25</v>
      </c>
      <c r="C310" s="4" t="s">
        <v>2</v>
      </c>
      <c r="D310" s="4"/>
      <c r="E310" s="12" t="s">
        <v>1690</v>
      </c>
      <c r="F310" s="4" t="s">
        <v>15</v>
      </c>
      <c r="G310" s="4" t="s">
        <v>2</v>
      </c>
      <c r="H310" s="4" t="s">
        <v>2</v>
      </c>
      <c r="I310" s="4" t="s">
        <v>2</v>
      </c>
      <c r="J310" s="4"/>
      <c r="L310" s="4"/>
    </row>
    <row r="311" spans="1:12" ht="16" outlineLevel="4" collapsed="1" x14ac:dyDescent="0.2">
      <c r="A311" s="4" t="s">
        <v>21</v>
      </c>
      <c r="B311" s="4" t="s">
        <v>16</v>
      </c>
      <c r="C311" s="4" t="s">
        <v>2</v>
      </c>
      <c r="D311" s="4"/>
      <c r="E311" s="12" t="s">
        <v>482</v>
      </c>
      <c r="F311" s="4" t="s">
        <v>15</v>
      </c>
      <c r="G311" s="4" t="s">
        <v>19</v>
      </c>
      <c r="H311" s="4" t="s">
        <v>2</v>
      </c>
      <c r="I311" s="4" t="s">
        <v>2</v>
      </c>
      <c r="J311" s="4"/>
      <c r="L311" s="4"/>
    </row>
    <row r="312" spans="1:12" ht="16" outlineLevel="4" collapsed="1" x14ac:dyDescent="0.2">
      <c r="A312" s="4" t="s">
        <v>21</v>
      </c>
      <c r="B312" s="4" t="s">
        <v>16</v>
      </c>
      <c r="C312" s="4" t="s">
        <v>2</v>
      </c>
      <c r="D312" s="4"/>
      <c r="E312" s="12" t="s">
        <v>483</v>
      </c>
      <c r="F312" s="4" t="s">
        <v>15</v>
      </c>
      <c r="G312" s="4" t="s">
        <v>19</v>
      </c>
      <c r="H312" s="4" t="s">
        <v>2</v>
      </c>
      <c r="I312" s="4" t="s">
        <v>2</v>
      </c>
      <c r="J312" s="4"/>
      <c r="L312" s="4"/>
    </row>
    <row r="313" spans="1:12" ht="32" outlineLevel="4" x14ac:dyDescent="0.2">
      <c r="A313" s="5" t="s">
        <v>21</v>
      </c>
      <c r="B313" t="s">
        <v>1178</v>
      </c>
      <c r="C313" s="12" t="s">
        <v>2308</v>
      </c>
      <c r="D313" s="5"/>
      <c r="E313" s="12" t="s">
        <v>2308</v>
      </c>
      <c r="F313" s="5" t="s">
        <v>21</v>
      </c>
      <c r="G313" s="5" t="s">
        <v>2</v>
      </c>
      <c r="H313" s="5" t="s">
        <v>2</v>
      </c>
      <c r="I313" s="5" t="s">
        <v>2</v>
      </c>
      <c r="J313" s="5"/>
      <c r="L313" s="5"/>
    </row>
    <row r="314" spans="1:12" ht="16" outlineLevel="5" collapsed="1" x14ac:dyDescent="0.2">
      <c r="A314" s="4" t="s">
        <v>21</v>
      </c>
      <c r="B314" s="4" t="s">
        <v>138</v>
      </c>
      <c r="C314" s="4" t="s">
        <v>2</v>
      </c>
      <c r="D314" s="4"/>
      <c r="E314" s="12" t="s">
        <v>1657</v>
      </c>
      <c r="F314" s="4" t="s">
        <v>15</v>
      </c>
      <c r="G314" s="4">
        <v>1</v>
      </c>
      <c r="H314" s="4" t="s">
        <v>2</v>
      </c>
      <c r="I314" s="4" t="s">
        <v>2</v>
      </c>
      <c r="J314" s="4"/>
      <c r="L314" s="4"/>
    </row>
    <row r="315" spans="1:12" ht="16" outlineLevel="5" collapsed="1" x14ac:dyDescent="0.2">
      <c r="A315" s="4" t="s">
        <v>21</v>
      </c>
      <c r="B315" s="4" t="s">
        <v>16</v>
      </c>
      <c r="C315" s="4" t="s">
        <v>2</v>
      </c>
      <c r="D315" s="4"/>
      <c r="E315" s="12" t="s">
        <v>1304</v>
      </c>
      <c r="F315" s="4" t="s">
        <v>15</v>
      </c>
      <c r="G315" s="4" t="s">
        <v>19</v>
      </c>
      <c r="H315" s="4" t="s">
        <v>2</v>
      </c>
      <c r="I315" s="4" t="s">
        <v>2</v>
      </c>
      <c r="J315" s="4"/>
      <c r="L315" s="4"/>
    </row>
    <row r="316" spans="1:12" ht="16" outlineLevel="5" collapsed="1" x14ac:dyDescent="0.2">
      <c r="A316" s="4" t="s">
        <v>21</v>
      </c>
      <c r="B316" s="4" t="s">
        <v>16</v>
      </c>
      <c r="C316" s="4" t="s">
        <v>2</v>
      </c>
      <c r="D316" s="4"/>
      <c r="E316" s="12" t="s">
        <v>1305</v>
      </c>
      <c r="F316" s="4" t="s">
        <v>15</v>
      </c>
      <c r="G316" s="4">
        <v>1</v>
      </c>
      <c r="H316" s="4" t="s">
        <v>2</v>
      </c>
      <c r="I316" s="4" t="s">
        <v>2</v>
      </c>
      <c r="J316" s="4"/>
      <c r="L316" s="4"/>
    </row>
    <row r="317" spans="1:12" ht="16" outlineLevel="5" collapsed="1" x14ac:dyDescent="0.2">
      <c r="A317" s="4" t="s">
        <v>21</v>
      </c>
      <c r="B317" s="4" t="s">
        <v>138</v>
      </c>
      <c r="C317" s="4" t="s">
        <v>2</v>
      </c>
      <c r="D317" s="4"/>
      <c r="E317" s="12" t="s">
        <v>1703</v>
      </c>
      <c r="F317" s="4" t="s">
        <v>15</v>
      </c>
      <c r="G317" s="4">
        <v>1</v>
      </c>
      <c r="H317" s="4" t="s">
        <v>2</v>
      </c>
      <c r="I317" s="4" t="s">
        <v>2</v>
      </c>
      <c r="J317" s="4"/>
      <c r="L317" s="4"/>
    </row>
    <row r="318" spans="1:12" ht="32" outlineLevel="4" x14ac:dyDescent="0.2">
      <c r="A318" s="4" t="s">
        <v>21</v>
      </c>
      <c r="B318" s="4" t="s">
        <v>16</v>
      </c>
      <c r="C318" s="4" t="s">
        <v>2</v>
      </c>
      <c r="D318" s="4"/>
      <c r="E318" s="12" t="s">
        <v>485</v>
      </c>
      <c r="F318" s="4" t="s">
        <v>15</v>
      </c>
      <c r="G318" s="4" t="s">
        <v>19</v>
      </c>
      <c r="H318" s="4" t="s">
        <v>2</v>
      </c>
      <c r="I318" s="4" t="s">
        <v>2</v>
      </c>
      <c r="J318" s="4"/>
      <c r="L318" s="4"/>
    </row>
    <row r="319" spans="1:12" ht="16" outlineLevel="4" collapsed="1" x14ac:dyDescent="0.2">
      <c r="A319" s="4" t="s">
        <v>21</v>
      </c>
      <c r="B319" s="4" t="s">
        <v>16</v>
      </c>
      <c r="C319" s="4" t="s">
        <v>2</v>
      </c>
      <c r="D319" s="4"/>
      <c r="E319" s="12" t="s">
        <v>486</v>
      </c>
      <c r="F319" s="4" t="s">
        <v>15</v>
      </c>
      <c r="G319" s="4" t="s">
        <v>19</v>
      </c>
      <c r="H319" s="4" t="s">
        <v>2</v>
      </c>
      <c r="I319" s="4" t="s">
        <v>2</v>
      </c>
      <c r="J319" s="4"/>
      <c r="L319" s="4"/>
    </row>
    <row r="320" spans="1:12" ht="16" outlineLevel="4" collapsed="1" x14ac:dyDescent="0.2">
      <c r="A320" s="4" t="s">
        <v>21</v>
      </c>
      <c r="B320" s="4" t="s">
        <v>16</v>
      </c>
      <c r="C320" s="4" t="s">
        <v>2</v>
      </c>
      <c r="D320" s="4"/>
      <c r="E320" s="12" t="s">
        <v>487</v>
      </c>
      <c r="F320" s="4" t="s">
        <v>15</v>
      </c>
      <c r="G320" s="4" t="s">
        <v>19</v>
      </c>
      <c r="H320" s="4" t="s">
        <v>2</v>
      </c>
      <c r="I320" s="4" t="s">
        <v>2</v>
      </c>
      <c r="J320" s="4"/>
      <c r="L320" s="4"/>
    </row>
    <row r="321" spans="1:12" ht="32" outlineLevel="3" x14ac:dyDescent="0.2">
      <c r="A321" s="5" t="s">
        <v>15</v>
      </c>
      <c r="B321" t="s">
        <v>1178</v>
      </c>
      <c r="C321" s="11" t="s">
        <v>2309</v>
      </c>
      <c r="D321" s="5"/>
      <c r="E321" s="50" t="s">
        <v>2309</v>
      </c>
      <c r="F321" s="5" t="s">
        <v>15</v>
      </c>
      <c r="G321" s="5" t="s">
        <v>2</v>
      </c>
      <c r="H321" s="5" t="s">
        <v>2</v>
      </c>
      <c r="I321" s="5" t="s">
        <v>2</v>
      </c>
      <c r="J321" s="5"/>
      <c r="L321" s="5"/>
    </row>
    <row r="322" spans="1:12" ht="32" outlineLevel="4" collapsed="1" x14ac:dyDescent="0.2">
      <c r="A322" s="4" t="s">
        <v>15</v>
      </c>
      <c r="B322" s="4" t="s">
        <v>25</v>
      </c>
      <c r="C322" s="4" t="s">
        <v>2</v>
      </c>
      <c r="D322" s="4"/>
      <c r="E322" s="12" t="s">
        <v>1704</v>
      </c>
      <c r="F322" s="4" t="s">
        <v>15</v>
      </c>
      <c r="G322" s="4" t="s">
        <v>2</v>
      </c>
      <c r="H322" s="4" t="s">
        <v>2</v>
      </c>
      <c r="I322" s="4" t="s">
        <v>2</v>
      </c>
      <c r="J322" s="4"/>
      <c r="L322" s="4"/>
    </row>
    <row r="323" spans="1:12" ht="16" outlineLevel="4" collapsed="1" x14ac:dyDescent="0.2">
      <c r="A323" s="4" t="s">
        <v>15</v>
      </c>
      <c r="B323" s="4" t="s">
        <v>25</v>
      </c>
      <c r="C323" s="4" t="s">
        <v>2</v>
      </c>
      <c r="D323" s="4"/>
      <c r="E323" s="12" t="s">
        <v>1705</v>
      </c>
      <c r="F323" s="4" t="s">
        <v>15</v>
      </c>
      <c r="G323" s="4" t="s">
        <v>2</v>
      </c>
      <c r="H323" s="4" t="s">
        <v>2</v>
      </c>
      <c r="I323" s="4" t="s">
        <v>2</v>
      </c>
      <c r="J323" s="4"/>
      <c r="L323" s="4"/>
    </row>
    <row r="324" spans="1:12" ht="16" outlineLevel="4" collapsed="1" x14ac:dyDescent="0.2">
      <c r="A324" s="4" t="s">
        <v>21</v>
      </c>
      <c r="B324" s="4" t="s">
        <v>16</v>
      </c>
      <c r="C324" s="4" t="s">
        <v>2</v>
      </c>
      <c r="D324" s="4"/>
      <c r="E324" s="12" t="s">
        <v>482</v>
      </c>
      <c r="F324" s="4" t="s">
        <v>15</v>
      </c>
      <c r="G324" s="4" t="s">
        <v>19</v>
      </c>
      <c r="H324" s="4" t="s">
        <v>2</v>
      </c>
      <c r="I324" s="4" t="s">
        <v>2</v>
      </c>
      <c r="J324" s="4"/>
      <c r="L324" s="4"/>
    </row>
    <row r="325" spans="1:12" ht="16" outlineLevel="4" collapsed="1" x14ac:dyDescent="0.2">
      <c r="A325" s="4" t="s">
        <v>21</v>
      </c>
      <c r="B325" s="4" t="s">
        <v>16</v>
      </c>
      <c r="C325" s="4" t="s">
        <v>2</v>
      </c>
      <c r="D325" s="4"/>
      <c r="E325" s="12" t="s">
        <v>483</v>
      </c>
      <c r="F325" s="4" t="s">
        <v>15</v>
      </c>
      <c r="G325" s="4" t="s">
        <v>19</v>
      </c>
      <c r="H325" s="4" t="s">
        <v>2</v>
      </c>
      <c r="I325" s="4" t="s">
        <v>2</v>
      </c>
      <c r="J325" s="4"/>
      <c r="L325" s="4"/>
    </row>
    <row r="326" spans="1:12" ht="16" outlineLevel="4" collapsed="1" x14ac:dyDescent="0.2">
      <c r="A326" s="4" t="s">
        <v>21</v>
      </c>
      <c r="B326" s="4" t="s">
        <v>16</v>
      </c>
      <c r="C326" s="4" t="s">
        <v>2</v>
      </c>
      <c r="D326" s="4"/>
      <c r="E326" s="12" t="s">
        <v>497</v>
      </c>
      <c r="F326" s="4" t="s">
        <v>15</v>
      </c>
      <c r="G326" s="4" t="s">
        <v>19</v>
      </c>
      <c r="H326" s="4" t="s">
        <v>2</v>
      </c>
      <c r="I326" s="4" t="s">
        <v>2</v>
      </c>
      <c r="J326" s="4"/>
      <c r="L326" s="4"/>
    </row>
    <row r="327" spans="1:12" ht="16" outlineLevel="4" collapsed="1" x14ac:dyDescent="0.2">
      <c r="A327" s="4" t="s">
        <v>21</v>
      </c>
      <c r="B327" s="4" t="s">
        <v>16</v>
      </c>
      <c r="C327" s="4" t="s">
        <v>2</v>
      </c>
      <c r="D327" s="4"/>
      <c r="E327" s="12" t="s">
        <v>498</v>
      </c>
      <c r="F327" s="4" t="s">
        <v>15</v>
      </c>
      <c r="G327" s="4" t="s">
        <v>19</v>
      </c>
      <c r="H327" s="4" t="s">
        <v>2</v>
      </c>
      <c r="I327" s="4" t="s">
        <v>2</v>
      </c>
      <c r="J327" s="4"/>
      <c r="L327" s="4"/>
    </row>
    <row r="328" spans="1:12" ht="32" outlineLevel="4" x14ac:dyDescent="0.2">
      <c r="A328" s="5" t="s">
        <v>21</v>
      </c>
      <c r="B328" t="s">
        <v>1178</v>
      </c>
      <c r="C328" s="11" t="s">
        <v>2310</v>
      </c>
      <c r="D328" s="5"/>
      <c r="E328" s="11" t="s">
        <v>2310</v>
      </c>
      <c r="F328" s="5" t="s">
        <v>21</v>
      </c>
      <c r="G328" s="5"/>
      <c r="H328" s="5" t="s">
        <v>2</v>
      </c>
      <c r="I328" s="5" t="s">
        <v>2</v>
      </c>
      <c r="J328" s="5"/>
      <c r="L328" s="5"/>
    </row>
    <row r="329" spans="1:12" ht="16" outlineLevel="5" collapsed="1" x14ac:dyDescent="0.2">
      <c r="A329" s="4" t="s">
        <v>21</v>
      </c>
      <c r="B329" s="4" t="s">
        <v>138</v>
      </c>
      <c r="C329" s="4" t="s">
        <v>2</v>
      </c>
      <c r="D329" s="4"/>
      <c r="E329" s="12" t="s">
        <v>1657</v>
      </c>
      <c r="F329" s="4" t="s">
        <v>15</v>
      </c>
      <c r="G329" s="4">
        <v>1</v>
      </c>
      <c r="H329" s="4" t="s">
        <v>2</v>
      </c>
      <c r="I329" s="4" t="s">
        <v>2</v>
      </c>
      <c r="J329" s="4"/>
      <c r="L329" s="4"/>
    </row>
    <row r="330" spans="1:12" ht="16" outlineLevel="5" x14ac:dyDescent="0.2">
      <c r="A330" s="4"/>
      <c r="B330" s="4" t="s">
        <v>16</v>
      </c>
      <c r="C330" s="4"/>
      <c r="D330" s="4"/>
      <c r="E330" s="12" t="s">
        <v>1305</v>
      </c>
      <c r="F330" s="4"/>
      <c r="G330" s="4"/>
      <c r="H330" s="4"/>
      <c r="I330" s="4"/>
      <c r="J330" s="4"/>
      <c r="L330" s="4"/>
    </row>
    <row r="331" spans="1:12" ht="16" outlineLevel="5" collapsed="1" x14ac:dyDescent="0.2">
      <c r="A331" s="4" t="s">
        <v>21</v>
      </c>
      <c r="B331" s="4" t="s">
        <v>138</v>
      </c>
      <c r="C331" s="4" t="s">
        <v>2</v>
      </c>
      <c r="D331" s="4"/>
      <c r="E331" s="11" t="s">
        <v>1707</v>
      </c>
      <c r="F331" s="4" t="s">
        <v>15</v>
      </c>
      <c r="G331" s="4">
        <v>1</v>
      </c>
      <c r="H331" s="4" t="s">
        <v>2</v>
      </c>
      <c r="I331" s="4" t="s">
        <v>2</v>
      </c>
      <c r="J331" s="4"/>
      <c r="L331" s="4"/>
    </row>
    <row r="332" spans="1:12" ht="16" outlineLevel="4" x14ac:dyDescent="0.2">
      <c r="A332" s="4" t="s">
        <v>21</v>
      </c>
      <c r="B332" s="4" t="s">
        <v>16</v>
      </c>
      <c r="C332" s="4" t="s">
        <v>2</v>
      </c>
      <c r="D332" s="4"/>
      <c r="E332" s="11" t="s">
        <v>499</v>
      </c>
      <c r="F332" s="4" t="s">
        <v>15</v>
      </c>
      <c r="G332" s="4" t="s">
        <v>19</v>
      </c>
      <c r="H332" s="4" t="s">
        <v>2</v>
      </c>
      <c r="I332" s="4" t="s">
        <v>2</v>
      </c>
      <c r="J332" s="4"/>
      <c r="L332" s="4"/>
    </row>
    <row r="333" spans="1:12" ht="16" outlineLevel="4" collapsed="1" x14ac:dyDescent="0.2">
      <c r="A333" s="4" t="s">
        <v>21</v>
      </c>
      <c r="B333" s="4" t="s">
        <v>16</v>
      </c>
      <c r="C333" s="4" t="s">
        <v>2</v>
      </c>
      <c r="D333" s="4"/>
      <c r="E333" s="12" t="s">
        <v>500</v>
      </c>
      <c r="F333" s="4" t="s">
        <v>15</v>
      </c>
      <c r="G333" s="4" t="s">
        <v>19</v>
      </c>
      <c r="H333" s="4" t="s">
        <v>2</v>
      </c>
      <c r="I333" s="4" t="s">
        <v>2</v>
      </c>
      <c r="J333" s="4"/>
      <c r="L333" s="4"/>
    </row>
    <row r="334" spans="1:12" ht="16" outlineLevel="4" collapsed="1" x14ac:dyDescent="0.2">
      <c r="A334" s="4" t="s">
        <v>21</v>
      </c>
      <c r="B334" s="4" t="s">
        <v>16</v>
      </c>
      <c r="C334" s="4" t="s">
        <v>2</v>
      </c>
      <c r="D334" s="4"/>
      <c r="E334" s="12" t="s">
        <v>486</v>
      </c>
      <c r="F334" s="4" t="s">
        <v>15</v>
      </c>
      <c r="G334" s="4" t="s">
        <v>19</v>
      </c>
      <c r="H334" s="4" t="s">
        <v>2</v>
      </c>
      <c r="I334" s="4" t="s">
        <v>2</v>
      </c>
      <c r="J334" s="4"/>
      <c r="L334" s="4"/>
    </row>
    <row r="335" spans="1:12" ht="16" outlineLevel="4" collapsed="1" x14ac:dyDescent="0.2">
      <c r="A335" s="4" t="s">
        <v>21</v>
      </c>
      <c r="B335" s="4" t="s">
        <v>16</v>
      </c>
      <c r="C335" s="4" t="s">
        <v>2</v>
      </c>
      <c r="D335" s="4"/>
      <c r="E335" s="12" t="s">
        <v>501</v>
      </c>
      <c r="F335" s="4" t="s">
        <v>15</v>
      </c>
      <c r="G335" s="4" t="s">
        <v>19</v>
      </c>
      <c r="H335" s="4" t="s">
        <v>2</v>
      </c>
      <c r="I335" s="4" t="s">
        <v>2</v>
      </c>
      <c r="J335" s="4"/>
      <c r="L335" s="4"/>
    </row>
    <row r="336" spans="1:12" ht="16" outlineLevel="4" collapsed="1" x14ac:dyDescent="0.2">
      <c r="A336" s="4" t="s">
        <v>21</v>
      </c>
      <c r="B336" s="4" t="s">
        <v>16</v>
      </c>
      <c r="C336" s="4" t="s">
        <v>2</v>
      </c>
      <c r="D336" s="4"/>
      <c r="E336" s="12" t="s">
        <v>487</v>
      </c>
      <c r="F336" s="4" t="s">
        <v>15</v>
      </c>
      <c r="G336" s="4" t="s">
        <v>19</v>
      </c>
      <c r="H336" s="4" t="s">
        <v>2</v>
      </c>
      <c r="I336" s="4" t="s">
        <v>2</v>
      </c>
      <c r="J336" s="4"/>
      <c r="L336" s="4"/>
    </row>
    <row r="337" spans="1:12" ht="32" outlineLevel="3" x14ac:dyDescent="0.2">
      <c r="A337" s="5" t="s">
        <v>15</v>
      </c>
      <c r="B337" t="s">
        <v>1178</v>
      </c>
      <c r="C337" s="11" t="s">
        <v>2311</v>
      </c>
      <c r="D337" s="5"/>
      <c r="E337" s="11" t="s">
        <v>2311</v>
      </c>
      <c r="F337" s="5" t="s">
        <v>15</v>
      </c>
      <c r="G337" s="5" t="s">
        <v>2</v>
      </c>
      <c r="H337" s="5" t="s">
        <v>2</v>
      </c>
      <c r="I337" s="5" t="s">
        <v>2</v>
      </c>
      <c r="J337" s="5"/>
      <c r="L337" s="5"/>
    </row>
    <row r="338" spans="1:12" ht="32" outlineLevel="4" collapsed="1" x14ac:dyDescent="0.2">
      <c r="A338" s="4" t="s">
        <v>15</v>
      </c>
      <c r="B338" s="4" t="s">
        <v>25</v>
      </c>
      <c r="C338" s="12"/>
      <c r="D338" s="4"/>
      <c r="E338" s="12" t="s">
        <v>1708</v>
      </c>
      <c r="F338" s="4" t="s">
        <v>15</v>
      </c>
      <c r="G338" s="4" t="s">
        <v>2</v>
      </c>
      <c r="H338" s="4" t="s">
        <v>2</v>
      </c>
      <c r="I338" s="4" t="s">
        <v>2</v>
      </c>
      <c r="J338" s="4"/>
      <c r="L338" s="4"/>
    </row>
    <row r="339" spans="1:12" ht="16" outlineLevel="4" collapsed="1" x14ac:dyDescent="0.2">
      <c r="A339" s="4" t="s">
        <v>15</v>
      </c>
      <c r="B339" s="4" t="s">
        <v>25</v>
      </c>
      <c r="C339" s="12" t="s">
        <v>504</v>
      </c>
      <c r="D339" s="4"/>
      <c r="E339" s="12" t="s">
        <v>1688</v>
      </c>
      <c r="F339" s="4" t="s">
        <v>15</v>
      </c>
      <c r="G339" s="4" t="s">
        <v>2</v>
      </c>
      <c r="H339" s="4" t="s">
        <v>2</v>
      </c>
      <c r="I339" s="4" t="s">
        <v>2</v>
      </c>
      <c r="J339" s="4"/>
      <c r="L339" s="4"/>
    </row>
    <row r="340" spans="1:12" ht="16" outlineLevel="4" collapsed="1" x14ac:dyDescent="0.2">
      <c r="A340" s="4" t="s">
        <v>21</v>
      </c>
      <c r="B340" s="4" t="s">
        <v>16</v>
      </c>
      <c r="C340" s="12" t="s">
        <v>482</v>
      </c>
      <c r="D340" s="4"/>
      <c r="E340" s="12" t="s">
        <v>482</v>
      </c>
      <c r="F340" s="4" t="s">
        <v>15</v>
      </c>
      <c r="G340" s="4" t="s">
        <v>19</v>
      </c>
      <c r="H340" s="4" t="s">
        <v>2</v>
      </c>
      <c r="I340" s="4" t="s">
        <v>2</v>
      </c>
      <c r="J340" s="4"/>
      <c r="L340" s="4"/>
    </row>
    <row r="341" spans="1:12" ht="16" outlineLevel="4" collapsed="1" x14ac:dyDescent="0.2">
      <c r="A341" s="4" t="s">
        <v>21</v>
      </c>
      <c r="B341" s="4" t="s">
        <v>16</v>
      </c>
      <c r="C341" s="12" t="s">
        <v>483</v>
      </c>
      <c r="D341" s="4"/>
      <c r="E341" s="12" t="s">
        <v>483</v>
      </c>
      <c r="F341" s="4" t="s">
        <v>15</v>
      </c>
      <c r="G341" s="4" t="s">
        <v>19</v>
      </c>
      <c r="H341" s="4" t="s">
        <v>2</v>
      </c>
      <c r="I341" s="4" t="s">
        <v>2</v>
      </c>
      <c r="J341" s="4"/>
      <c r="L341" s="4"/>
    </row>
    <row r="342" spans="1:12" ht="64" outlineLevel="4" collapsed="1" x14ac:dyDescent="0.2">
      <c r="A342" s="4" t="s">
        <v>21</v>
      </c>
      <c r="B342" s="4" t="s">
        <v>16</v>
      </c>
      <c r="C342" s="12" t="s">
        <v>497</v>
      </c>
      <c r="D342" s="4"/>
      <c r="E342" s="12" t="s">
        <v>497</v>
      </c>
      <c r="F342" s="4" t="s">
        <v>15</v>
      </c>
      <c r="G342" s="4" t="s">
        <v>19</v>
      </c>
      <c r="H342" s="4" t="s">
        <v>2</v>
      </c>
      <c r="I342" s="4" t="s">
        <v>2</v>
      </c>
      <c r="J342" s="4"/>
      <c r="L342" s="4"/>
    </row>
    <row r="343" spans="1:12" ht="32" outlineLevel="4" collapsed="1" x14ac:dyDescent="0.2">
      <c r="A343" s="4" t="s">
        <v>21</v>
      </c>
      <c r="B343" s="4" t="s">
        <v>16</v>
      </c>
      <c r="C343" s="12" t="s">
        <v>498</v>
      </c>
      <c r="D343" s="4"/>
      <c r="E343" s="12" t="s">
        <v>498</v>
      </c>
      <c r="F343" s="4" t="s">
        <v>15</v>
      </c>
      <c r="G343" s="4" t="s">
        <v>19</v>
      </c>
      <c r="H343" s="4" t="s">
        <v>2</v>
      </c>
      <c r="I343" s="4" t="s">
        <v>2</v>
      </c>
      <c r="J343" s="4"/>
      <c r="L343" s="4"/>
    </row>
    <row r="344" spans="1:12" ht="32" outlineLevel="4" x14ac:dyDescent="0.2">
      <c r="A344" s="5" t="s">
        <v>21</v>
      </c>
      <c r="B344" t="s">
        <v>1178</v>
      </c>
      <c r="C344" s="11" t="s">
        <v>2312</v>
      </c>
      <c r="D344" s="5"/>
      <c r="E344" s="11" t="s">
        <v>2312</v>
      </c>
      <c r="F344" s="5" t="s">
        <v>21</v>
      </c>
      <c r="G344" s="5" t="s">
        <v>2</v>
      </c>
      <c r="H344" s="5" t="s">
        <v>2</v>
      </c>
      <c r="I344" s="5" t="s">
        <v>2</v>
      </c>
      <c r="J344" s="5"/>
      <c r="L344" s="5"/>
    </row>
    <row r="345" spans="1:12" ht="16" outlineLevel="5" collapsed="1" x14ac:dyDescent="0.2">
      <c r="A345" s="4" t="s">
        <v>21</v>
      </c>
      <c r="B345" s="4" t="s">
        <v>138</v>
      </c>
      <c r="C345" s="12"/>
      <c r="D345" s="4"/>
      <c r="E345" s="12" t="s">
        <v>1657</v>
      </c>
      <c r="F345" s="4" t="s">
        <v>15</v>
      </c>
      <c r="G345" s="4">
        <v>1</v>
      </c>
      <c r="H345" s="4" t="s">
        <v>2</v>
      </c>
      <c r="I345" s="4" t="s">
        <v>2</v>
      </c>
      <c r="J345" s="4"/>
      <c r="L345" s="4"/>
    </row>
    <row r="346" spans="1:12" ht="16" outlineLevel="5" collapsed="1" x14ac:dyDescent="0.2">
      <c r="A346" s="4" t="s">
        <v>21</v>
      </c>
      <c r="B346" s="4" t="s">
        <v>16</v>
      </c>
      <c r="C346" s="12"/>
      <c r="D346" s="4"/>
      <c r="E346" s="12" t="s">
        <v>1710</v>
      </c>
      <c r="F346" s="4" t="s">
        <v>15</v>
      </c>
      <c r="G346" s="4" t="s">
        <v>19</v>
      </c>
      <c r="H346" s="4" t="s">
        <v>2</v>
      </c>
      <c r="I346" s="4" t="s">
        <v>2</v>
      </c>
      <c r="J346" s="4"/>
      <c r="L346" s="4"/>
    </row>
    <row r="347" spans="1:12" ht="16" outlineLevel="4" x14ac:dyDescent="0.2">
      <c r="A347" s="4" t="s">
        <v>21</v>
      </c>
      <c r="B347" s="4" t="s">
        <v>16</v>
      </c>
      <c r="C347" s="12"/>
      <c r="D347" s="4"/>
      <c r="E347" s="12" t="s">
        <v>499</v>
      </c>
      <c r="F347" s="4" t="s">
        <v>15</v>
      </c>
      <c r="G347" s="4" t="s">
        <v>19</v>
      </c>
      <c r="H347" s="4" t="s">
        <v>2</v>
      </c>
      <c r="I347" s="4" t="s">
        <v>2</v>
      </c>
      <c r="J347" s="4"/>
      <c r="L347" s="4"/>
    </row>
    <row r="348" spans="1:12" ht="16" outlineLevel="4" collapsed="1" x14ac:dyDescent="0.2">
      <c r="A348" s="4" t="s">
        <v>21</v>
      </c>
      <c r="B348" s="4" t="s">
        <v>16</v>
      </c>
      <c r="C348" s="12"/>
      <c r="D348" s="4"/>
      <c r="E348" s="12" t="s">
        <v>500</v>
      </c>
      <c r="F348" s="4" t="s">
        <v>15</v>
      </c>
      <c r="G348" s="4" t="s">
        <v>19</v>
      </c>
      <c r="H348" s="4" t="s">
        <v>2</v>
      </c>
      <c r="I348" s="4" t="s">
        <v>2</v>
      </c>
      <c r="J348" s="4"/>
      <c r="L348" s="4"/>
    </row>
    <row r="349" spans="1:12" ht="16" outlineLevel="4" collapsed="1" x14ac:dyDescent="0.2">
      <c r="A349" s="4" t="s">
        <v>21</v>
      </c>
      <c r="B349" s="4" t="s">
        <v>16</v>
      </c>
      <c r="C349" s="12"/>
      <c r="D349" s="4"/>
      <c r="E349" s="12" t="s">
        <v>486</v>
      </c>
      <c r="F349" s="4" t="s">
        <v>15</v>
      </c>
      <c r="G349" s="4" t="s">
        <v>19</v>
      </c>
      <c r="H349" s="4" t="s">
        <v>2</v>
      </c>
      <c r="I349" s="4" t="s">
        <v>2</v>
      </c>
      <c r="J349" s="4"/>
      <c r="L349" s="4"/>
    </row>
    <row r="350" spans="1:12" ht="16" outlineLevel="4" collapsed="1" x14ac:dyDescent="0.2">
      <c r="A350" s="4" t="s">
        <v>21</v>
      </c>
      <c r="B350" s="4" t="s">
        <v>16</v>
      </c>
      <c r="C350" s="12"/>
      <c r="D350" s="4"/>
      <c r="E350" s="12" t="s">
        <v>501</v>
      </c>
      <c r="F350" s="4" t="s">
        <v>15</v>
      </c>
      <c r="G350" s="4" t="s">
        <v>19</v>
      </c>
      <c r="H350" s="4" t="s">
        <v>2</v>
      </c>
      <c r="I350" s="4" t="s">
        <v>2</v>
      </c>
      <c r="J350" s="4"/>
      <c r="L350" s="4"/>
    </row>
    <row r="351" spans="1:12" ht="16" outlineLevel="4" collapsed="1" x14ac:dyDescent="0.2">
      <c r="A351" s="4" t="s">
        <v>21</v>
      </c>
      <c r="B351" s="4" t="s">
        <v>16</v>
      </c>
      <c r="C351" s="12"/>
      <c r="D351" s="4"/>
      <c r="E351" s="12" t="s">
        <v>487</v>
      </c>
      <c r="F351" s="4" t="s">
        <v>15</v>
      </c>
      <c r="G351" s="4" t="s">
        <v>19</v>
      </c>
      <c r="H351" s="4" t="s">
        <v>2</v>
      </c>
      <c r="I351" s="4" t="s">
        <v>2</v>
      </c>
      <c r="J351" s="4"/>
      <c r="L351" s="4"/>
    </row>
    <row r="352" spans="1:12" ht="32" outlineLevel="3" x14ac:dyDescent="0.2">
      <c r="A352" s="5" t="s">
        <v>15</v>
      </c>
      <c r="B352" t="s">
        <v>1178</v>
      </c>
      <c r="C352" s="11" t="s">
        <v>2313</v>
      </c>
      <c r="D352" s="5"/>
      <c r="E352" s="11" t="s">
        <v>2313</v>
      </c>
      <c r="F352" s="5" t="s">
        <v>15</v>
      </c>
      <c r="G352" s="5" t="s">
        <v>2</v>
      </c>
      <c r="H352" s="5" t="s">
        <v>2</v>
      </c>
      <c r="I352" s="5" t="s">
        <v>2</v>
      </c>
      <c r="J352" s="5"/>
      <c r="L352" s="5"/>
    </row>
    <row r="353" spans="1:12" ht="128" outlineLevel="4" collapsed="1" x14ac:dyDescent="0.2">
      <c r="A353" s="4" t="s">
        <v>15</v>
      </c>
      <c r="B353" s="4" t="s">
        <v>25</v>
      </c>
      <c r="C353" s="12" t="s">
        <v>1711</v>
      </c>
      <c r="D353" s="4"/>
      <c r="E353" s="12" t="s">
        <v>1711</v>
      </c>
      <c r="F353" s="4" t="s">
        <v>15</v>
      </c>
      <c r="G353" s="4" t="s">
        <v>2</v>
      </c>
      <c r="H353" s="4" t="s">
        <v>2</v>
      </c>
      <c r="I353" s="4" t="s">
        <v>2</v>
      </c>
      <c r="J353" s="4"/>
      <c r="L353" s="4"/>
    </row>
    <row r="354" spans="1:12" ht="16" outlineLevel="4" collapsed="1" x14ac:dyDescent="0.2">
      <c r="A354" s="4" t="s">
        <v>15</v>
      </c>
      <c r="B354" s="4" t="s">
        <v>25</v>
      </c>
      <c r="C354" s="12"/>
      <c r="D354" s="4"/>
      <c r="E354" s="12" t="s">
        <v>1688</v>
      </c>
      <c r="F354" s="4" t="s">
        <v>15</v>
      </c>
      <c r="G354" s="4" t="s">
        <v>2</v>
      </c>
      <c r="H354" s="4" t="s">
        <v>2</v>
      </c>
      <c r="I354" s="4" t="s">
        <v>2</v>
      </c>
      <c r="J354" s="4"/>
      <c r="L354" s="4"/>
    </row>
    <row r="355" spans="1:12" ht="16" outlineLevel="4" collapsed="1" x14ac:dyDescent="0.2">
      <c r="A355" s="4" t="s">
        <v>21</v>
      </c>
      <c r="B355" s="4" t="s">
        <v>16</v>
      </c>
      <c r="C355" s="12"/>
      <c r="D355" s="4"/>
      <c r="E355" s="12" t="s">
        <v>482</v>
      </c>
      <c r="F355" s="4" t="s">
        <v>15</v>
      </c>
      <c r="G355" s="4" t="s">
        <v>19</v>
      </c>
      <c r="H355" s="4" t="s">
        <v>2</v>
      </c>
      <c r="I355" s="4" t="s">
        <v>2</v>
      </c>
      <c r="J355" s="4"/>
      <c r="L355" s="4"/>
    </row>
    <row r="356" spans="1:12" ht="16" outlineLevel="4" collapsed="1" x14ac:dyDescent="0.2">
      <c r="A356" s="4" t="s">
        <v>21</v>
      </c>
      <c r="B356" s="4" t="s">
        <v>16</v>
      </c>
      <c r="C356" s="12"/>
      <c r="D356" s="4"/>
      <c r="E356" s="12" t="s">
        <v>483</v>
      </c>
      <c r="F356" s="4" t="s">
        <v>15</v>
      </c>
      <c r="G356" s="4" t="s">
        <v>19</v>
      </c>
      <c r="H356" s="4" t="s">
        <v>2</v>
      </c>
      <c r="I356" s="4" t="s">
        <v>2</v>
      </c>
      <c r="J356" s="4"/>
      <c r="L356" s="4"/>
    </row>
    <row r="357" spans="1:12" ht="16" outlineLevel="4" collapsed="1" x14ac:dyDescent="0.2">
      <c r="A357" s="4" t="s">
        <v>21</v>
      </c>
      <c r="B357" s="4" t="s">
        <v>16</v>
      </c>
      <c r="C357" s="12"/>
      <c r="D357" s="4"/>
      <c r="E357" s="12" t="s">
        <v>497</v>
      </c>
      <c r="F357" s="4" t="s">
        <v>15</v>
      </c>
      <c r="G357" s="4" t="s">
        <v>19</v>
      </c>
      <c r="H357" s="4" t="s">
        <v>2</v>
      </c>
      <c r="I357" s="4" t="s">
        <v>2</v>
      </c>
      <c r="J357" s="4"/>
      <c r="L357" s="4"/>
    </row>
    <row r="358" spans="1:12" ht="16" outlineLevel="4" collapsed="1" x14ac:dyDescent="0.2">
      <c r="A358" s="4" t="s">
        <v>21</v>
      </c>
      <c r="B358" s="4" t="s">
        <v>16</v>
      </c>
      <c r="C358" s="12"/>
      <c r="D358" s="4"/>
      <c r="E358" s="12" t="s">
        <v>498</v>
      </c>
      <c r="F358" s="4" t="s">
        <v>15</v>
      </c>
      <c r="G358" s="4" t="s">
        <v>19</v>
      </c>
      <c r="H358" s="4" t="s">
        <v>2</v>
      </c>
      <c r="I358" s="4" t="s">
        <v>2</v>
      </c>
      <c r="J358" s="4"/>
      <c r="L358" s="4"/>
    </row>
    <row r="359" spans="1:12" ht="32" outlineLevel="4" x14ac:dyDescent="0.2">
      <c r="A359" s="5" t="s">
        <v>21</v>
      </c>
      <c r="B359" t="s">
        <v>1178</v>
      </c>
      <c r="C359" s="11" t="s">
        <v>2314</v>
      </c>
      <c r="D359" s="5"/>
      <c r="E359" s="11" t="s">
        <v>2314</v>
      </c>
      <c r="F359" s="5" t="s">
        <v>21</v>
      </c>
      <c r="G359" s="5" t="s">
        <v>2</v>
      </c>
      <c r="H359" s="5" t="s">
        <v>2</v>
      </c>
      <c r="I359" s="5" t="s">
        <v>2</v>
      </c>
      <c r="J359" s="5"/>
      <c r="L359" s="5"/>
    </row>
    <row r="360" spans="1:12" ht="16" outlineLevel="5" collapsed="1" x14ac:dyDescent="0.2">
      <c r="A360" s="4" t="s">
        <v>21</v>
      </c>
      <c r="B360" s="4" t="s">
        <v>138</v>
      </c>
      <c r="C360" s="12"/>
      <c r="D360" s="4"/>
      <c r="E360" s="12" t="s">
        <v>1657</v>
      </c>
      <c r="F360" s="4" t="s">
        <v>15</v>
      </c>
      <c r="G360" s="4">
        <v>1</v>
      </c>
      <c r="H360" s="4" t="s">
        <v>2</v>
      </c>
      <c r="I360" s="4" t="s">
        <v>2</v>
      </c>
      <c r="J360" s="4"/>
      <c r="L360" s="4"/>
    </row>
    <row r="361" spans="1:12" ht="16" outlineLevel="5" collapsed="1" x14ac:dyDescent="0.2">
      <c r="A361" s="4" t="s">
        <v>21</v>
      </c>
      <c r="B361" s="4" t="s">
        <v>16</v>
      </c>
      <c r="C361" s="12"/>
      <c r="D361" s="4"/>
      <c r="E361" s="12" t="s">
        <v>1713</v>
      </c>
      <c r="F361" s="4" t="s">
        <v>15</v>
      </c>
      <c r="G361" s="4" t="s">
        <v>19</v>
      </c>
      <c r="H361" s="4" t="s">
        <v>2</v>
      </c>
      <c r="I361" s="4" t="s">
        <v>2</v>
      </c>
      <c r="J361" s="4"/>
      <c r="L361" s="4"/>
    </row>
    <row r="362" spans="1:12" ht="16" outlineLevel="4" x14ac:dyDescent="0.2">
      <c r="A362" s="4" t="s">
        <v>21</v>
      </c>
      <c r="B362" s="4" t="s">
        <v>16</v>
      </c>
      <c r="C362" s="12"/>
      <c r="D362" s="4"/>
      <c r="E362" s="12" t="s">
        <v>499</v>
      </c>
      <c r="F362" s="4" t="s">
        <v>15</v>
      </c>
      <c r="G362" s="4" t="s">
        <v>19</v>
      </c>
      <c r="H362" s="4" t="s">
        <v>2</v>
      </c>
      <c r="I362" s="4" t="s">
        <v>2</v>
      </c>
      <c r="J362" s="4"/>
      <c r="L362" s="4"/>
    </row>
    <row r="363" spans="1:12" ht="16" outlineLevel="4" collapsed="1" x14ac:dyDescent="0.2">
      <c r="A363" s="4" t="s">
        <v>21</v>
      </c>
      <c r="B363" s="4" t="s">
        <v>16</v>
      </c>
      <c r="C363" s="12"/>
      <c r="D363" s="4"/>
      <c r="E363" s="12" t="s">
        <v>500</v>
      </c>
      <c r="F363" s="4" t="s">
        <v>15</v>
      </c>
      <c r="G363" s="4" t="s">
        <v>19</v>
      </c>
      <c r="H363" s="4" t="s">
        <v>2</v>
      </c>
      <c r="I363" s="4" t="s">
        <v>2</v>
      </c>
      <c r="J363" s="4"/>
      <c r="L363" s="4"/>
    </row>
    <row r="364" spans="1:12" ht="16" outlineLevel="4" collapsed="1" x14ac:dyDescent="0.2">
      <c r="A364" s="4" t="s">
        <v>21</v>
      </c>
      <c r="B364" s="4" t="s">
        <v>16</v>
      </c>
      <c r="C364" s="12"/>
      <c r="D364" s="4"/>
      <c r="E364" s="12" t="s">
        <v>486</v>
      </c>
      <c r="F364" s="4" t="s">
        <v>15</v>
      </c>
      <c r="G364" s="4" t="s">
        <v>19</v>
      </c>
      <c r="H364" s="4" t="s">
        <v>2</v>
      </c>
      <c r="I364" s="4" t="s">
        <v>2</v>
      </c>
      <c r="J364" s="4"/>
      <c r="L364" s="4"/>
    </row>
    <row r="365" spans="1:12" ht="16" outlineLevel="4" collapsed="1" x14ac:dyDescent="0.2">
      <c r="A365" s="4" t="s">
        <v>21</v>
      </c>
      <c r="B365" s="4" t="s">
        <v>16</v>
      </c>
      <c r="C365" s="12"/>
      <c r="D365" s="4"/>
      <c r="E365" s="12" t="s">
        <v>501</v>
      </c>
      <c r="F365" s="4" t="s">
        <v>15</v>
      </c>
      <c r="G365" s="4" t="s">
        <v>19</v>
      </c>
      <c r="H365" s="4" t="s">
        <v>2</v>
      </c>
      <c r="I365" s="4" t="s">
        <v>2</v>
      </c>
      <c r="J365" s="4"/>
      <c r="L365" s="4"/>
    </row>
    <row r="366" spans="1:12" ht="16" outlineLevel="4" collapsed="1" x14ac:dyDescent="0.2">
      <c r="A366" s="4" t="s">
        <v>21</v>
      </c>
      <c r="B366" s="4" t="s">
        <v>16</v>
      </c>
      <c r="C366" s="12"/>
      <c r="D366" s="4"/>
      <c r="E366" s="12" t="s">
        <v>487</v>
      </c>
      <c r="F366" s="4" t="s">
        <v>15</v>
      </c>
      <c r="G366" s="4" t="s">
        <v>19</v>
      </c>
      <c r="H366" s="4" t="s">
        <v>2</v>
      </c>
      <c r="I366" s="4" t="s">
        <v>2</v>
      </c>
      <c r="J366" s="4"/>
      <c r="L366" s="4"/>
    </row>
    <row r="367" spans="1:12" ht="32" outlineLevel="3" x14ac:dyDescent="0.2">
      <c r="A367" s="5" t="s">
        <v>15</v>
      </c>
      <c r="B367" t="s">
        <v>1178</v>
      </c>
      <c r="C367" s="11" t="s">
        <v>2315</v>
      </c>
      <c r="D367" s="5"/>
      <c r="E367" s="11" t="s">
        <v>2315</v>
      </c>
      <c r="F367" s="5" t="s">
        <v>15</v>
      </c>
      <c r="G367" s="5" t="s">
        <v>2</v>
      </c>
      <c r="H367" s="5" t="s">
        <v>2</v>
      </c>
      <c r="I367" s="5" t="s">
        <v>2</v>
      </c>
      <c r="J367" s="5"/>
      <c r="L367" s="5"/>
    </row>
    <row r="368" spans="1:12" ht="48" outlineLevel="4" collapsed="1" x14ac:dyDescent="0.2">
      <c r="A368" s="4" t="s">
        <v>15</v>
      </c>
      <c r="B368" s="4" t="s">
        <v>25</v>
      </c>
      <c r="C368" s="12"/>
      <c r="D368" s="4"/>
      <c r="E368" s="12" t="s">
        <v>1714</v>
      </c>
      <c r="F368" s="4" t="s">
        <v>15</v>
      </c>
      <c r="G368" s="4" t="s">
        <v>2</v>
      </c>
      <c r="H368" s="4" t="s">
        <v>2</v>
      </c>
      <c r="I368" s="4" t="s">
        <v>2</v>
      </c>
      <c r="J368" s="4"/>
      <c r="L368" s="4"/>
    </row>
    <row r="369" spans="1:12" ht="16" outlineLevel="4" collapsed="1" x14ac:dyDescent="0.2">
      <c r="A369" s="4" t="s">
        <v>15</v>
      </c>
      <c r="B369" s="4" t="s">
        <v>25</v>
      </c>
      <c r="C369" s="12"/>
      <c r="D369" s="4"/>
      <c r="E369" s="12" t="s">
        <v>1688</v>
      </c>
      <c r="F369" s="4" t="s">
        <v>15</v>
      </c>
      <c r="G369" s="4" t="s">
        <v>2</v>
      </c>
      <c r="H369" s="4" t="s">
        <v>2</v>
      </c>
      <c r="I369" s="4" t="s">
        <v>2</v>
      </c>
      <c r="J369" s="4"/>
      <c r="L369" s="4"/>
    </row>
    <row r="370" spans="1:12" ht="16" outlineLevel="4" collapsed="1" x14ac:dyDescent="0.2">
      <c r="A370" s="4" t="s">
        <v>21</v>
      </c>
      <c r="B370" s="4" t="s">
        <v>16</v>
      </c>
      <c r="C370" s="12"/>
      <c r="D370" s="4"/>
      <c r="E370" s="12" t="s">
        <v>482</v>
      </c>
      <c r="F370" s="4" t="s">
        <v>15</v>
      </c>
      <c r="G370" s="4" t="s">
        <v>19</v>
      </c>
      <c r="H370" s="4" t="s">
        <v>2</v>
      </c>
      <c r="I370" s="4" t="s">
        <v>2</v>
      </c>
      <c r="J370" s="4"/>
      <c r="L370" s="4"/>
    </row>
    <row r="371" spans="1:12" ht="16" outlineLevel="4" collapsed="1" x14ac:dyDescent="0.2">
      <c r="A371" s="4" t="s">
        <v>21</v>
      </c>
      <c r="B371" s="4" t="s">
        <v>16</v>
      </c>
      <c r="C371" s="12"/>
      <c r="D371" s="4"/>
      <c r="E371" s="12" t="s">
        <v>483</v>
      </c>
      <c r="F371" s="4" t="s">
        <v>15</v>
      </c>
      <c r="G371" s="4" t="s">
        <v>19</v>
      </c>
      <c r="H371" s="4" t="s">
        <v>2</v>
      </c>
      <c r="I371" s="4" t="s">
        <v>2</v>
      </c>
      <c r="J371" s="4"/>
      <c r="L371" s="4"/>
    </row>
    <row r="372" spans="1:12" ht="16" outlineLevel="4" collapsed="1" x14ac:dyDescent="0.2">
      <c r="A372" s="4" t="s">
        <v>21</v>
      </c>
      <c r="B372" s="4" t="s">
        <v>16</v>
      </c>
      <c r="C372" s="12"/>
      <c r="D372" s="4"/>
      <c r="E372" s="12" t="s">
        <v>497</v>
      </c>
      <c r="F372" s="4" t="s">
        <v>15</v>
      </c>
      <c r="G372" s="4" t="s">
        <v>19</v>
      </c>
      <c r="H372" s="4" t="s">
        <v>2</v>
      </c>
      <c r="I372" s="4" t="s">
        <v>2</v>
      </c>
      <c r="J372" s="4"/>
      <c r="L372" s="4"/>
    </row>
    <row r="373" spans="1:12" ht="16" outlineLevel="4" collapsed="1" x14ac:dyDescent="0.2">
      <c r="A373" s="4" t="s">
        <v>21</v>
      </c>
      <c r="B373" s="4" t="s">
        <v>16</v>
      </c>
      <c r="C373" s="12"/>
      <c r="D373" s="4"/>
      <c r="E373" s="12" t="s">
        <v>498</v>
      </c>
      <c r="F373" s="4" t="s">
        <v>15</v>
      </c>
      <c r="G373" s="4" t="s">
        <v>19</v>
      </c>
      <c r="H373" s="4" t="s">
        <v>2</v>
      </c>
      <c r="I373" s="4" t="s">
        <v>2</v>
      </c>
      <c r="J373" s="4"/>
      <c r="L373" s="4"/>
    </row>
    <row r="374" spans="1:12" ht="32" outlineLevel="4" x14ac:dyDescent="0.2">
      <c r="A374" s="5" t="s">
        <v>21</v>
      </c>
      <c r="B374" t="s">
        <v>1178</v>
      </c>
      <c r="C374" s="11" t="s">
        <v>2316</v>
      </c>
      <c r="D374" s="5"/>
      <c r="E374" s="11" t="s">
        <v>2316</v>
      </c>
      <c r="F374" s="5" t="s">
        <v>21</v>
      </c>
      <c r="G374" s="5" t="s">
        <v>2</v>
      </c>
      <c r="H374" s="5" t="s">
        <v>2</v>
      </c>
      <c r="I374" s="5" t="s">
        <v>2</v>
      </c>
      <c r="J374" s="5"/>
      <c r="L374" s="5"/>
    </row>
    <row r="375" spans="1:12" ht="16" outlineLevel="5" collapsed="1" x14ac:dyDescent="0.2">
      <c r="A375" s="4" t="s">
        <v>21</v>
      </c>
      <c r="B375" s="4" t="s">
        <v>138</v>
      </c>
      <c r="C375" s="12"/>
      <c r="D375" s="4"/>
      <c r="E375" s="12" t="s">
        <v>1657</v>
      </c>
      <c r="F375" s="4" t="s">
        <v>15</v>
      </c>
      <c r="G375" s="4">
        <v>1</v>
      </c>
      <c r="H375" s="4" t="s">
        <v>2</v>
      </c>
      <c r="I375" s="4" t="s">
        <v>2</v>
      </c>
      <c r="J375" s="4"/>
      <c r="L375" s="4"/>
    </row>
    <row r="376" spans="1:12" ht="16" outlineLevel="5" collapsed="1" x14ac:dyDescent="0.2">
      <c r="A376" s="4" t="s">
        <v>21</v>
      </c>
      <c r="B376" s="4" t="s">
        <v>138</v>
      </c>
      <c r="C376" s="12"/>
      <c r="D376" s="4"/>
      <c r="E376" s="12" t="s">
        <v>1716</v>
      </c>
      <c r="F376" s="4" t="s">
        <v>15</v>
      </c>
      <c r="G376" s="4">
        <v>1</v>
      </c>
      <c r="H376" s="4" t="s">
        <v>2</v>
      </c>
      <c r="I376" s="4" t="s">
        <v>2</v>
      </c>
      <c r="J376" s="4"/>
      <c r="L376" s="4"/>
    </row>
    <row r="377" spans="1:12" ht="16" outlineLevel="4" x14ac:dyDescent="0.2">
      <c r="A377" s="4" t="s">
        <v>21</v>
      </c>
      <c r="B377" s="4" t="s">
        <v>16</v>
      </c>
      <c r="C377" s="12"/>
      <c r="D377" s="4"/>
      <c r="E377" s="12" t="s">
        <v>499</v>
      </c>
      <c r="F377" s="4" t="s">
        <v>15</v>
      </c>
      <c r="G377" s="4" t="s">
        <v>19</v>
      </c>
      <c r="H377" s="4" t="s">
        <v>2</v>
      </c>
      <c r="I377" s="4" t="s">
        <v>2</v>
      </c>
      <c r="J377" s="4"/>
      <c r="L377" s="4"/>
    </row>
    <row r="378" spans="1:12" ht="16" outlineLevel="4" collapsed="1" x14ac:dyDescent="0.2">
      <c r="A378" s="4" t="s">
        <v>21</v>
      </c>
      <c r="B378" s="4" t="s">
        <v>16</v>
      </c>
      <c r="C378" s="12"/>
      <c r="D378" s="4"/>
      <c r="E378" s="12" t="s">
        <v>500</v>
      </c>
      <c r="F378" s="4" t="s">
        <v>15</v>
      </c>
      <c r="G378" s="4" t="s">
        <v>19</v>
      </c>
      <c r="H378" s="4" t="s">
        <v>2</v>
      </c>
      <c r="I378" s="4" t="s">
        <v>2</v>
      </c>
      <c r="J378" s="4"/>
      <c r="L378" s="4"/>
    </row>
    <row r="379" spans="1:12" ht="16" outlineLevel="4" collapsed="1" x14ac:dyDescent="0.2">
      <c r="A379" s="4" t="s">
        <v>21</v>
      </c>
      <c r="B379" s="4" t="s">
        <v>16</v>
      </c>
      <c r="C379" s="12"/>
      <c r="D379" s="4"/>
      <c r="E379" s="12" t="s">
        <v>486</v>
      </c>
      <c r="F379" s="4" t="s">
        <v>15</v>
      </c>
      <c r="G379" s="4" t="s">
        <v>19</v>
      </c>
      <c r="H379" s="4" t="s">
        <v>2</v>
      </c>
      <c r="I379" s="4" t="s">
        <v>2</v>
      </c>
      <c r="J379" s="4"/>
      <c r="L379" s="4"/>
    </row>
    <row r="380" spans="1:12" ht="16" outlineLevel="4" collapsed="1" x14ac:dyDescent="0.2">
      <c r="A380" s="4" t="s">
        <v>21</v>
      </c>
      <c r="B380" s="4" t="s">
        <v>16</v>
      </c>
      <c r="C380" s="12"/>
      <c r="D380" s="4"/>
      <c r="E380" s="12" t="s">
        <v>501</v>
      </c>
      <c r="F380" s="4" t="s">
        <v>15</v>
      </c>
      <c r="G380" s="4" t="s">
        <v>19</v>
      </c>
      <c r="H380" s="4" t="s">
        <v>2</v>
      </c>
      <c r="I380" s="4" t="s">
        <v>2</v>
      </c>
      <c r="J380" s="4"/>
      <c r="L380" s="4"/>
    </row>
    <row r="381" spans="1:12" ht="16" outlineLevel="4" collapsed="1" x14ac:dyDescent="0.2">
      <c r="A381" s="4" t="s">
        <v>21</v>
      </c>
      <c r="B381" s="4" t="s">
        <v>16</v>
      </c>
      <c r="C381" s="12"/>
      <c r="D381" s="4"/>
      <c r="E381" s="12" t="s">
        <v>487</v>
      </c>
      <c r="F381" s="4" t="s">
        <v>15</v>
      </c>
      <c r="G381" s="4" t="s">
        <v>19</v>
      </c>
      <c r="H381" s="4" t="s">
        <v>2</v>
      </c>
      <c r="I381" s="4" t="s">
        <v>2</v>
      </c>
      <c r="J381" s="4"/>
      <c r="L381" s="4"/>
    </row>
    <row r="382" spans="1:12" ht="32" outlineLevel="3" x14ac:dyDescent="0.2">
      <c r="A382" s="5" t="s">
        <v>15</v>
      </c>
      <c r="B382" t="s">
        <v>1178</v>
      </c>
      <c r="C382" s="11" t="s">
        <v>2317</v>
      </c>
      <c r="D382" s="5"/>
      <c r="E382" s="50" t="s">
        <v>2317</v>
      </c>
      <c r="F382" s="5" t="s">
        <v>15</v>
      </c>
      <c r="G382" s="5" t="s">
        <v>2</v>
      </c>
      <c r="H382" s="5" t="s">
        <v>2</v>
      </c>
      <c r="I382" s="5" t="s">
        <v>2</v>
      </c>
      <c r="J382" s="5"/>
      <c r="L382" s="5"/>
    </row>
    <row r="383" spans="1:12" ht="32" outlineLevel="4" collapsed="1" x14ac:dyDescent="0.2">
      <c r="A383" s="4" t="s">
        <v>15</v>
      </c>
      <c r="B383" s="4" t="s">
        <v>25</v>
      </c>
      <c r="C383" s="12"/>
      <c r="D383" s="4"/>
      <c r="E383" s="12" t="s">
        <v>1717</v>
      </c>
      <c r="F383" s="4" t="s">
        <v>15</v>
      </c>
      <c r="G383" s="4" t="s">
        <v>2</v>
      </c>
      <c r="H383" s="4" t="s">
        <v>2</v>
      </c>
      <c r="I383" s="4" t="s">
        <v>2</v>
      </c>
      <c r="J383" s="4"/>
      <c r="L383" s="4"/>
    </row>
    <row r="384" spans="1:12" ht="16" outlineLevel="4" collapsed="1" x14ac:dyDescent="0.2">
      <c r="A384" s="4" t="s">
        <v>15</v>
      </c>
      <c r="B384" s="4" t="s">
        <v>25</v>
      </c>
      <c r="C384" s="12"/>
      <c r="D384" s="4"/>
      <c r="E384" s="12" t="s">
        <v>1705</v>
      </c>
      <c r="F384" s="4" t="s">
        <v>15</v>
      </c>
      <c r="G384" s="4" t="s">
        <v>2</v>
      </c>
      <c r="H384" s="4" t="s">
        <v>2</v>
      </c>
      <c r="I384" s="4" t="s">
        <v>2</v>
      </c>
      <c r="J384" s="4"/>
      <c r="L384" s="4"/>
    </row>
    <row r="385" spans="1:12" ht="16" outlineLevel="4" collapsed="1" x14ac:dyDescent="0.2">
      <c r="A385" s="4" t="s">
        <v>21</v>
      </c>
      <c r="B385" s="4" t="s">
        <v>16</v>
      </c>
      <c r="C385" s="12"/>
      <c r="D385" s="4"/>
      <c r="E385" s="12" t="s">
        <v>482</v>
      </c>
      <c r="F385" s="4" t="s">
        <v>15</v>
      </c>
      <c r="G385" s="4" t="s">
        <v>19</v>
      </c>
      <c r="H385" s="4" t="s">
        <v>2</v>
      </c>
      <c r="I385" s="4" t="s">
        <v>2</v>
      </c>
      <c r="J385" s="4"/>
      <c r="L385" s="4"/>
    </row>
    <row r="386" spans="1:12" ht="16" outlineLevel="4" collapsed="1" x14ac:dyDescent="0.2">
      <c r="A386" s="4" t="s">
        <v>21</v>
      </c>
      <c r="B386" s="4" t="s">
        <v>16</v>
      </c>
      <c r="C386" s="12"/>
      <c r="D386" s="4"/>
      <c r="E386" s="12" t="s">
        <v>483</v>
      </c>
      <c r="F386" s="4" t="s">
        <v>15</v>
      </c>
      <c r="G386" s="4" t="s">
        <v>19</v>
      </c>
      <c r="H386" s="4" t="s">
        <v>2</v>
      </c>
      <c r="I386" s="4" t="s">
        <v>2</v>
      </c>
      <c r="J386" s="4"/>
      <c r="L386" s="4"/>
    </row>
    <row r="387" spans="1:12" ht="16" outlineLevel="4" collapsed="1" x14ac:dyDescent="0.2">
      <c r="A387" s="4" t="s">
        <v>21</v>
      </c>
      <c r="B387" s="4" t="s">
        <v>16</v>
      </c>
      <c r="C387" s="12"/>
      <c r="D387" s="4"/>
      <c r="E387" s="12" t="s">
        <v>497</v>
      </c>
      <c r="F387" s="4" t="s">
        <v>15</v>
      </c>
      <c r="G387" s="4" t="s">
        <v>19</v>
      </c>
      <c r="H387" s="4" t="s">
        <v>2</v>
      </c>
      <c r="I387" s="4" t="s">
        <v>2</v>
      </c>
      <c r="J387" s="4"/>
      <c r="L387" s="4"/>
    </row>
    <row r="388" spans="1:12" ht="16" outlineLevel="4" collapsed="1" x14ac:dyDescent="0.2">
      <c r="A388" s="4" t="s">
        <v>21</v>
      </c>
      <c r="B388" s="4" t="s">
        <v>16</v>
      </c>
      <c r="C388" s="12"/>
      <c r="D388" s="4"/>
      <c r="E388" s="12" t="s">
        <v>498</v>
      </c>
      <c r="F388" s="4" t="s">
        <v>15</v>
      </c>
      <c r="G388" s="4" t="s">
        <v>19</v>
      </c>
      <c r="H388" s="4" t="s">
        <v>2</v>
      </c>
      <c r="I388" s="4" t="s">
        <v>2</v>
      </c>
      <c r="J388" s="4"/>
      <c r="L388" s="4"/>
    </row>
    <row r="389" spans="1:12" ht="32" outlineLevel="4" x14ac:dyDescent="0.2">
      <c r="A389" s="5" t="s">
        <v>21</v>
      </c>
      <c r="B389" t="s">
        <v>1178</v>
      </c>
      <c r="C389" s="11" t="s">
        <v>2345</v>
      </c>
      <c r="D389" s="5"/>
      <c r="E389" s="11" t="s">
        <v>2345</v>
      </c>
      <c r="F389" s="5" t="s">
        <v>21</v>
      </c>
      <c r="G389" s="5" t="s">
        <v>2</v>
      </c>
      <c r="H389" s="5" t="s">
        <v>2</v>
      </c>
      <c r="I389" s="5" t="s">
        <v>2</v>
      </c>
      <c r="J389" s="5"/>
      <c r="L389" s="5"/>
    </row>
    <row r="390" spans="1:12" ht="16" outlineLevel="5" collapsed="1" x14ac:dyDescent="0.2">
      <c r="A390" s="4" t="s">
        <v>21</v>
      </c>
      <c r="B390" s="4" t="s">
        <v>16</v>
      </c>
      <c r="C390" s="12"/>
      <c r="D390" s="4"/>
      <c r="E390" s="12" t="s">
        <v>1304</v>
      </c>
      <c r="F390" s="4" t="s">
        <v>15</v>
      </c>
      <c r="G390" s="4">
        <v>1</v>
      </c>
      <c r="H390" s="4" t="s">
        <v>2</v>
      </c>
      <c r="I390" s="4" t="s">
        <v>2</v>
      </c>
      <c r="J390" s="4"/>
      <c r="L390" s="4"/>
    </row>
    <row r="391" spans="1:12" ht="16" outlineLevel="5" x14ac:dyDescent="0.2">
      <c r="A391" s="4"/>
      <c r="B391" s="4" t="s">
        <v>16</v>
      </c>
      <c r="C391" s="12"/>
      <c r="D391" s="4"/>
      <c r="E391" s="12" t="s">
        <v>1692</v>
      </c>
      <c r="F391" s="4"/>
      <c r="G391" s="4"/>
      <c r="H391" s="4"/>
      <c r="I391" s="4"/>
      <c r="J391" s="4"/>
      <c r="L391" s="4"/>
    </row>
    <row r="392" spans="1:12" ht="16" outlineLevel="5" x14ac:dyDescent="0.2">
      <c r="A392" s="4"/>
      <c r="B392" s="4" t="s">
        <v>16</v>
      </c>
      <c r="C392" s="12"/>
      <c r="D392" s="4"/>
      <c r="E392" s="12" t="s">
        <v>1305</v>
      </c>
      <c r="F392" s="4"/>
      <c r="G392" s="4"/>
      <c r="H392" s="4"/>
      <c r="I392" s="4"/>
      <c r="J392" s="4"/>
      <c r="L392" s="4"/>
    </row>
    <row r="393" spans="1:12" ht="16" outlineLevel="5" collapsed="1" x14ac:dyDescent="0.2">
      <c r="A393" s="4" t="s">
        <v>21</v>
      </c>
      <c r="B393" s="4" t="s">
        <v>138</v>
      </c>
      <c r="C393" s="12"/>
      <c r="D393" s="4"/>
      <c r="E393" s="12" t="s">
        <v>1657</v>
      </c>
      <c r="F393" s="4" t="s">
        <v>15</v>
      </c>
      <c r="G393" s="4" t="s">
        <v>19</v>
      </c>
      <c r="H393" s="4" t="s">
        <v>2</v>
      </c>
      <c r="I393" s="4" t="s">
        <v>2</v>
      </c>
      <c r="J393" s="4"/>
      <c r="L393" s="4"/>
    </row>
    <row r="394" spans="1:12" ht="16" outlineLevel="5" collapsed="1" x14ac:dyDescent="0.2">
      <c r="A394" s="4" t="s">
        <v>21</v>
      </c>
      <c r="B394" s="4" t="s">
        <v>138</v>
      </c>
      <c r="C394" s="12"/>
      <c r="D394" s="4"/>
      <c r="E394" s="12" t="s">
        <v>1718</v>
      </c>
      <c r="F394" s="4" t="s">
        <v>15</v>
      </c>
      <c r="G394" s="4">
        <v>1</v>
      </c>
      <c r="H394" s="4" t="s">
        <v>2</v>
      </c>
      <c r="I394" s="4" t="s">
        <v>2</v>
      </c>
      <c r="J394" s="4"/>
      <c r="L394" s="4"/>
    </row>
    <row r="395" spans="1:12" ht="16" outlineLevel="4" x14ac:dyDescent="0.2">
      <c r="A395" s="4" t="s">
        <v>21</v>
      </c>
      <c r="B395" s="4" t="s">
        <v>16</v>
      </c>
      <c r="C395" s="12"/>
      <c r="D395" s="4"/>
      <c r="E395" s="12" t="s">
        <v>499</v>
      </c>
      <c r="F395" s="4" t="s">
        <v>15</v>
      </c>
      <c r="G395" s="4" t="s">
        <v>19</v>
      </c>
      <c r="H395" s="4" t="s">
        <v>2</v>
      </c>
      <c r="I395" s="4" t="s">
        <v>2</v>
      </c>
      <c r="J395" s="4"/>
      <c r="L395" s="4"/>
    </row>
    <row r="396" spans="1:12" ht="16" outlineLevel="4" collapsed="1" x14ac:dyDescent="0.2">
      <c r="A396" s="4" t="s">
        <v>21</v>
      </c>
      <c r="B396" s="4" t="s">
        <v>16</v>
      </c>
      <c r="C396" s="12"/>
      <c r="D396" s="4"/>
      <c r="E396" s="12" t="s">
        <v>500</v>
      </c>
      <c r="F396" s="4" t="s">
        <v>15</v>
      </c>
      <c r="G396" s="4" t="s">
        <v>19</v>
      </c>
      <c r="H396" s="4" t="s">
        <v>2</v>
      </c>
      <c r="I396" s="4" t="s">
        <v>2</v>
      </c>
      <c r="J396" s="4"/>
      <c r="L396" s="4"/>
    </row>
    <row r="397" spans="1:12" ht="16" outlineLevel="4" collapsed="1" x14ac:dyDescent="0.2">
      <c r="A397" s="4" t="s">
        <v>21</v>
      </c>
      <c r="B397" s="4" t="s">
        <v>16</v>
      </c>
      <c r="C397" s="12"/>
      <c r="D397" s="4"/>
      <c r="E397" s="12" t="s">
        <v>486</v>
      </c>
      <c r="F397" s="4" t="s">
        <v>15</v>
      </c>
      <c r="G397" s="4" t="s">
        <v>19</v>
      </c>
      <c r="H397" s="4" t="s">
        <v>2</v>
      </c>
      <c r="I397" s="4" t="s">
        <v>2</v>
      </c>
      <c r="J397" s="4"/>
      <c r="L397" s="4"/>
    </row>
    <row r="398" spans="1:12" ht="16" outlineLevel="4" collapsed="1" x14ac:dyDescent="0.2">
      <c r="A398" s="4" t="s">
        <v>21</v>
      </c>
      <c r="B398" s="4" t="s">
        <v>16</v>
      </c>
      <c r="C398" s="12"/>
      <c r="D398" s="4"/>
      <c r="E398" s="12" t="s">
        <v>501</v>
      </c>
      <c r="F398" s="4" t="s">
        <v>15</v>
      </c>
      <c r="G398" s="4" t="s">
        <v>19</v>
      </c>
      <c r="H398" s="4" t="s">
        <v>2</v>
      </c>
      <c r="I398" s="4" t="s">
        <v>2</v>
      </c>
      <c r="J398" s="4"/>
      <c r="L398" s="4"/>
    </row>
    <row r="399" spans="1:12" ht="16" outlineLevel="4" collapsed="1" x14ac:dyDescent="0.2">
      <c r="A399" s="4" t="s">
        <v>21</v>
      </c>
      <c r="B399" s="4" t="s">
        <v>16</v>
      </c>
      <c r="C399" s="12"/>
      <c r="D399" s="4"/>
      <c r="E399" s="12" t="s">
        <v>487</v>
      </c>
      <c r="F399" s="4" t="s">
        <v>15</v>
      </c>
      <c r="G399" s="4" t="s">
        <v>19</v>
      </c>
      <c r="H399" s="4" t="s">
        <v>2</v>
      </c>
      <c r="I399" s="4" t="s">
        <v>2</v>
      </c>
      <c r="J399" s="4"/>
      <c r="L399" s="4"/>
    </row>
    <row r="400" spans="1:12" ht="32" outlineLevel="3" x14ac:dyDescent="0.2">
      <c r="A400" s="5" t="s">
        <v>15</v>
      </c>
      <c r="B400" t="s">
        <v>1178</v>
      </c>
      <c r="C400" s="11" t="s">
        <v>2318</v>
      </c>
      <c r="D400" s="5"/>
      <c r="E400" s="11" t="s">
        <v>2318</v>
      </c>
      <c r="F400" s="5" t="s">
        <v>15</v>
      </c>
      <c r="G400" s="5" t="s">
        <v>2</v>
      </c>
      <c r="H400" s="5" t="s">
        <v>2</v>
      </c>
      <c r="I400" s="5" t="s">
        <v>2</v>
      </c>
      <c r="J400" s="5"/>
      <c r="L400" s="5"/>
    </row>
    <row r="401" spans="1:12" ht="32" outlineLevel="4" collapsed="1" x14ac:dyDescent="0.2">
      <c r="A401" s="4" t="s">
        <v>15</v>
      </c>
      <c r="B401" s="4" t="s">
        <v>25</v>
      </c>
      <c r="C401" s="12"/>
      <c r="D401" s="4"/>
      <c r="E401" s="12" t="s">
        <v>1719</v>
      </c>
      <c r="F401" s="4" t="s">
        <v>15</v>
      </c>
      <c r="G401" s="4" t="s">
        <v>2</v>
      </c>
      <c r="H401" s="4" t="s">
        <v>2</v>
      </c>
      <c r="I401" s="4" t="s">
        <v>2</v>
      </c>
      <c r="J401" s="4"/>
      <c r="L401" s="4"/>
    </row>
    <row r="402" spans="1:12" ht="16" outlineLevel="4" collapsed="1" x14ac:dyDescent="0.2">
      <c r="A402" s="4" t="s">
        <v>15</v>
      </c>
      <c r="B402" s="4" t="s">
        <v>25</v>
      </c>
      <c r="C402" s="12"/>
      <c r="D402" s="4"/>
      <c r="E402" s="12" t="s">
        <v>1688</v>
      </c>
      <c r="F402" s="4" t="s">
        <v>15</v>
      </c>
      <c r="G402" s="4" t="s">
        <v>2</v>
      </c>
      <c r="H402" s="4" t="s">
        <v>2</v>
      </c>
      <c r="I402" s="4" t="s">
        <v>2</v>
      </c>
      <c r="J402" s="4"/>
      <c r="L402" s="4"/>
    </row>
    <row r="403" spans="1:12" ht="16" outlineLevel="4" collapsed="1" x14ac:dyDescent="0.2">
      <c r="A403" s="4" t="s">
        <v>21</v>
      </c>
      <c r="B403" s="4" t="s">
        <v>16</v>
      </c>
      <c r="C403" s="12"/>
      <c r="D403" s="4"/>
      <c r="E403" s="12" t="s">
        <v>482</v>
      </c>
      <c r="F403" s="4" t="s">
        <v>15</v>
      </c>
      <c r="G403" s="4" t="s">
        <v>19</v>
      </c>
      <c r="H403" s="4" t="s">
        <v>2</v>
      </c>
      <c r="I403" s="4" t="s">
        <v>2</v>
      </c>
      <c r="J403" s="4"/>
      <c r="L403" s="4"/>
    </row>
    <row r="404" spans="1:12" ht="16" outlineLevel="4" collapsed="1" x14ac:dyDescent="0.2">
      <c r="A404" s="4" t="s">
        <v>21</v>
      </c>
      <c r="B404" s="4" t="s">
        <v>16</v>
      </c>
      <c r="C404" s="12"/>
      <c r="D404" s="4"/>
      <c r="E404" s="12" t="s">
        <v>483</v>
      </c>
      <c r="F404" s="4" t="s">
        <v>15</v>
      </c>
      <c r="G404" s="4" t="s">
        <v>19</v>
      </c>
      <c r="H404" s="4" t="s">
        <v>2</v>
      </c>
      <c r="I404" s="4" t="s">
        <v>2</v>
      </c>
      <c r="J404" s="4"/>
      <c r="L404" s="4"/>
    </row>
    <row r="405" spans="1:12" ht="16" outlineLevel="4" collapsed="1" x14ac:dyDescent="0.2">
      <c r="A405" s="4" t="s">
        <v>21</v>
      </c>
      <c r="B405" s="4" t="s">
        <v>16</v>
      </c>
      <c r="C405" s="12"/>
      <c r="D405" s="4"/>
      <c r="E405" s="12" t="s">
        <v>497</v>
      </c>
      <c r="F405" s="4" t="s">
        <v>15</v>
      </c>
      <c r="G405" s="4" t="s">
        <v>19</v>
      </c>
      <c r="H405" s="4" t="s">
        <v>2</v>
      </c>
      <c r="I405" s="4" t="s">
        <v>2</v>
      </c>
      <c r="J405" s="4"/>
      <c r="L405" s="4"/>
    </row>
    <row r="406" spans="1:12" ht="16" outlineLevel="4" collapsed="1" x14ac:dyDescent="0.2">
      <c r="A406" s="4" t="s">
        <v>21</v>
      </c>
      <c r="B406" s="4" t="s">
        <v>16</v>
      </c>
      <c r="C406" s="12"/>
      <c r="D406" s="4"/>
      <c r="E406" s="12" t="s">
        <v>498</v>
      </c>
      <c r="F406" s="4" t="s">
        <v>15</v>
      </c>
      <c r="G406" s="4" t="s">
        <v>19</v>
      </c>
      <c r="H406" s="4" t="s">
        <v>2</v>
      </c>
      <c r="I406" s="4" t="s">
        <v>2</v>
      </c>
      <c r="J406" s="4"/>
      <c r="L406" s="4"/>
    </row>
    <row r="407" spans="1:12" ht="32" outlineLevel="4" x14ac:dyDescent="0.2">
      <c r="A407" s="5" t="s">
        <v>21</v>
      </c>
      <c r="B407" t="s">
        <v>1178</v>
      </c>
      <c r="C407" s="11" t="s">
        <v>2319</v>
      </c>
      <c r="D407" s="5"/>
      <c r="E407" s="11" t="s">
        <v>2319</v>
      </c>
      <c r="F407" s="5" t="s">
        <v>21</v>
      </c>
      <c r="G407" s="5" t="s">
        <v>2</v>
      </c>
      <c r="H407" s="5" t="s">
        <v>2</v>
      </c>
      <c r="I407" s="5" t="s">
        <v>2</v>
      </c>
      <c r="J407" s="5"/>
      <c r="L407" s="5"/>
    </row>
    <row r="408" spans="1:12" ht="16" outlineLevel="5" collapsed="1" x14ac:dyDescent="0.2">
      <c r="A408" s="4" t="s">
        <v>21</v>
      </c>
      <c r="B408" s="4" t="s">
        <v>16</v>
      </c>
      <c r="C408" s="12"/>
      <c r="D408" s="4"/>
      <c r="E408" s="12" t="s">
        <v>1304</v>
      </c>
      <c r="F408" s="4" t="s">
        <v>15</v>
      </c>
      <c r="G408" s="4">
        <v>1</v>
      </c>
      <c r="H408" s="4" t="s">
        <v>2</v>
      </c>
      <c r="I408" s="4" t="s">
        <v>2</v>
      </c>
      <c r="J408" s="4"/>
      <c r="L408" s="4"/>
    </row>
    <row r="409" spans="1:12" ht="16" outlineLevel="5" x14ac:dyDescent="0.2">
      <c r="A409" s="4"/>
      <c r="B409" s="4" t="s">
        <v>16</v>
      </c>
      <c r="C409" s="12"/>
      <c r="D409" s="4"/>
      <c r="E409" s="12" t="s">
        <v>1692</v>
      </c>
      <c r="F409" s="4"/>
      <c r="G409" s="4"/>
      <c r="H409" s="4"/>
      <c r="I409" s="4"/>
      <c r="J409" s="4"/>
      <c r="L409" s="4"/>
    </row>
    <row r="410" spans="1:12" ht="16" outlineLevel="5" x14ac:dyDescent="0.2">
      <c r="A410" s="4"/>
      <c r="B410" s="4" t="s">
        <v>138</v>
      </c>
      <c r="C410" s="12"/>
      <c r="D410" s="4"/>
      <c r="E410" s="12" t="s">
        <v>1657</v>
      </c>
      <c r="F410" s="4"/>
      <c r="G410" s="4"/>
      <c r="H410" s="4"/>
      <c r="I410" s="4"/>
      <c r="J410" s="4"/>
      <c r="L410" s="4"/>
    </row>
    <row r="411" spans="1:12" ht="16" outlineLevel="5" collapsed="1" x14ac:dyDescent="0.2">
      <c r="A411" s="4" t="s">
        <v>21</v>
      </c>
      <c r="B411" s="4" t="s">
        <v>138</v>
      </c>
      <c r="C411" s="12"/>
      <c r="D411" s="4"/>
      <c r="E411" s="12" t="s">
        <v>1721</v>
      </c>
      <c r="F411" s="4" t="s">
        <v>15</v>
      </c>
      <c r="G411" s="4">
        <v>1</v>
      </c>
      <c r="H411" s="4" t="s">
        <v>2</v>
      </c>
      <c r="I411" s="4" t="s">
        <v>2</v>
      </c>
      <c r="J411" s="4"/>
      <c r="L411" s="4"/>
    </row>
    <row r="412" spans="1:12" ht="16" outlineLevel="4" x14ac:dyDescent="0.2">
      <c r="A412" s="4" t="s">
        <v>21</v>
      </c>
      <c r="B412" s="4" t="s">
        <v>16</v>
      </c>
      <c r="C412" s="12"/>
      <c r="D412" s="4"/>
      <c r="E412" s="12" t="s">
        <v>499</v>
      </c>
      <c r="F412" s="4" t="s">
        <v>15</v>
      </c>
      <c r="G412" s="4" t="s">
        <v>19</v>
      </c>
      <c r="H412" s="4" t="s">
        <v>2</v>
      </c>
      <c r="I412" s="4" t="s">
        <v>2</v>
      </c>
      <c r="J412" s="4"/>
      <c r="L412" s="4"/>
    </row>
    <row r="413" spans="1:12" ht="16" outlineLevel="4" collapsed="1" x14ac:dyDescent="0.2">
      <c r="A413" s="4" t="s">
        <v>21</v>
      </c>
      <c r="B413" s="4" t="s">
        <v>16</v>
      </c>
      <c r="C413" s="12"/>
      <c r="D413" s="4"/>
      <c r="E413" s="12" t="s">
        <v>500</v>
      </c>
      <c r="F413" s="4" t="s">
        <v>15</v>
      </c>
      <c r="G413" s="4" t="s">
        <v>19</v>
      </c>
      <c r="H413" s="4" t="s">
        <v>2</v>
      </c>
      <c r="I413" s="4" t="s">
        <v>2</v>
      </c>
      <c r="J413" s="4"/>
      <c r="L413" s="4"/>
    </row>
    <row r="414" spans="1:12" ht="16" outlineLevel="4" collapsed="1" x14ac:dyDescent="0.2">
      <c r="A414" s="4" t="s">
        <v>21</v>
      </c>
      <c r="B414" s="4" t="s">
        <v>16</v>
      </c>
      <c r="C414" s="12"/>
      <c r="D414" s="4"/>
      <c r="E414" s="12" t="s">
        <v>486</v>
      </c>
      <c r="F414" s="4" t="s">
        <v>15</v>
      </c>
      <c r="G414" s="4" t="s">
        <v>19</v>
      </c>
      <c r="H414" s="4" t="s">
        <v>2</v>
      </c>
      <c r="I414" s="4" t="s">
        <v>2</v>
      </c>
      <c r="J414" s="4"/>
      <c r="L414" s="4"/>
    </row>
    <row r="415" spans="1:12" ht="16" outlineLevel="4" collapsed="1" x14ac:dyDescent="0.2">
      <c r="A415" s="4" t="s">
        <v>21</v>
      </c>
      <c r="B415" s="4" t="s">
        <v>16</v>
      </c>
      <c r="C415" s="12"/>
      <c r="D415" s="4"/>
      <c r="E415" s="12" t="s">
        <v>501</v>
      </c>
      <c r="F415" s="4" t="s">
        <v>15</v>
      </c>
      <c r="G415" s="4" t="s">
        <v>19</v>
      </c>
      <c r="H415" s="4" t="s">
        <v>2</v>
      </c>
      <c r="I415" s="4" t="s">
        <v>2</v>
      </c>
      <c r="J415" s="4"/>
      <c r="L415" s="4"/>
    </row>
    <row r="416" spans="1:12" ht="16" outlineLevel="4" collapsed="1" x14ac:dyDescent="0.2">
      <c r="A416" s="4" t="s">
        <v>21</v>
      </c>
      <c r="B416" s="4" t="s">
        <v>16</v>
      </c>
      <c r="C416" s="12"/>
      <c r="D416" s="4"/>
      <c r="E416" s="12" t="s">
        <v>487</v>
      </c>
      <c r="F416" s="4" t="s">
        <v>15</v>
      </c>
      <c r="G416" s="4" t="s">
        <v>19</v>
      </c>
      <c r="H416" s="4" t="s">
        <v>2</v>
      </c>
      <c r="I416" s="4" t="s">
        <v>2</v>
      </c>
      <c r="J416" s="4"/>
      <c r="L416" s="4"/>
    </row>
    <row r="417" spans="1:12" ht="32" outlineLevel="3" x14ac:dyDescent="0.2">
      <c r="A417" s="5" t="s">
        <v>15</v>
      </c>
      <c r="B417" t="s">
        <v>1178</v>
      </c>
      <c r="C417" s="11" t="s">
        <v>2320</v>
      </c>
      <c r="D417" s="5"/>
      <c r="E417" s="50" t="s">
        <v>2320</v>
      </c>
      <c r="F417" s="5" t="s">
        <v>15</v>
      </c>
      <c r="G417" s="5" t="s">
        <v>2</v>
      </c>
      <c r="H417" s="5" t="s">
        <v>2</v>
      </c>
      <c r="I417" s="5" t="s">
        <v>2</v>
      </c>
      <c r="J417" s="5"/>
      <c r="L417" s="5"/>
    </row>
    <row r="418" spans="1:12" ht="16" outlineLevel="4" collapsed="1" x14ac:dyDescent="0.2">
      <c r="A418" s="4" t="s">
        <v>15</v>
      </c>
      <c r="B418" s="4" t="s">
        <v>25</v>
      </c>
      <c r="C418" s="12"/>
      <c r="D418" s="4"/>
      <c r="E418" s="12" t="s">
        <v>1722</v>
      </c>
      <c r="F418" s="4" t="s">
        <v>15</v>
      </c>
      <c r="G418" s="4" t="s">
        <v>2</v>
      </c>
      <c r="H418" s="4" t="s">
        <v>2</v>
      </c>
      <c r="I418" s="4" t="s">
        <v>2</v>
      </c>
      <c r="J418" s="4"/>
      <c r="L418" s="4"/>
    </row>
    <row r="419" spans="1:12" ht="16" outlineLevel="4" collapsed="1" x14ac:dyDescent="0.2">
      <c r="A419" s="4" t="s">
        <v>15</v>
      </c>
      <c r="B419" s="4" t="s">
        <v>25</v>
      </c>
      <c r="C419" s="12"/>
      <c r="D419" s="4"/>
      <c r="E419" s="12" t="s">
        <v>1723</v>
      </c>
      <c r="F419" s="4" t="s">
        <v>15</v>
      </c>
      <c r="G419" s="4" t="s">
        <v>2</v>
      </c>
      <c r="H419" s="4" t="s">
        <v>2</v>
      </c>
      <c r="I419" s="4" t="s">
        <v>2</v>
      </c>
      <c r="J419" s="4"/>
      <c r="L419" s="4"/>
    </row>
    <row r="420" spans="1:12" ht="16" outlineLevel="4" collapsed="1" x14ac:dyDescent="0.2">
      <c r="A420" s="4" t="s">
        <v>21</v>
      </c>
      <c r="B420" s="4" t="s">
        <v>16</v>
      </c>
      <c r="C420" s="12"/>
      <c r="D420" s="4"/>
      <c r="E420" s="12" t="s">
        <v>482</v>
      </c>
      <c r="F420" s="4" t="s">
        <v>15</v>
      </c>
      <c r="G420" s="4" t="s">
        <v>19</v>
      </c>
      <c r="H420" s="4" t="s">
        <v>2</v>
      </c>
      <c r="I420" s="4" t="s">
        <v>2</v>
      </c>
      <c r="J420" s="4"/>
      <c r="L420" s="4"/>
    </row>
    <row r="421" spans="1:12" ht="16" outlineLevel="4" collapsed="1" x14ac:dyDescent="0.2">
      <c r="A421" s="4" t="s">
        <v>21</v>
      </c>
      <c r="B421" s="4" t="s">
        <v>16</v>
      </c>
      <c r="C421" s="12"/>
      <c r="D421" s="4"/>
      <c r="E421" s="12" t="s">
        <v>483</v>
      </c>
      <c r="F421" s="4" t="s">
        <v>15</v>
      </c>
      <c r="G421" s="4" t="s">
        <v>19</v>
      </c>
      <c r="H421" s="4" t="s">
        <v>2</v>
      </c>
      <c r="I421" s="4" t="s">
        <v>2</v>
      </c>
      <c r="J421" s="4"/>
      <c r="L421" s="4"/>
    </row>
    <row r="422" spans="1:12" ht="32" outlineLevel="4" x14ac:dyDescent="0.2">
      <c r="A422" s="5" t="s">
        <v>21</v>
      </c>
      <c r="B422" t="s">
        <v>1178</v>
      </c>
      <c r="C422" s="11" t="s">
        <v>2321</v>
      </c>
      <c r="D422" s="5"/>
      <c r="E422" s="11" t="s">
        <v>2321</v>
      </c>
      <c r="F422" s="5" t="s">
        <v>21</v>
      </c>
      <c r="G422" s="5" t="s">
        <v>2</v>
      </c>
      <c r="H422" s="5" t="s">
        <v>2</v>
      </c>
      <c r="I422" s="5" t="s">
        <v>2</v>
      </c>
      <c r="J422" s="5"/>
      <c r="L422" s="5"/>
    </row>
    <row r="423" spans="1:12" ht="16" outlineLevel="5" collapsed="1" x14ac:dyDescent="0.2">
      <c r="A423" s="4" t="s">
        <v>21</v>
      </c>
      <c r="B423" s="4" t="s">
        <v>138</v>
      </c>
      <c r="C423" s="12"/>
      <c r="D423" s="4"/>
      <c r="E423" s="12" t="s">
        <v>1657</v>
      </c>
      <c r="F423" s="4" t="s">
        <v>15</v>
      </c>
      <c r="G423" s="4">
        <v>1</v>
      </c>
      <c r="H423" s="4" t="s">
        <v>2</v>
      </c>
      <c r="I423" s="4" t="s">
        <v>2</v>
      </c>
      <c r="J423" s="4"/>
      <c r="L423" s="4"/>
    </row>
    <row r="424" spans="1:12" ht="16" outlineLevel="5" x14ac:dyDescent="0.2">
      <c r="A424" s="4"/>
      <c r="B424" s="4" t="s">
        <v>16</v>
      </c>
      <c r="C424" s="12"/>
      <c r="D424" s="4"/>
      <c r="E424" s="12" t="s">
        <v>1724</v>
      </c>
      <c r="F424" s="4"/>
      <c r="G424" s="4"/>
      <c r="H424" s="4"/>
      <c r="I424" s="4"/>
      <c r="J424" s="4"/>
      <c r="L424" s="4"/>
    </row>
    <row r="425" spans="1:12" ht="16" outlineLevel="5" x14ac:dyDescent="0.2">
      <c r="A425" s="4"/>
      <c r="B425" s="4" t="s">
        <v>16</v>
      </c>
      <c r="C425" s="12"/>
      <c r="D425" s="4"/>
      <c r="E425" s="12" t="s">
        <v>1725</v>
      </c>
      <c r="F425" s="4"/>
      <c r="G425" s="4"/>
      <c r="H425" s="4"/>
      <c r="I425" s="4"/>
      <c r="J425" s="4"/>
      <c r="L425" s="4"/>
    </row>
    <row r="426" spans="1:12" ht="16" outlineLevel="5" collapsed="1" x14ac:dyDescent="0.2">
      <c r="A426" s="4" t="s">
        <v>21</v>
      </c>
      <c r="B426" s="4" t="s">
        <v>138</v>
      </c>
      <c r="C426" s="12"/>
      <c r="D426" s="4"/>
      <c r="E426" s="12" t="s">
        <v>1726</v>
      </c>
      <c r="F426" s="4" t="s">
        <v>15</v>
      </c>
      <c r="G426" s="4">
        <v>1</v>
      </c>
      <c r="H426" s="4" t="s">
        <v>2</v>
      </c>
      <c r="I426" s="4" t="s">
        <v>2</v>
      </c>
      <c r="J426" s="4"/>
      <c r="L426" s="4"/>
    </row>
    <row r="427" spans="1:12" ht="32" outlineLevel="4" x14ac:dyDescent="0.2">
      <c r="A427" s="4" t="s">
        <v>21</v>
      </c>
      <c r="B427" s="4" t="s">
        <v>16</v>
      </c>
      <c r="C427" s="12"/>
      <c r="D427" s="4"/>
      <c r="E427" s="12" t="s">
        <v>485</v>
      </c>
      <c r="F427" s="4" t="s">
        <v>15</v>
      </c>
      <c r="G427" s="4" t="s">
        <v>19</v>
      </c>
      <c r="H427" s="4" t="s">
        <v>2</v>
      </c>
      <c r="I427" s="4" t="s">
        <v>2</v>
      </c>
      <c r="J427" s="4"/>
      <c r="L427" s="4"/>
    </row>
    <row r="428" spans="1:12" ht="16" outlineLevel="4" collapsed="1" x14ac:dyDescent="0.2">
      <c r="A428" s="4" t="s">
        <v>21</v>
      </c>
      <c r="B428" s="4" t="s">
        <v>16</v>
      </c>
      <c r="C428" s="12"/>
      <c r="D428" s="4"/>
      <c r="E428" s="12" t="s">
        <v>486</v>
      </c>
      <c r="F428" s="4" t="s">
        <v>15</v>
      </c>
      <c r="G428" s="4" t="s">
        <v>19</v>
      </c>
      <c r="H428" s="4" t="s">
        <v>2</v>
      </c>
      <c r="I428" s="4" t="s">
        <v>2</v>
      </c>
      <c r="J428" s="4"/>
      <c r="L428" s="4"/>
    </row>
    <row r="429" spans="1:12" ht="16" outlineLevel="4" collapsed="1" x14ac:dyDescent="0.2">
      <c r="A429" s="4" t="s">
        <v>21</v>
      </c>
      <c r="B429" s="4" t="s">
        <v>16</v>
      </c>
      <c r="C429" s="12"/>
      <c r="D429" s="4"/>
      <c r="E429" s="12" t="s">
        <v>487</v>
      </c>
      <c r="F429" s="4" t="s">
        <v>15</v>
      </c>
      <c r="G429" s="4" t="s">
        <v>19</v>
      </c>
      <c r="H429" s="4" t="s">
        <v>2</v>
      </c>
      <c r="I429" s="4" t="s">
        <v>2</v>
      </c>
      <c r="J429" s="4"/>
      <c r="L429" s="4"/>
    </row>
    <row r="430" spans="1:12" ht="32" outlineLevel="3" x14ac:dyDescent="0.2">
      <c r="A430" s="5" t="s">
        <v>15</v>
      </c>
      <c r="B430" t="s">
        <v>1178</v>
      </c>
      <c r="C430" s="11" t="s">
        <v>2322</v>
      </c>
      <c r="D430" s="5"/>
      <c r="E430" s="50" t="s">
        <v>2322</v>
      </c>
      <c r="F430" s="5" t="s">
        <v>15</v>
      </c>
      <c r="G430" s="5" t="s">
        <v>2</v>
      </c>
      <c r="H430" s="5" t="s">
        <v>2</v>
      </c>
      <c r="I430" s="5" t="s">
        <v>2</v>
      </c>
      <c r="J430" s="5"/>
      <c r="L430" s="5"/>
    </row>
    <row r="431" spans="1:12" ht="16" outlineLevel="4" collapsed="1" x14ac:dyDescent="0.2">
      <c r="A431" s="4" t="s">
        <v>15</v>
      </c>
      <c r="B431" s="4" t="s">
        <v>25</v>
      </c>
      <c r="C431" s="12"/>
      <c r="D431" s="4"/>
      <c r="E431" s="12" t="s">
        <v>1727</v>
      </c>
      <c r="F431" s="4" t="s">
        <v>15</v>
      </c>
      <c r="G431" s="4" t="s">
        <v>2</v>
      </c>
      <c r="H431" s="4" t="s">
        <v>2</v>
      </c>
      <c r="I431" s="4" t="s">
        <v>2</v>
      </c>
      <c r="J431" s="4"/>
      <c r="L431" s="4"/>
    </row>
    <row r="432" spans="1:12" ht="16" outlineLevel="4" collapsed="1" x14ac:dyDescent="0.2">
      <c r="A432" s="4" t="s">
        <v>15</v>
      </c>
      <c r="B432" s="4" t="s">
        <v>25</v>
      </c>
      <c r="C432" s="12"/>
      <c r="D432" s="4"/>
      <c r="E432" s="12" t="s">
        <v>1728</v>
      </c>
      <c r="F432" s="4" t="s">
        <v>15</v>
      </c>
      <c r="G432" s="4" t="s">
        <v>2</v>
      </c>
      <c r="H432" s="4" t="s">
        <v>2</v>
      </c>
      <c r="I432" s="4" t="s">
        <v>2</v>
      </c>
      <c r="J432" s="4"/>
      <c r="L432" s="4"/>
    </row>
    <row r="433" spans="1:12" ht="16" outlineLevel="4" collapsed="1" x14ac:dyDescent="0.2">
      <c r="A433" s="4" t="s">
        <v>21</v>
      </c>
      <c r="B433" s="4" t="s">
        <v>16</v>
      </c>
      <c r="C433" s="12"/>
      <c r="D433" s="4"/>
      <c r="E433" s="12" t="s">
        <v>482</v>
      </c>
      <c r="F433" s="4" t="s">
        <v>15</v>
      </c>
      <c r="G433" s="4" t="s">
        <v>19</v>
      </c>
      <c r="H433" s="4" t="s">
        <v>2</v>
      </c>
      <c r="I433" s="4" t="s">
        <v>2</v>
      </c>
      <c r="J433" s="4"/>
      <c r="L433" s="4"/>
    </row>
    <row r="434" spans="1:12" ht="16" outlineLevel="4" collapsed="1" x14ac:dyDescent="0.2">
      <c r="A434" s="4" t="s">
        <v>21</v>
      </c>
      <c r="B434" s="4" t="s">
        <v>16</v>
      </c>
      <c r="C434" s="12"/>
      <c r="D434" s="4"/>
      <c r="E434" s="12" t="s">
        <v>483</v>
      </c>
      <c r="F434" s="4" t="s">
        <v>15</v>
      </c>
      <c r="G434" s="4" t="s">
        <v>19</v>
      </c>
      <c r="H434" s="4" t="s">
        <v>2</v>
      </c>
      <c r="I434" s="4" t="s">
        <v>2</v>
      </c>
      <c r="J434" s="4"/>
      <c r="L434" s="4"/>
    </row>
    <row r="435" spans="1:12" ht="32" outlineLevel="4" x14ac:dyDescent="0.2">
      <c r="A435" s="5" t="s">
        <v>21</v>
      </c>
      <c r="B435" t="s">
        <v>1178</v>
      </c>
      <c r="C435" s="11" t="s">
        <v>2323</v>
      </c>
      <c r="D435" s="5"/>
      <c r="E435" s="11" t="s">
        <v>2323</v>
      </c>
      <c r="F435" s="5" t="s">
        <v>21</v>
      </c>
      <c r="G435" s="5" t="s">
        <v>2</v>
      </c>
      <c r="H435" s="5" t="s">
        <v>2</v>
      </c>
      <c r="I435" s="5" t="s">
        <v>2</v>
      </c>
      <c r="J435" s="5"/>
      <c r="L435" s="5"/>
    </row>
    <row r="436" spans="1:12" ht="16" outlineLevel="5" collapsed="1" x14ac:dyDescent="0.2">
      <c r="A436" s="4" t="s">
        <v>21</v>
      </c>
      <c r="B436" s="4" t="s">
        <v>138</v>
      </c>
      <c r="C436" s="12"/>
      <c r="D436" s="4"/>
      <c r="E436" s="12" t="s">
        <v>1657</v>
      </c>
      <c r="F436" s="4" t="s">
        <v>15</v>
      </c>
      <c r="G436" s="4">
        <v>1</v>
      </c>
      <c r="H436" s="4" t="s">
        <v>2</v>
      </c>
      <c r="I436" s="4" t="s">
        <v>2</v>
      </c>
      <c r="J436" s="4"/>
      <c r="L436" s="4"/>
    </row>
    <row r="437" spans="1:12" ht="16" outlineLevel="5" x14ac:dyDescent="0.2">
      <c r="A437" s="4"/>
      <c r="B437" s="4" t="s">
        <v>16</v>
      </c>
      <c r="C437" s="12"/>
      <c r="D437" s="4"/>
      <c r="E437" s="12" t="s">
        <v>1725</v>
      </c>
      <c r="F437" s="4"/>
      <c r="G437" s="4"/>
      <c r="H437" s="4"/>
      <c r="I437" s="4"/>
      <c r="J437" s="4"/>
      <c r="L437" s="4"/>
    </row>
    <row r="438" spans="1:12" ht="16" outlineLevel="5" collapsed="1" x14ac:dyDescent="0.2">
      <c r="A438" s="4" t="s">
        <v>21</v>
      </c>
      <c r="B438" s="4" t="s">
        <v>138</v>
      </c>
      <c r="C438" s="12"/>
      <c r="D438" s="4"/>
      <c r="E438" s="12" t="s">
        <v>1730</v>
      </c>
      <c r="F438" s="4" t="s">
        <v>15</v>
      </c>
      <c r="G438" s="4">
        <v>1</v>
      </c>
      <c r="H438" s="4" t="s">
        <v>2</v>
      </c>
      <c r="I438" s="4" t="s">
        <v>2</v>
      </c>
      <c r="J438" s="4"/>
      <c r="L438" s="4"/>
    </row>
    <row r="439" spans="1:12" ht="16" outlineLevel="4" x14ac:dyDescent="0.2">
      <c r="A439" s="4" t="s">
        <v>21</v>
      </c>
      <c r="B439" s="4" t="s">
        <v>16</v>
      </c>
      <c r="C439" s="12"/>
      <c r="D439" s="4"/>
      <c r="E439" t="s">
        <v>485</v>
      </c>
      <c r="F439" s="4" t="s">
        <v>15</v>
      </c>
      <c r="G439" s="4" t="s">
        <v>19</v>
      </c>
      <c r="H439" s="4" t="s">
        <v>2</v>
      </c>
      <c r="I439" s="4" t="s">
        <v>2</v>
      </c>
      <c r="J439" s="4"/>
      <c r="L439" s="4"/>
    </row>
    <row r="440" spans="1:12" ht="16" outlineLevel="4" collapsed="1" x14ac:dyDescent="0.2">
      <c r="A440" s="4" t="s">
        <v>21</v>
      </c>
      <c r="B440" s="4" t="s">
        <v>16</v>
      </c>
      <c r="C440" s="12"/>
      <c r="D440" s="4"/>
      <c r="E440" s="12" t="s">
        <v>486</v>
      </c>
      <c r="F440" s="4" t="s">
        <v>15</v>
      </c>
      <c r="G440" s="4" t="s">
        <v>19</v>
      </c>
      <c r="H440" s="4" t="s">
        <v>2</v>
      </c>
      <c r="I440" s="4" t="s">
        <v>2</v>
      </c>
      <c r="J440" s="4"/>
      <c r="L440" s="4"/>
    </row>
    <row r="441" spans="1:12" ht="16" outlineLevel="4" collapsed="1" x14ac:dyDescent="0.2">
      <c r="A441" s="4" t="s">
        <v>21</v>
      </c>
      <c r="B441" s="4" t="s">
        <v>16</v>
      </c>
      <c r="C441" s="12"/>
      <c r="D441" s="4"/>
      <c r="E441" s="12" t="s">
        <v>487</v>
      </c>
      <c r="F441" s="4" t="s">
        <v>15</v>
      </c>
      <c r="G441" s="4" t="s">
        <v>19</v>
      </c>
      <c r="H441" s="4" t="s">
        <v>2</v>
      </c>
      <c r="I441" s="4" t="s">
        <v>2</v>
      </c>
      <c r="J441" s="4"/>
      <c r="L441" s="4"/>
    </row>
    <row r="442" spans="1:12" ht="48" outlineLevel="3" x14ac:dyDescent="0.2">
      <c r="A442" s="5" t="s">
        <v>15</v>
      </c>
      <c r="B442" t="s">
        <v>1178</v>
      </c>
      <c r="C442" s="11" t="s">
        <v>2324</v>
      </c>
      <c r="D442" s="5"/>
      <c r="E442" s="11" t="s">
        <v>2324</v>
      </c>
      <c r="F442" s="5" t="s">
        <v>15</v>
      </c>
      <c r="G442" s="5" t="s">
        <v>2</v>
      </c>
      <c r="H442" s="5" t="s">
        <v>2</v>
      </c>
      <c r="I442" s="5" t="s">
        <v>2</v>
      </c>
      <c r="J442" s="5"/>
      <c r="L442" s="5"/>
    </row>
    <row r="443" spans="1:12" ht="80" outlineLevel="4" collapsed="1" x14ac:dyDescent="0.2">
      <c r="A443" s="4" t="s">
        <v>15</v>
      </c>
      <c r="B443" s="4" t="s">
        <v>25</v>
      </c>
      <c r="C443" s="12"/>
      <c r="D443" s="4"/>
      <c r="E443" s="12" t="s">
        <v>1731</v>
      </c>
      <c r="F443" s="4" t="s">
        <v>15</v>
      </c>
      <c r="G443" s="4" t="s">
        <v>2</v>
      </c>
      <c r="H443" s="4" t="s">
        <v>2</v>
      </c>
      <c r="I443" s="4" t="s">
        <v>2</v>
      </c>
      <c r="J443" s="4"/>
      <c r="L443" s="4"/>
    </row>
    <row r="444" spans="1:12" ht="16" outlineLevel="4" collapsed="1" x14ac:dyDescent="0.2">
      <c r="A444" s="4" t="s">
        <v>15</v>
      </c>
      <c r="B444" s="4" t="s">
        <v>25</v>
      </c>
      <c r="C444" s="12"/>
      <c r="D444" s="4"/>
      <c r="E444" s="12" t="s">
        <v>1688</v>
      </c>
      <c r="F444" s="4" t="s">
        <v>15</v>
      </c>
      <c r="G444" s="4" t="s">
        <v>2</v>
      </c>
      <c r="H444" s="4" t="s">
        <v>2</v>
      </c>
      <c r="I444" s="4" t="s">
        <v>2</v>
      </c>
      <c r="J444" s="4"/>
      <c r="L444" s="4"/>
    </row>
    <row r="445" spans="1:12" ht="16" outlineLevel="4" collapsed="1" x14ac:dyDescent="0.2">
      <c r="A445" s="4" t="s">
        <v>21</v>
      </c>
      <c r="B445" s="4" t="s">
        <v>16</v>
      </c>
      <c r="C445" s="12"/>
      <c r="D445" s="4"/>
      <c r="E445" s="12" t="s">
        <v>482</v>
      </c>
      <c r="F445" s="4" t="s">
        <v>15</v>
      </c>
      <c r="G445" s="4" t="s">
        <v>19</v>
      </c>
      <c r="H445" s="4" t="s">
        <v>2</v>
      </c>
      <c r="I445" s="4" t="s">
        <v>2</v>
      </c>
      <c r="J445" s="4"/>
      <c r="L445" s="4"/>
    </row>
    <row r="446" spans="1:12" ht="16" outlineLevel="4" collapsed="1" x14ac:dyDescent="0.2">
      <c r="A446" s="4" t="s">
        <v>21</v>
      </c>
      <c r="B446" s="4" t="s">
        <v>16</v>
      </c>
      <c r="C446" s="12"/>
      <c r="D446" s="4"/>
      <c r="E446" s="12" t="s">
        <v>483</v>
      </c>
      <c r="F446" s="4" t="s">
        <v>15</v>
      </c>
      <c r="G446" s="4" t="s">
        <v>19</v>
      </c>
      <c r="H446" s="4" t="s">
        <v>2</v>
      </c>
      <c r="I446" s="4" t="s">
        <v>2</v>
      </c>
      <c r="J446" s="4"/>
      <c r="L446" s="4"/>
    </row>
    <row r="447" spans="1:12" ht="48" outlineLevel="4" x14ac:dyDescent="0.2">
      <c r="A447" s="5" t="s">
        <v>21</v>
      </c>
      <c r="B447" t="s">
        <v>1178</v>
      </c>
      <c r="C447" s="11" t="s">
        <v>2325</v>
      </c>
      <c r="D447" s="5"/>
      <c r="E447" s="11" t="s">
        <v>2325</v>
      </c>
      <c r="F447" s="5" t="s">
        <v>21</v>
      </c>
      <c r="G447" s="5" t="s">
        <v>2</v>
      </c>
      <c r="H447" s="5" t="s">
        <v>2</v>
      </c>
      <c r="I447" s="5" t="s">
        <v>2</v>
      </c>
      <c r="J447" s="5"/>
      <c r="L447" s="5"/>
    </row>
    <row r="448" spans="1:12" ht="16" outlineLevel="5" collapsed="1" x14ac:dyDescent="0.2">
      <c r="A448" s="4" t="s">
        <v>21</v>
      </c>
      <c r="B448" s="4" t="s">
        <v>138</v>
      </c>
      <c r="C448" s="12"/>
      <c r="D448" s="4"/>
      <c r="E448" s="12" t="s">
        <v>1305</v>
      </c>
      <c r="F448" s="4" t="s">
        <v>15</v>
      </c>
      <c r="G448" s="4">
        <v>1</v>
      </c>
      <c r="H448" s="4" t="s">
        <v>2</v>
      </c>
      <c r="I448" s="4" t="s">
        <v>2</v>
      </c>
      <c r="J448" s="4"/>
      <c r="L448" s="4"/>
    </row>
    <row r="449" spans="1:12" ht="16" outlineLevel="5" collapsed="1" x14ac:dyDescent="0.2">
      <c r="A449" s="4" t="s">
        <v>21</v>
      </c>
      <c r="B449" s="4" t="s">
        <v>16</v>
      </c>
      <c r="C449" s="12"/>
      <c r="D449" s="4"/>
      <c r="E449" s="12" t="s">
        <v>1657</v>
      </c>
      <c r="F449" s="4" t="s">
        <v>15</v>
      </c>
      <c r="G449" s="4" t="s">
        <v>19</v>
      </c>
      <c r="H449" s="4" t="s">
        <v>2</v>
      </c>
      <c r="I449" s="4" t="s">
        <v>2</v>
      </c>
      <c r="J449" s="4"/>
      <c r="L449" s="4"/>
    </row>
    <row r="450" spans="1:12" ht="16" outlineLevel="5" x14ac:dyDescent="0.2">
      <c r="A450" s="4" t="s">
        <v>21</v>
      </c>
      <c r="B450" s="4" t="s">
        <v>138</v>
      </c>
      <c r="C450" s="12"/>
      <c r="D450" s="4"/>
      <c r="E450" s="12" t="s">
        <v>1733</v>
      </c>
      <c r="F450" s="4"/>
      <c r="G450" s="4"/>
      <c r="H450" s="4"/>
      <c r="I450" s="4"/>
      <c r="J450" s="4"/>
      <c r="L450" s="4"/>
    </row>
    <row r="451" spans="1:12" ht="16" outlineLevel="5" collapsed="1" x14ac:dyDescent="0.2">
      <c r="A451" s="4" t="s">
        <v>21</v>
      </c>
      <c r="B451" s="4" t="s">
        <v>138</v>
      </c>
      <c r="C451" s="12"/>
      <c r="D451" s="4"/>
      <c r="E451" s="12" t="s">
        <v>1734</v>
      </c>
      <c r="F451" s="4" t="s">
        <v>15</v>
      </c>
      <c r="G451" s="4">
        <v>1</v>
      </c>
      <c r="H451" s="4" t="s">
        <v>2</v>
      </c>
      <c r="I451" s="4" t="s">
        <v>2</v>
      </c>
      <c r="J451" s="4"/>
      <c r="L451" s="4"/>
    </row>
    <row r="452" spans="1:12" ht="16" outlineLevel="4" x14ac:dyDescent="0.2">
      <c r="A452" s="4" t="s">
        <v>21</v>
      </c>
      <c r="B452" s="4" t="s">
        <v>16</v>
      </c>
      <c r="C452" s="12"/>
      <c r="D452" s="4"/>
      <c r="E452" t="s">
        <v>485</v>
      </c>
      <c r="F452" s="4" t="s">
        <v>15</v>
      </c>
      <c r="G452" s="4" t="s">
        <v>19</v>
      </c>
      <c r="H452" s="4" t="s">
        <v>2</v>
      </c>
      <c r="I452" s="4" t="s">
        <v>2</v>
      </c>
      <c r="J452" s="4"/>
      <c r="L452" s="4"/>
    </row>
    <row r="453" spans="1:12" ht="16" outlineLevel="4" collapsed="1" x14ac:dyDescent="0.2">
      <c r="A453" s="4" t="s">
        <v>21</v>
      </c>
      <c r="B453" s="4" t="s">
        <v>16</v>
      </c>
      <c r="C453" s="12"/>
      <c r="D453" s="4"/>
      <c r="E453" s="12" t="s">
        <v>486</v>
      </c>
      <c r="F453" s="4" t="s">
        <v>15</v>
      </c>
      <c r="G453" s="4" t="s">
        <v>19</v>
      </c>
      <c r="H453" s="4" t="s">
        <v>2</v>
      </c>
      <c r="I453" s="4" t="s">
        <v>2</v>
      </c>
      <c r="J453" s="4"/>
      <c r="L453" s="4"/>
    </row>
    <row r="454" spans="1:12" ht="16" outlineLevel="4" collapsed="1" x14ac:dyDescent="0.2">
      <c r="A454" s="4" t="s">
        <v>21</v>
      </c>
      <c r="B454" s="4" t="s">
        <v>16</v>
      </c>
      <c r="C454" s="12"/>
      <c r="D454" s="4"/>
      <c r="E454" s="12" t="s">
        <v>501</v>
      </c>
      <c r="F454" s="4" t="s">
        <v>15</v>
      </c>
      <c r="G454" s="4" t="s">
        <v>19</v>
      </c>
      <c r="H454" s="4" t="s">
        <v>2</v>
      </c>
      <c r="I454" s="4" t="s">
        <v>2</v>
      </c>
      <c r="J454" s="4"/>
      <c r="L454" s="4"/>
    </row>
    <row r="455" spans="1:12" ht="16" outlineLevel="4" collapsed="1" x14ac:dyDescent="0.2">
      <c r="A455" s="4" t="s">
        <v>21</v>
      </c>
      <c r="B455" s="4" t="s">
        <v>16</v>
      </c>
      <c r="C455" s="12"/>
      <c r="D455" s="4"/>
      <c r="E455" s="12" t="s">
        <v>487</v>
      </c>
      <c r="F455" s="4" t="s">
        <v>15</v>
      </c>
      <c r="G455" s="4" t="s">
        <v>19</v>
      </c>
      <c r="H455" s="4" t="s">
        <v>2</v>
      </c>
      <c r="I455" s="4" t="s">
        <v>2</v>
      </c>
      <c r="J455" s="4"/>
      <c r="L455" s="4"/>
    </row>
    <row r="456" spans="1:12" ht="48" outlineLevel="3" x14ac:dyDescent="0.2">
      <c r="A456" s="5" t="s">
        <v>15</v>
      </c>
      <c r="B456" t="s">
        <v>1178</v>
      </c>
      <c r="C456" s="11" t="s">
        <v>2326</v>
      </c>
      <c r="D456" s="5"/>
      <c r="E456" s="11" t="s">
        <v>2326</v>
      </c>
      <c r="F456" s="5" t="s">
        <v>15</v>
      </c>
      <c r="G456" s="5" t="s">
        <v>2</v>
      </c>
      <c r="H456" s="5" t="s">
        <v>2</v>
      </c>
      <c r="I456" s="5" t="s">
        <v>2</v>
      </c>
      <c r="J456" s="5"/>
      <c r="L456" s="5"/>
    </row>
    <row r="457" spans="1:12" ht="80" outlineLevel="4" collapsed="1" x14ac:dyDescent="0.2">
      <c r="A457" s="4" t="s">
        <v>15</v>
      </c>
      <c r="B457" s="4" t="s">
        <v>25</v>
      </c>
      <c r="C457" s="4"/>
      <c r="D457" s="4"/>
      <c r="E457" s="12" t="s">
        <v>1735</v>
      </c>
      <c r="F457" s="4" t="s">
        <v>15</v>
      </c>
      <c r="G457" s="4" t="s">
        <v>2</v>
      </c>
      <c r="H457" s="4" t="s">
        <v>2</v>
      </c>
      <c r="I457" s="4" t="s">
        <v>2</v>
      </c>
      <c r="J457" s="4"/>
      <c r="L457" s="4"/>
    </row>
    <row r="458" spans="1:12" ht="16" outlineLevel="4" collapsed="1" x14ac:dyDescent="0.2">
      <c r="A458" s="4" t="s">
        <v>15</v>
      </c>
      <c r="B458" s="4" t="s">
        <v>25</v>
      </c>
      <c r="C458" s="4"/>
      <c r="D458" s="4"/>
      <c r="E458" s="12" t="s">
        <v>1688</v>
      </c>
      <c r="F458" s="4" t="s">
        <v>15</v>
      </c>
      <c r="G458" s="4" t="s">
        <v>2</v>
      </c>
      <c r="H458" s="4" t="s">
        <v>2</v>
      </c>
      <c r="I458" s="4" t="s">
        <v>2</v>
      </c>
      <c r="J458" s="4"/>
      <c r="L458" s="4"/>
    </row>
    <row r="459" spans="1:12" ht="16" outlineLevel="4" collapsed="1" x14ac:dyDescent="0.2">
      <c r="A459" s="4" t="s">
        <v>21</v>
      </c>
      <c r="B459" s="4" t="s">
        <v>16</v>
      </c>
      <c r="C459" s="4"/>
      <c r="D459" s="4"/>
      <c r="E459" s="12" t="s">
        <v>482</v>
      </c>
      <c r="F459" s="4" t="s">
        <v>15</v>
      </c>
      <c r="G459" s="4" t="s">
        <v>19</v>
      </c>
      <c r="H459" s="4" t="s">
        <v>2</v>
      </c>
      <c r="I459" s="4" t="s">
        <v>2</v>
      </c>
      <c r="J459" s="4"/>
      <c r="L459" s="4"/>
    </row>
    <row r="460" spans="1:12" ht="16" outlineLevel="4" collapsed="1" x14ac:dyDescent="0.2">
      <c r="A460" s="4" t="s">
        <v>21</v>
      </c>
      <c r="B460" s="4" t="s">
        <v>16</v>
      </c>
      <c r="C460" s="4"/>
      <c r="D460" s="4"/>
      <c r="E460" s="12" t="s">
        <v>483</v>
      </c>
      <c r="F460" s="4" t="s">
        <v>15</v>
      </c>
      <c r="G460" s="4" t="s">
        <v>19</v>
      </c>
      <c r="H460" s="4" t="s">
        <v>2</v>
      </c>
      <c r="I460" s="4" t="s">
        <v>2</v>
      </c>
      <c r="J460" s="4"/>
      <c r="L460" s="4"/>
    </row>
    <row r="461" spans="1:12" ht="48" outlineLevel="4" x14ac:dyDescent="0.2">
      <c r="A461" s="5" t="s">
        <v>21</v>
      </c>
      <c r="B461" t="s">
        <v>1178</v>
      </c>
      <c r="C461" s="11" t="s">
        <v>2327</v>
      </c>
      <c r="D461" s="5"/>
      <c r="E461" s="11" t="s">
        <v>2327</v>
      </c>
      <c r="F461" s="5" t="s">
        <v>21</v>
      </c>
      <c r="G461" s="5" t="s">
        <v>2</v>
      </c>
      <c r="H461" s="5" t="s">
        <v>2</v>
      </c>
      <c r="I461" s="5" t="s">
        <v>2</v>
      </c>
      <c r="J461" s="5"/>
      <c r="L461" s="5"/>
    </row>
    <row r="462" spans="1:12" ht="16" outlineLevel="5" collapsed="1" x14ac:dyDescent="0.2">
      <c r="A462" s="4" t="s">
        <v>21</v>
      </c>
      <c r="B462" s="4" t="s">
        <v>138</v>
      </c>
      <c r="C462" s="4" t="s">
        <v>2</v>
      </c>
      <c r="D462" s="4"/>
      <c r="E462" s="12" t="s">
        <v>1305</v>
      </c>
      <c r="F462" s="4" t="s">
        <v>15</v>
      </c>
      <c r="G462" s="4">
        <v>1</v>
      </c>
      <c r="H462" s="4" t="s">
        <v>2</v>
      </c>
      <c r="I462" s="4" t="s">
        <v>2</v>
      </c>
      <c r="J462" s="4"/>
      <c r="L462" s="4"/>
    </row>
    <row r="463" spans="1:12" ht="16" outlineLevel="5" collapsed="1" x14ac:dyDescent="0.2">
      <c r="A463" s="4" t="s">
        <v>21</v>
      </c>
      <c r="B463" s="4" t="s">
        <v>16</v>
      </c>
      <c r="C463" s="4" t="s">
        <v>2</v>
      </c>
      <c r="D463" s="4"/>
      <c r="E463" s="12" t="s">
        <v>1657</v>
      </c>
      <c r="F463" s="4" t="s">
        <v>15</v>
      </c>
      <c r="G463" s="4" t="s">
        <v>19</v>
      </c>
      <c r="H463" s="4" t="s">
        <v>2</v>
      </c>
      <c r="I463" s="4" t="s">
        <v>2</v>
      </c>
      <c r="J463" s="4"/>
      <c r="L463" s="4"/>
    </row>
    <row r="464" spans="1:12" ht="16" outlineLevel="5" x14ac:dyDescent="0.2">
      <c r="A464" s="4" t="s">
        <v>21</v>
      </c>
      <c r="B464" s="4" t="s">
        <v>138</v>
      </c>
      <c r="C464" s="4"/>
      <c r="D464" s="4"/>
      <c r="E464" s="12" t="s">
        <v>1737</v>
      </c>
      <c r="F464" s="4"/>
      <c r="G464" s="4"/>
      <c r="H464" s="4"/>
      <c r="I464" s="4"/>
      <c r="J464" s="4"/>
      <c r="L464" s="4"/>
    </row>
    <row r="465" spans="1:12" ht="16" outlineLevel="5" collapsed="1" x14ac:dyDescent="0.2">
      <c r="A465" s="4" t="s">
        <v>21</v>
      </c>
      <c r="B465" s="4" t="s">
        <v>138</v>
      </c>
      <c r="C465" s="4" t="s">
        <v>2</v>
      </c>
      <c r="D465" s="4"/>
      <c r="E465" s="12" t="s">
        <v>1738</v>
      </c>
      <c r="F465" s="4" t="s">
        <v>15</v>
      </c>
      <c r="G465" s="4">
        <v>1</v>
      </c>
      <c r="H465" s="4" t="s">
        <v>2</v>
      </c>
      <c r="I465" s="4" t="s">
        <v>2</v>
      </c>
      <c r="J465" s="4"/>
      <c r="L465" s="4"/>
    </row>
    <row r="466" spans="1:12" ht="16" outlineLevel="4" x14ac:dyDescent="0.2">
      <c r="A466" s="4" t="s">
        <v>21</v>
      </c>
      <c r="B466" s="4" t="s">
        <v>16</v>
      </c>
      <c r="C466" s="4" t="s">
        <v>2</v>
      </c>
      <c r="D466" s="4"/>
      <c r="E466" t="s">
        <v>485</v>
      </c>
      <c r="F466" s="4" t="s">
        <v>15</v>
      </c>
      <c r="G466" s="4" t="s">
        <v>19</v>
      </c>
      <c r="H466" s="4" t="s">
        <v>2</v>
      </c>
      <c r="I466" s="4" t="s">
        <v>2</v>
      </c>
      <c r="J466" s="4"/>
      <c r="L466" s="4"/>
    </row>
    <row r="467" spans="1:12" ht="16" outlineLevel="4" collapsed="1" x14ac:dyDescent="0.2">
      <c r="A467" s="4" t="s">
        <v>21</v>
      </c>
      <c r="B467" s="4" t="s">
        <v>16</v>
      </c>
      <c r="C467" s="4" t="s">
        <v>2</v>
      </c>
      <c r="D467" s="4"/>
      <c r="E467" s="12" t="s">
        <v>486</v>
      </c>
      <c r="F467" s="4" t="s">
        <v>15</v>
      </c>
      <c r="G467" s="4" t="s">
        <v>19</v>
      </c>
      <c r="H467" s="4" t="s">
        <v>2</v>
      </c>
      <c r="I467" s="4" t="s">
        <v>2</v>
      </c>
      <c r="J467" s="4"/>
      <c r="L467" s="4"/>
    </row>
    <row r="468" spans="1:12" ht="16" outlineLevel="4" collapsed="1" x14ac:dyDescent="0.2">
      <c r="A468" s="4" t="s">
        <v>21</v>
      </c>
      <c r="B468" s="4" t="s">
        <v>16</v>
      </c>
      <c r="C468" s="4" t="s">
        <v>2</v>
      </c>
      <c r="D468" s="4"/>
      <c r="E468" s="12" t="s">
        <v>487</v>
      </c>
      <c r="F468" s="4" t="s">
        <v>15</v>
      </c>
      <c r="G468" s="4" t="s">
        <v>19</v>
      </c>
      <c r="H468" s="4" t="s">
        <v>2</v>
      </c>
      <c r="I468" s="4" t="s">
        <v>2</v>
      </c>
      <c r="J468" s="4"/>
      <c r="L468" s="4"/>
    </row>
    <row r="469" spans="1:12" ht="16" outlineLevel="2" x14ac:dyDescent="0.2">
      <c r="A469" s="5" t="s">
        <v>15</v>
      </c>
      <c r="B469" t="s">
        <v>1178</v>
      </c>
      <c r="C469" s="5" t="s">
        <v>513</v>
      </c>
      <c r="D469" s="5"/>
      <c r="E469" s="5" t="s">
        <v>513</v>
      </c>
      <c r="F469" s="5" t="s">
        <v>21</v>
      </c>
      <c r="G469" s="5" t="s">
        <v>2</v>
      </c>
      <c r="H469" s="5" t="s">
        <v>2</v>
      </c>
      <c r="I469" s="5" t="s">
        <v>2</v>
      </c>
      <c r="J469" s="5" t="s">
        <v>514</v>
      </c>
      <c r="L469" s="5"/>
    </row>
    <row r="470" spans="1:12" ht="272" outlineLevel="3" collapsed="1" x14ac:dyDescent="0.2">
      <c r="A470" s="4" t="s">
        <v>21</v>
      </c>
      <c r="B470" s="4" t="s">
        <v>16</v>
      </c>
      <c r="C470" s="4" t="s">
        <v>2</v>
      </c>
      <c r="D470" s="4"/>
      <c r="E470" s="12" t="s">
        <v>1172</v>
      </c>
      <c r="F470" s="4" t="s">
        <v>15</v>
      </c>
      <c r="G470" s="4" t="s">
        <v>19</v>
      </c>
      <c r="H470" s="4" t="s">
        <v>2</v>
      </c>
      <c r="I470" s="4" t="s">
        <v>2</v>
      </c>
      <c r="J470" s="4" t="s">
        <v>20</v>
      </c>
      <c r="L470" s="4"/>
    </row>
    <row r="471" spans="1:12" ht="16" outlineLevel="1" x14ac:dyDescent="0.2">
      <c r="A471" s="5" t="s">
        <v>15</v>
      </c>
      <c r="B471" t="s">
        <v>1178</v>
      </c>
      <c r="C471" s="5" t="s">
        <v>2342</v>
      </c>
      <c r="D471" s="5"/>
      <c r="E471" s="65" t="s">
        <v>2342</v>
      </c>
      <c r="F471" s="5" t="s">
        <v>15</v>
      </c>
      <c r="G471" s="5" t="s">
        <v>2</v>
      </c>
      <c r="H471" s="5" t="s">
        <v>2</v>
      </c>
      <c r="I471" s="5" t="s">
        <v>2</v>
      </c>
      <c r="J471" s="5" t="s">
        <v>526</v>
      </c>
      <c r="L471" s="5"/>
    </row>
    <row r="472" spans="1:12" ht="25" outlineLevel="2" x14ac:dyDescent="0.2">
      <c r="A472" s="4" t="s">
        <v>15</v>
      </c>
      <c r="B472" s="4" t="s">
        <v>25</v>
      </c>
      <c r="C472" s="6" t="s">
        <v>365</v>
      </c>
      <c r="D472" s="4"/>
      <c r="E472" s="13" t="s">
        <v>1683</v>
      </c>
      <c r="F472" s="4" t="s">
        <v>15</v>
      </c>
      <c r="G472" s="4" t="s">
        <v>2</v>
      </c>
      <c r="H472" s="4" t="s">
        <v>2</v>
      </c>
      <c r="I472" s="4" t="s">
        <v>2</v>
      </c>
      <c r="J472" s="4"/>
      <c r="L472" s="4"/>
    </row>
    <row r="473" spans="1:12" ht="48" outlineLevel="2" x14ac:dyDescent="0.2">
      <c r="A473" s="5" t="s">
        <v>15</v>
      </c>
      <c r="B473" t="s">
        <v>1178</v>
      </c>
      <c r="C473" s="11" t="s">
        <v>2343</v>
      </c>
      <c r="D473" s="5"/>
      <c r="E473" s="65" t="s">
        <v>2343</v>
      </c>
      <c r="F473" s="5" t="s">
        <v>21</v>
      </c>
      <c r="G473" s="5" t="s">
        <v>2</v>
      </c>
      <c r="H473" s="5" t="s">
        <v>2</v>
      </c>
      <c r="I473" s="5" t="s">
        <v>2</v>
      </c>
      <c r="J473" s="5"/>
      <c r="L473" s="5"/>
    </row>
    <row r="474" spans="1:12" ht="16" outlineLevel="3" collapsed="1" x14ac:dyDescent="0.2">
      <c r="A474" s="4" t="s">
        <v>15</v>
      </c>
      <c r="B474" s="4" t="s">
        <v>16</v>
      </c>
      <c r="C474" s="4" t="s">
        <v>2</v>
      </c>
      <c r="D474" s="4"/>
      <c r="E474" s="12" t="s">
        <v>528</v>
      </c>
      <c r="F474" s="4" t="s">
        <v>15</v>
      </c>
      <c r="G474" s="4" t="s">
        <v>19</v>
      </c>
      <c r="H474" s="4" t="s">
        <v>2</v>
      </c>
      <c r="I474" s="4" t="s">
        <v>2</v>
      </c>
      <c r="J474" s="4"/>
      <c r="L474" s="4"/>
    </row>
    <row r="475" spans="1:12" ht="16" outlineLevel="3" collapsed="1" x14ac:dyDescent="0.2">
      <c r="A475" s="4" t="s">
        <v>15</v>
      </c>
      <c r="B475" s="4" t="s">
        <v>16</v>
      </c>
      <c r="C475" s="4" t="s">
        <v>2</v>
      </c>
      <c r="D475" s="4"/>
      <c r="E475" s="12" t="s">
        <v>529</v>
      </c>
      <c r="F475" s="4" t="s">
        <v>15</v>
      </c>
      <c r="G475" s="4" t="s">
        <v>19</v>
      </c>
      <c r="H475" s="4" t="s">
        <v>2</v>
      </c>
      <c r="I475" s="4" t="s">
        <v>2</v>
      </c>
      <c r="J475" s="4"/>
      <c r="L475" s="4"/>
    </row>
    <row r="476" spans="1:12" ht="16" outlineLevel="3" collapsed="1" x14ac:dyDescent="0.2">
      <c r="A476" s="4" t="s">
        <v>15</v>
      </c>
      <c r="B476" s="4" t="s">
        <v>16</v>
      </c>
      <c r="C476" s="4" t="s">
        <v>2</v>
      </c>
      <c r="D476" s="4"/>
      <c r="E476" s="12" t="s">
        <v>183</v>
      </c>
      <c r="F476" s="4" t="s">
        <v>15</v>
      </c>
      <c r="G476" s="4" t="s">
        <v>19</v>
      </c>
      <c r="H476" s="4" t="s">
        <v>2</v>
      </c>
      <c r="I476" s="4" t="s">
        <v>2</v>
      </c>
      <c r="J476" s="4"/>
      <c r="L476" s="4"/>
    </row>
    <row r="477" spans="1:12" ht="25" outlineLevel="2" collapsed="1" x14ac:dyDescent="0.2">
      <c r="A477" s="17" t="s">
        <v>15</v>
      </c>
      <c r="B477" s="17" t="s">
        <v>25</v>
      </c>
      <c r="C477" s="18" t="s">
        <v>365</v>
      </c>
      <c r="D477" s="17"/>
      <c r="E477" s="19" t="s">
        <v>1682</v>
      </c>
      <c r="F477" s="17" t="s">
        <v>15</v>
      </c>
      <c r="G477" s="17" t="s">
        <v>2</v>
      </c>
      <c r="H477" s="17" t="s">
        <v>2</v>
      </c>
      <c r="I477" s="17" t="s">
        <v>2</v>
      </c>
      <c r="J477" s="17"/>
      <c r="L477" s="17"/>
    </row>
    <row r="478" spans="1:12" ht="16" outlineLevel="2" collapsed="1" x14ac:dyDescent="0.2">
      <c r="A478" s="17" t="s">
        <v>15</v>
      </c>
      <c r="B478" s="17" t="s">
        <v>16</v>
      </c>
      <c r="C478" s="17" t="s">
        <v>2</v>
      </c>
      <c r="D478" s="17"/>
      <c r="E478" s="15" t="s">
        <v>160</v>
      </c>
      <c r="F478" s="17" t="s">
        <v>15</v>
      </c>
      <c r="G478" s="17" t="s">
        <v>19</v>
      </c>
      <c r="H478" s="17" t="s">
        <v>2</v>
      </c>
      <c r="I478" s="17" t="s">
        <v>2</v>
      </c>
      <c r="J478" s="17"/>
      <c r="L478" s="17"/>
    </row>
    <row r="479" spans="1:12" ht="16" outlineLevel="2" x14ac:dyDescent="0.2">
      <c r="A479" s="17"/>
      <c r="B479" s="17" t="s">
        <v>16</v>
      </c>
      <c r="C479" s="17"/>
      <c r="D479" s="17"/>
      <c r="E479" s="15" t="s">
        <v>1</v>
      </c>
      <c r="F479" s="17"/>
      <c r="G479" s="17"/>
      <c r="H479" s="17"/>
      <c r="I479" s="17"/>
      <c r="J479" s="17"/>
      <c r="L479" s="17"/>
    </row>
    <row r="480" spans="1:12" ht="16" outlineLevel="1" x14ac:dyDescent="0.2">
      <c r="A480" s="17" t="s">
        <v>15</v>
      </c>
      <c r="B480" t="s">
        <v>1178</v>
      </c>
      <c r="C480" s="17" t="s">
        <v>2344</v>
      </c>
      <c r="D480" s="17"/>
      <c r="E480" s="66" t="s">
        <v>2344</v>
      </c>
      <c r="F480" s="17" t="s">
        <v>15</v>
      </c>
      <c r="G480" s="17" t="s">
        <v>2</v>
      </c>
      <c r="H480" s="17" t="s">
        <v>2</v>
      </c>
      <c r="I480" s="17" t="s">
        <v>2</v>
      </c>
      <c r="J480" s="17" t="s">
        <v>542</v>
      </c>
      <c r="L480" s="17"/>
    </row>
    <row r="481" spans="1:12" ht="16" outlineLevel="2" collapsed="1" x14ac:dyDescent="0.2">
      <c r="A481" s="17" t="s">
        <v>21</v>
      </c>
      <c r="B481" s="17" t="s">
        <v>96</v>
      </c>
      <c r="C481" s="17" t="s">
        <v>2</v>
      </c>
      <c r="D481" s="17"/>
      <c r="E481" s="17" t="s">
        <v>546</v>
      </c>
      <c r="F481" s="17" t="s">
        <v>15</v>
      </c>
      <c r="G481" s="17" t="s">
        <v>98</v>
      </c>
      <c r="H481" s="17" t="s">
        <v>544</v>
      </c>
      <c r="I481" s="17" t="s">
        <v>544</v>
      </c>
      <c r="J481" s="17" t="s">
        <v>99</v>
      </c>
      <c r="L481" s="17"/>
    </row>
    <row r="482" spans="1:12" ht="16" outlineLevel="2" collapsed="1" x14ac:dyDescent="0.2">
      <c r="A482" s="17" t="s">
        <v>21</v>
      </c>
      <c r="B482" s="17" t="s">
        <v>96</v>
      </c>
      <c r="C482" s="17" t="s">
        <v>2</v>
      </c>
      <c r="D482" s="17"/>
      <c r="E482" s="17" t="s">
        <v>547</v>
      </c>
      <c r="F482" s="17" t="s">
        <v>15</v>
      </c>
      <c r="G482" s="17" t="s">
        <v>98</v>
      </c>
      <c r="H482" s="17" t="s">
        <v>544</v>
      </c>
      <c r="I482" s="17" t="s">
        <v>544</v>
      </c>
      <c r="J482" s="17" t="s">
        <v>101</v>
      </c>
      <c r="L482" s="17"/>
    </row>
  </sheetData>
  <dataValidations count="1">
    <dataValidation type="list" allowBlank="1" sqref="G94:J96 G91:J91 G88:J88 G84:J84 G81:J81 G72:J72 G7:J7 G66:J66 G56:J56 G26:J26 G246:J246 G23:J23" xr:uid="{00000000-0002-0000-0200-000005000000}">
      <formula1>#REF!</formula1>
    </dataValidation>
  </dataValidation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305"/>
  <sheetViews>
    <sheetView workbookViewId="0"/>
  </sheetViews>
  <sheetFormatPr baseColWidth="10" defaultColWidth="8.83203125" defaultRowHeight="15" outlineLevelRow="3" x14ac:dyDescent="0.2"/>
  <cols>
    <col min="1" max="1" width="20" customWidth="1"/>
    <col min="2" max="2" width="22.33203125" customWidth="1"/>
    <col min="3" max="3" width="20" customWidth="1"/>
    <col min="4" max="4" width="32" customWidth="1"/>
    <col min="5" max="5" width="70" customWidth="1"/>
    <col min="6" max="6" width="20" customWidth="1"/>
    <col min="7" max="7" width="30" customWidth="1"/>
    <col min="8" max="10" width="50" customWidth="1"/>
  </cols>
  <sheetData>
    <row r="1" spans="1:10" ht="19" x14ac:dyDescent="0.25">
      <c r="A1" s="1" t="s">
        <v>558</v>
      </c>
      <c r="B1" s="40"/>
      <c r="C1" s="40"/>
      <c r="D1" s="40"/>
      <c r="E1" s="40"/>
      <c r="F1" s="40"/>
      <c r="G1" s="40"/>
      <c r="H1" s="40"/>
      <c r="I1" s="40"/>
      <c r="J1" s="40"/>
    </row>
    <row r="2" spans="1:10" ht="27" customHeight="1" x14ac:dyDescent="0.25">
      <c r="A2" s="1" t="s">
        <v>1</v>
      </c>
      <c r="B2" s="41" t="s">
        <v>2</v>
      </c>
      <c r="C2" s="41"/>
      <c r="D2" s="41"/>
      <c r="E2" s="41"/>
      <c r="F2" s="41"/>
      <c r="G2" s="41"/>
      <c r="H2" s="41"/>
      <c r="I2" s="41"/>
      <c r="J2" s="41"/>
    </row>
    <row r="3" spans="1:10" ht="19" x14ac:dyDescent="0.25">
      <c r="A3" s="1" t="s">
        <v>3</v>
      </c>
      <c r="B3" s="24" t="s">
        <v>4</v>
      </c>
      <c r="C3" s="25"/>
      <c r="D3" s="26"/>
      <c r="E3" s="25"/>
      <c r="F3" s="25"/>
      <c r="G3" s="25"/>
      <c r="H3" s="25"/>
      <c r="I3" s="25"/>
      <c r="J3" s="25"/>
    </row>
    <row r="4" spans="1:10" ht="21" customHeight="1" x14ac:dyDescent="0.25">
      <c r="A4" s="2" t="s">
        <v>5</v>
      </c>
      <c r="B4" s="2" t="s">
        <v>6</v>
      </c>
      <c r="C4" s="2" t="s">
        <v>7</v>
      </c>
      <c r="D4" s="2" t="s">
        <v>14</v>
      </c>
      <c r="E4" s="2" t="s">
        <v>1</v>
      </c>
      <c r="F4" s="2" t="s">
        <v>8</v>
      </c>
      <c r="G4" s="2" t="s">
        <v>10</v>
      </c>
      <c r="H4" s="2" t="s">
        <v>11</v>
      </c>
      <c r="I4" s="2" t="s">
        <v>12</v>
      </c>
      <c r="J4" s="2" t="s">
        <v>13</v>
      </c>
    </row>
    <row r="5" spans="1:10" ht="16" x14ac:dyDescent="0.2">
      <c r="A5" s="3" t="s">
        <v>21</v>
      </c>
      <c r="B5" s="3" t="s">
        <v>16</v>
      </c>
      <c r="C5" s="3" t="s">
        <v>2</v>
      </c>
      <c r="D5" s="3" t="s">
        <v>79</v>
      </c>
      <c r="E5" s="3" t="s">
        <v>78</v>
      </c>
      <c r="F5" s="3"/>
      <c r="G5" s="3" t="s">
        <v>15</v>
      </c>
      <c r="H5" s="3" t="s">
        <v>19</v>
      </c>
      <c r="I5" s="3" t="s">
        <v>2</v>
      </c>
      <c r="J5" s="3" t="s">
        <v>2</v>
      </c>
    </row>
    <row r="6" spans="1:10" ht="16" x14ac:dyDescent="0.2">
      <c r="A6" s="3" t="s">
        <v>21</v>
      </c>
      <c r="B6" s="3" t="s">
        <v>16</v>
      </c>
      <c r="C6" s="3" t="s">
        <v>2</v>
      </c>
      <c r="D6" s="3" t="s">
        <v>81</v>
      </c>
      <c r="E6" s="3" t="s">
        <v>80</v>
      </c>
      <c r="F6" s="3"/>
      <c r="G6" s="3" t="s">
        <v>15</v>
      </c>
      <c r="H6" s="3" t="s">
        <v>19</v>
      </c>
      <c r="I6" s="3" t="s">
        <v>2</v>
      </c>
      <c r="J6" s="3" t="s">
        <v>2</v>
      </c>
    </row>
    <row r="7" spans="1:10" ht="16" x14ac:dyDescent="0.2">
      <c r="A7" s="3" t="s">
        <v>21</v>
      </c>
      <c r="B7" s="3" t="s">
        <v>22</v>
      </c>
      <c r="C7" t="s">
        <v>1313</v>
      </c>
      <c r="D7" s="3" t="s">
        <v>2031</v>
      </c>
      <c r="E7" s="3" t="s">
        <v>559</v>
      </c>
      <c r="F7" s="3"/>
      <c r="G7" s="3" t="s">
        <v>15</v>
      </c>
      <c r="H7" s="3" t="s">
        <v>83</v>
      </c>
      <c r="I7" s="3" t="s">
        <v>2</v>
      </c>
      <c r="J7" s="3" t="s">
        <v>2</v>
      </c>
    </row>
    <row r="8" spans="1:10" ht="16" x14ac:dyDescent="0.2">
      <c r="A8" s="3" t="s">
        <v>15</v>
      </c>
      <c r="B8" t="s">
        <v>1178</v>
      </c>
      <c r="C8" s="3" t="s">
        <v>560</v>
      </c>
      <c r="D8" s="3" t="s">
        <v>2032</v>
      </c>
      <c r="E8" s="3" t="s">
        <v>560</v>
      </c>
      <c r="F8" s="3" t="b">
        <f>EXACT(H7,"VCS v4.4")</f>
        <v>1</v>
      </c>
      <c r="G8" s="3" t="s">
        <v>15</v>
      </c>
      <c r="H8" s="3" t="s">
        <v>2</v>
      </c>
      <c r="I8" s="3" t="s">
        <v>2</v>
      </c>
      <c r="J8" s="3" t="s">
        <v>2</v>
      </c>
    </row>
    <row r="9" spans="1:10" ht="16" outlineLevel="1" collapsed="1" x14ac:dyDescent="0.2">
      <c r="A9" s="4" t="s">
        <v>21</v>
      </c>
      <c r="B9" s="4" t="s">
        <v>16</v>
      </c>
      <c r="C9" s="4" t="s">
        <v>2</v>
      </c>
      <c r="D9" s="4" t="s">
        <v>90</v>
      </c>
      <c r="E9" s="4" t="s">
        <v>89</v>
      </c>
      <c r="F9" s="4"/>
      <c r="G9" s="4" t="s">
        <v>15</v>
      </c>
      <c r="H9" s="4" t="s">
        <v>561</v>
      </c>
      <c r="I9" s="4" t="s">
        <v>2</v>
      </c>
      <c r="J9" s="4" t="s">
        <v>2</v>
      </c>
    </row>
    <row r="10" spans="1:10" ht="16" outlineLevel="1" collapsed="1" x14ac:dyDescent="0.2">
      <c r="A10" s="4" t="s">
        <v>21</v>
      </c>
      <c r="B10" s="4" t="s">
        <v>16</v>
      </c>
      <c r="C10" s="4" t="s">
        <v>2</v>
      </c>
      <c r="D10" s="4" t="s">
        <v>563</v>
      </c>
      <c r="E10" s="4" t="s">
        <v>562</v>
      </c>
      <c r="F10" s="4"/>
      <c r="G10" s="4" t="s">
        <v>15</v>
      </c>
      <c r="H10" s="4" t="s">
        <v>562</v>
      </c>
      <c r="I10" s="4" t="s">
        <v>2</v>
      </c>
      <c r="J10" s="4" t="s">
        <v>2</v>
      </c>
    </row>
    <row r="11" spans="1:10" ht="16" outlineLevel="1" collapsed="1" x14ac:dyDescent="0.2">
      <c r="A11" s="4" t="s">
        <v>21</v>
      </c>
      <c r="B11" s="4" t="s">
        <v>16</v>
      </c>
      <c r="C11" s="4" t="s">
        <v>2</v>
      </c>
      <c r="D11" s="4" t="s">
        <v>565</v>
      </c>
      <c r="E11" s="4" t="s">
        <v>564</v>
      </c>
      <c r="F11" s="4"/>
      <c r="G11" s="4" t="s">
        <v>15</v>
      </c>
      <c r="H11" s="4" t="s">
        <v>564</v>
      </c>
      <c r="I11" s="4" t="s">
        <v>2</v>
      </c>
      <c r="J11" s="4" t="s">
        <v>2</v>
      </c>
    </row>
    <row r="12" spans="1:10" ht="16" outlineLevel="1" x14ac:dyDescent="0.2">
      <c r="A12" s="5" t="s">
        <v>21</v>
      </c>
      <c r="B12" t="s">
        <v>1178</v>
      </c>
      <c r="C12" s="5" t="s">
        <v>566</v>
      </c>
      <c r="D12" s="5" t="s">
        <v>189</v>
      </c>
      <c r="E12" s="5" t="s">
        <v>566</v>
      </c>
      <c r="F12" s="5"/>
      <c r="G12" s="5" t="s">
        <v>15</v>
      </c>
      <c r="H12" s="5" t="s">
        <v>2</v>
      </c>
      <c r="I12" s="5" t="s">
        <v>2</v>
      </c>
      <c r="J12" s="5" t="s">
        <v>2</v>
      </c>
    </row>
    <row r="13" spans="1:10" ht="16" outlineLevel="2" collapsed="1" x14ac:dyDescent="0.2">
      <c r="A13" s="4" t="s">
        <v>21</v>
      </c>
      <c r="B13" s="4" t="s">
        <v>96</v>
      </c>
      <c r="C13" s="4" t="s">
        <v>2</v>
      </c>
      <c r="D13" s="4" t="s">
        <v>99</v>
      </c>
      <c r="E13" s="4" t="s">
        <v>97</v>
      </c>
      <c r="F13" s="4"/>
      <c r="G13" s="4" t="s">
        <v>15</v>
      </c>
      <c r="H13" s="4" t="s">
        <v>98</v>
      </c>
      <c r="I13" s="4" t="s">
        <v>2</v>
      </c>
      <c r="J13" s="4" t="s">
        <v>2</v>
      </c>
    </row>
    <row r="14" spans="1:10" ht="16" outlineLevel="2" collapsed="1" x14ac:dyDescent="0.2">
      <c r="A14" s="4" t="s">
        <v>21</v>
      </c>
      <c r="B14" s="4" t="s">
        <v>96</v>
      </c>
      <c r="C14" s="4" t="s">
        <v>2</v>
      </c>
      <c r="D14" s="4" t="s">
        <v>101</v>
      </c>
      <c r="E14" s="4" t="s">
        <v>100</v>
      </c>
      <c r="F14" s="4"/>
      <c r="G14" s="4" t="s">
        <v>15</v>
      </c>
      <c r="H14" s="4" t="s">
        <v>98</v>
      </c>
      <c r="I14" s="4" t="s">
        <v>2</v>
      </c>
      <c r="J14" s="4" t="s">
        <v>2</v>
      </c>
    </row>
    <row r="15" spans="1:10" ht="16" outlineLevel="1" collapsed="1" x14ac:dyDescent="0.2">
      <c r="A15" s="4" t="s">
        <v>21</v>
      </c>
      <c r="B15" s="4" t="s">
        <v>96</v>
      </c>
      <c r="C15" s="4" t="s">
        <v>2</v>
      </c>
      <c r="D15" s="4" t="s">
        <v>103</v>
      </c>
      <c r="E15" s="4" t="s">
        <v>102</v>
      </c>
      <c r="F15" s="4"/>
      <c r="G15" s="4" t="s">
        <v>15</v>
      </c>
      <c r="H15" s="4" t="s">
        <v>98</v>
      </c>
      <c r="I15" s="4" t="s">
        <v>2</v>
      </c>
      <c r="J15" s="4" t="s">
        <v>2</v>
      </c>
    </row>
    <row r="16" spans="1:10" ht="16" outlineLevel="1" collapsed="1" x14ac:dyDescent="0.2">
      <c r="A16" s="4" t="s">
        <v>21</v>
      </c>
      <c r="B16" s="4" t="s">
        <v>96</v>
      </c>
      <c r="C16" s="4" t="s">
        <v>2</v>
      </c>
      <c r="D16" s="4" t="s">
        <v>105</v>
      </c>
      <c r="E16" s="4" t="s">
        <v>104</v>
      </c>
      <c r="F16" s="4"/>
      <c r="G16" s="4" t="s">
        <v>15</v>
      </c>
      <c r="H16" s="4" t="s">
        <v>98</v>
      </c>
      <c r="I16" s="4" t="s">
        <v>2</v>
      </c>
      <c r="J16" s="4" t="s">
        <v>2</v>
      </c>
    </row>
    <row r="17" spans="1:10" ht="16" outlineLevel="1" collapsed="1" x14ac:dyDescent="0.2">
      <c r="A17" s="4" t="s">
        <v>21</v>
      </c>
      <c r="B17" s="4" t="s">
        <v>16</v>
      </c>
      <c r="C17" s="4" t="s">
        <v>2</v>
      </c>
      <c r="D17" s="4" t="s">
        <v>108</v>
      </c>
      <c r="E17" s="4" t="s">
        <v>106</v>
      </c>
      <c r="F17" s="4"/>
      <c r="G17" s="4" t="s">
        <v>15</v>
      </c>
      <c r="H17" s="4" t="s">
        <v>106</v>
      </c>
      <c r="I17" s="4" t="s">
        <v>2</v>
      </c>
      <c r="J17" s="4" t="s">
        <v>2</v>
      </c>
    </row>
    <row r="18" spans="1:10" ht="16" outlineLevel="1" collapsed="1" x14ac:dyDescent="0.2">
      <c r="A18" s="4" t="s">
        <v>21</v>
      </c>
      <c r="B18" s="4" t="s">
        <v>22</v>
      </c>
      <c r="C18" s="8" t="s">
        <v>567</v>
      </c>
      <c r="D18" s="4" t="s">
        <v>111</v>
      </c>
      <c r="E18" s="4" t="s">
        <v>567</v>
      </c>
      <c r="F18" s="4"/>
      <c r="G18" s="4" t="s">
        <v>15</v>
      </c>
      <c r="H18" s="4" t="s">
        <v>568</v>
      </c>
      <c r="I18" s="4" t="s">
        <v>2</v>
      </c>
      <c r="J18" s="4" t="s">
        <v>2</v>
      </c>
    </row>
    <row r="19" spans="1:10" ht="16" outlineLevel="1" collapsed="1" x14ac:dyDescent="0.2">
      <c r="A19" s="4" t="s">
        <v>21</v>
      </c>
      <c r="B19" s="4" t="s">
        <v>16</v>
      </c>
      <c r="C19" s="4" t="s">
        <v>2</v>
      </c>
      <c r="D19" s="4" t="s">
        <v>570</v>
      </c>
      <c r="E19" s="4" t="s">
        <v>569</v>
      </c>
      <c r="F19" s="4"/>
      <c r="G19" s="4" t="s">
        <v>15</v>
      </c>
      <c r="H19" s="4" t="s">
        <v>569</v>
      </c>
      <c r="I19" s="4" t="s">
        <v>2</v>
      </c>
      <c r="J19" s="4" t="s">
        <v>2</v>
      </c>
    </row>
    <row r="20" spans="1:10" ht="16" outlineLevel="1" collapsed="1" x14ac:dyDescent="0.2">
      <c r="A20" s="4" t="s">
        <v>21</v>
      </c>
      <c r="B20" s="4" t="s">
        <v>16</v>
      </c>
      <c r="C20" s="4" t="s">
        <v>2</v>
      </c>
      <c r="D20" s="4" t="s">
        <v>114</v>
      </c>
      <c r="E20" s="4" t="s">
        <v>112</v>
      </c>
      <c r="F20" s="4"/>
      <c r="G20" s="4" t="s">
        <v>15</v>
      </c>
      <c r="H20" s="4" t="s">
        <v>112</v>
      </c>
      <c r="I20" s="4" t="s">
        <v>2</v>
      </c>
      <c r="J20" s="4" t="s">
        <v>2</v>
      </c>
    </row>
    <row r="21" spans="1:10" ht="16" outlineLevel="1" collapsed="1" x14ac:dyDescent="0.2">
      <c r="A21" s="4" t="s">
        <v>21</v>
      </c>
      <c r="B21" s="4" t="s">
        <v>16</v>
      </c>
      <c r="C21" s="4" t="s">
        <v>2</v>
      </c>
      <c r="D21" s="4" t="s">
        <v>572</v>
      </c>
      <c r="E21" s="4" t="s">
        <v>571</v>
      </c>
      <c r="F21" s="4"/>
      <c r="G21" s="4" t="s">
        <v>15</v>
      </c>
      <c r="H21" s="4" t="s">
        <v>571</v>
      </c>
      <c r="I21" s="4" t="s">
        <v>2</v>
      </c>
      <c r="J21" s="4" t="s">
        <v>2</v>
      </c>
    </row>
    <row r="22" spans="1:10" ht="16" outlineLevel="1" collapsed="1" x14ac:dyDescent="0.2">
      <c r="A22" s="4" t="s">
        <v>21</v>
      </c>
      <c r="B22" s="4" t="s">
        <v>16</v>
      </c>
      <c r="C22" s="4" t="s">
        <v>2</v>
      </c>
      <c r="D22" s="4" t="s">
        <v>574</v>
      </c>
      <c r="E22" s="4" t="s">
        <v>573</v>
      </c>
      <c r="F22" s="4"/>
      <c r="G22" s="4" t="s">
        <v>15</v>
      </c>
      <c r="H22" s="4" t="s">
        <v>573</v>
      </c>
      <c r="I22" s="4" t="s">
        <v>2</v>
      </c>
      <c r="J22" s="4" t="s">
        <v>2</v>
      </c>
    </row>
    <row r="23" spans="1:10" ht="16" outlineLevel="1" collapsed="1" x14ac:dyDescent="0.2">
      <c r="A23" s="4" t="s">
        <v>21</v>
      </c>
      <c r="B23" s="4" t="s">
        <v>16</v>
      </c>
      <c r="C23" s="4" t="s">
        <v>2</v>
      </c>
      <c r="D23" s="4" t="s">
        <v>778</v>
      </c>
      <c r="E23" s="4" t="s">
        <v>575</v>
      </c>
      <c r="F23" s="4"/>
      <c r="G23" s="4" t="s">
        <v>15</v>
      </c>
      <c r="H23" s="4" t="s">
        <v>575</v>
      </c>
      <c r="I23" s="4" t="s">
        <v>2</v>
      </c>
      <c r="J23" s="4" t="s">
        <v>2</v>
      </c>
    </row>
    <row r="24" spans="1:10" ht="16" outlineLevel="1" collapsed="1" x14ac:dyDescent="0.2">
      <c r="A24" s="4" t="s">
        <v>15</v>
      </c>
      <c r="B24" s="4" t="s">
        <v>25</v>
      </c>
      <c r="C24" s="4" t="s">
        <v>2</v>
      </c>
      <c r="D24" s="4"/>
      <c r="E24" s="4" t="s">
        <v>576</v>
      </c>
      <c r="F24" s="4"/>
      <c r="G24" s="4" t="s">
        <v>15</v>
      </c>
      <c r="H24" s="4" t="s">
        <v>2</v>
      </c>
      <c r="I24" s="4" t="s">
        <v>2</v>
      </c>
      <c r="J24" s="4" t="s">
        <v>2</v>
      </c>
    </row>
    <row r="25" spans="1:10" ht="16" outlineLevel="1" collapsed="1" x14ac:dyDescent="0.2">
      <c r="A25" s="4" t="s">
        <v>21</v>
      </c>
      <c r="B25" s="4" t="s">
        <v>16</v>
      </c>
      <c r="C25" s="4" t="s">
        <v>2</v>
      </c>
      <c r="D25" s="4" t="s">
        <v>578</v>
      </c>
      <c r="E25" s="4" t="s">
        <v>577</v>
      </c>
      <c r="F25" s="4"/>
      <c r="G25" s="4" t="s">
        <v>15</v>
      </c>
      <c r="H25" s="4" t="s">
        <v>577</v>
      </c>
      <c r="I25" s="4" t="s">
        <v>2</v>
      </c>
      <c r="J25" s="4" t="s">
        <v>2</v>
      </c>
    </row>
    <row r="26" spans="1:10" ht="16" outlineLevel="1" collapsed="1" x14ac:dyDescent="0.2">
      <c r="A26" s="4" t="s">
        <v>21</v>
      </c>
      <c r="B26" s="4" t="s">
        <v>16</v>
      </c>
      <c r="C26" s="4" t="s">
        <v>2</v>
      </c>
      <c r="D26" s="4" t="s">
        <v>580</v>
      </c>
      <c r="E26" s="4" t="s">
        <v>579</v>
      </c>
      <c r="F26" s="4"/>
      <c r="G26" s="4" t="s">
        <v>15</v>
      </c>
      <c r="H26" s="4" t="s">
        <v>579</v>
      </c>
      <c r="I26" s="4" t="s">
        <v>2</v>
      </c>
      <c r="J26" s="4" t="s">
        <v>2</v>
      </c>
    </row>
    <row r="27" spans="1:10" ht="16" outlineLevel="1" collapsed="1" x14ac:dyDescent="0.2">
      <c r="A27" s="4" t="s">
        <v>21</v>
      </c>
      <c r="B27" s="4" t="s">
        <v>16</v>
      </c>
      <c r="C27" s="4" t="s">
        <v>2</v>
      </c>
      <c r="D27" s="4" t="s">
        <v>582</v>
      </c>
      <c r="E27" s="4" t="s">
        <v>581</v>
      </c>
      <c r="F27" s="4"/>
      <c r="G27" s="4" t="s">
        <v>15</v>
      </c>
      <c r="H27" s="4" t="s">
        <v>581</v>
      </c>
      <c r="I27" s="4" t="s">
        <v>2</v>
      </c>
      <c r="J27" s="4" t="s">
        <v>2</v>
      </c>
    </row>
    <row r="28" spans="1:10" ht="16" outlineLevel="1" collapsed="1" x14ac:dyDescent="0.2">
      <c r="A28" s="4" t="s">
        <v>21</v>
      </c>
      <c r="B28" s="4" t="s">
        <v>16</v>
      </c>
      <c r="C28" s="4" t="s">
        <v>2</v>
      </c>
      <c r="D28" s="4" t="s">
        <v>119</v>
      </c>
      <c r="E28" s="4" t="s">
        <v>583</v>
      </c>
      <c r="F28" s="4"/>
      <c r="G28" s="4" t="s">
        <v>15</v>
      </c>
      <c r="H28" s="4" t="s">
        <v>583</v>
      </c>
      <c r="I28" s="4" t="s">
        <v>2</v>
      </c>
      <c r="J28" s="4" t="s">
        <v>2</v>
      </c>
    </row>
    <row r="29" spans="1:10" ht="16" outlineLevel="1" collapsed="1" x14ac:dyDescent="0.2">
      <c r="A29" s="4" t="s">
        <v>15</v>
      </c>
      <c r="B29" s="4" t="s">
        <v>25</v>
      </c>
      <c r="C29" s="4" t="s">
        <v>2</v>
      </c>
      <c r="D29" s="4"/>
      <c r="E29" s="4" t="s">
        <v>584</v>
      </c>
      <c r="F29" s="4"/>
      <c r="G29" s="4" t="s">
        <v>15</v>
      </c>
      <c r="H29" s="4" t="s">
        <v>2</v>
      </c>
      <c r="I29" s="4" t="s">
        <v>2</v>
      </c>
      <c r="J29" s="4" t="s">
        <v>2</v>
      </c>
    </row>
    <row r="30" spans="1:10" ht="16" outlineLevel="1" collapsed="1" x14ac:dyDescent="0.2">
      <c r="A30" s="4" t="s">
        <v>21</v>
      </c>
      <c r="B30" s="4" t="s">
        <v>16</v>
      </c>
      <c r="C30" s="4" t="s">
        <v>2</v>
      </c>
      <c r="D30" s="4" t="s">
        <v>586</v>
      </c>
      <c r="E30" s="4" t="s">
        <v>585</v>
      </c>
      <c r="F30" s="4"/>
      <c r="G30" s="4" t="s">
        <v>15</v>
      </c>
      <c r="H30" s="4" t="s">
        <v>585</v>
      </c>
      <c r="I30" s="4" t="s">
        <v>2</v>
      </c>
      <c r="J30" s="4" t="s">
        <v>2</v>
      </c>
    </row>
    <row r="31" spans="1:10" ht="16" outlineLevel="1" collapsed="1" x14ac:dyDescent="0.2">
      <c r="A31" s="4" t="s">
        <v>21</v>
      </c>
      <c r="B31" s="4" t="s">
        <v>16</v>
      </c>
      <c r="C31" s="4" t="s">
        <v>2</v>
      </c>
      <c r="D31" s="4" t="s">
        <v>588</v>
      </c>
      <c r="E31" s="4" t="s">
        <v>587</v>
      </c>
      <c r="F31" s="4"/>
      <c r="G31" s="4" t="s">
        <v>15</v>
      </c>
      <c r="H31" s="4" t="s">
        <v>587</v>
      </c>
      <c r="I31" s="4" t="s">
        <v>2</v>
      </c>
      <c r="J31" s="4" t="s">
        <v>2</v>
      </c>
    </row>
    <row r="32" spans="1:10" ht="16" outlineLevel="1" collapsed="1" x14ac:dyDescent="0.2">
      <c r="A32" s="4" t="s">
        <v>21</v>
      </c>
      <c r="B32" s="4" t="s">
        <v>16</v>
      </c>
      <c r="C32" s="4" t="s">
        <v>2</v>
      </c>
      <c r="D32" s="4" t="s">
        <v>590</v>
      </c>
      <c r="E32" s="4" t="s">
        <v>589</v>
      </c>
      <c r="F32" s="4"/>
      <c r="G32" s="4" t="s">
        <v>15</v>
      </c>
      <c r="H32" s="4" t="s">
        <v>589</v>
      </c>
      <c r="I32" s="4" t="s">
        <v>2</v>
      </c>
      <c r="J32" s="4" t="s">
        <v>2</v>
      </c>
    </row>
    <row r="33" spans="1:10" ht="16" outlineLevel="1" collapsed="1" x14ac:dyDescent="0.2">
      <c r="A33" s="4" t="s">
        <v>21</v>
      </c>
      <c r="B33" s="4" t="s">
        <v>16</v>
      </c>
      <c r="C33" s="4" t="s">
        <v>2</v>
      </c>
      <c r="D33" s="4" t="s">
        <v>592</v>
      </c>
      <c r="E33" s="4" t="s">
        <v>591</v>
      </c>
      <c r="F33" s="4"/>
      <c r="G33" s="4" t="s">
        <v>15</v>
      </c>
      <c r="H33" s="4" t="s">
        <v>591</v>
      </c>
      <c r="I33" s="4" t="s">
        <v>2</v>
      </c>
      <c r="J33" s="4" t="s">
        <v>2</v>
      </c>
    </row>
    <row r="34" spans="1:10" ht="16" outlineLevel="1" collapsed="1" x14ac:dyDescent="0.2">
      <c r="A34" s="4" t="s">
        <v>21</v>
      </c>
      <c r="B34" s="4" t="s">
        <v>16</v>
      </c>
      <c r="C34" s="4" t="s">
        <v>2</v>
      </c>
      <c r="D34" s="4" t="s">
        <v>594</v>
      </c>
      <c r="E34" s="4" t="s">
        <v>593</v>
      </c>
      <c r="F34" s="4"/>
      <c r="G34" s="4" t="s">
        <v>15</v>
      </c>
      <c r="H34" s="4" t="s">
        <v>593</v>
      </c>
      <c r="I34" s="4" t="s">
        <v>2</v>
      </c>
      <c r="J34" s="4" t="s">
        <v>2</v>
      </c>
    </row>
    <row r="35" spans="1:10" ht="16" outlineLevel="1" collapsed="1" x14ac:dyDescent="0.2">
      <c r="A35" s="4" t="s">
        <v>21</v>
      </c>
      <c r="B35" s="4" t="s">
        <v>16</v>
      </c>
      <c r="C35" s="4" t="s">
        <v>2</v>
      </c>
      <c r="D35" s="4" t="s">
        <v>596</v>
      </c>
      <c r="E35" s="4" t="s">
        <v>595</v>
      </c>
      <c r="F35" s="4"/>
      <c r="G35" s="4" t="s">
        <v>15</v>
      </c>
      <c r="H35" s="4" t="s">
        <v>595</v>
      </c>
      <c r="I35" s="4" t="s">
        <v>2</v>
      </c>
      <c r="J35" s="4" t="s">
        <v>2</v>
      </c>
    </row>
    <row r="36" spans="1:10" ht="16" outlineLevel="1" collapsed="1" x14ac:dyDescent="0.2">
      <c r="A36" s="4" t="s">
        <v>15</v>
      </c>
      <c r="B36" s="4" t="s">
        <v>25</v>
      </c>
      <c r="C36" s="4" t="s">
        <v>2</v>
      </c>
      <c r="D36" s="4"/>
      <c r="E36" s="4" t="s">
        <v>597</v>
      </c>
      <c r="F36" s="4"/>
      <c r="G36" s="4" t="s">
        <v>15</v>
      </c>
      <c r="H36" s="4" t="s">
        <v>2</v>
      </c>
      <c r="I36" s="4" t="s">
        <v>2</v>
      </c>
      <c r="J36" s="4" t="s">
        <v>2</v>
      </c>
    </row>
    <row r="37" spans="1:10" ht="16" outlineLevel="1" collapsed="1" x14ac:dyDescent="0.2">
      <c r="A37" s="4" t="s">
        <v>15</v>
      </c>
      <c r="B37" s="4" t="s">
        <v>25</v>
      </c>
      <c r="C37" s="4" t="s">
        <v>2</v>
      </c>
      <c r="D37" s="4"/>
      <c r="E37" s="4" t="s">
        <v>598</v>
      </c>
      <c r="F37" s="4"/>
      <c r="G37" s="4" t="s">
        <v>15</v>
      </c>
      <c r="H37" s="4" t="s">
        <v>2</v>
      </c>
      <c r="I37" s="4" t="s">
        <v>2</v>
      </c>
      <c r="J37" s="4" t="s">
        <v>2</v>
      </c>
    </row>
    <row r="38" spans="1:10" ht="16" outlineLevel="1" collapsed="1" x14ac:dyDescent="0.2">
      <c r="A38" s="4" t="s">
        <v>21</v>
      </c>
      <c r="B38" s="4" t="s">
        <v>16</v>
      </c>
      <c r="C38" s="4" t="s">
        <v>2</v>
      </c>
      <c r="D38" s="4" t="s">
        <v>121</v>
      </c>
      <c r="E38" s="4" t="s">
        <v>599</v>
      </c>
      <c r="F38" s="4"/>
      <c r="G38" s="4" t="s">
        <v>15</v>
      </c>
      <c r="H38" s="4" t="s">
        <v>599</v>
      </c>
      <c r="I38" s="4" t="s">
        <v>2</v>
      </c>
      <c r="J38" s="4" t="s">
        <v>2</v>
      </c>
    </row>
    <row r="39" spans="1:10" ht="16" outlineLevel="1" collapsed="1" x14ac:dyDescent="0.2">
      <c r="A39" s="4" t="s">
        <v>21</v>
      </c>
      <c r="B39" s="4" t="s">
        <v>16</v>
      </c>
      <c r="C39" s="4" t="s">
        <v>2</v>
      </c>
      <c r="D39" s="4" t="s">
        <v>145</v>
      </c>
      <c r="E39" s="4" t="s">
        <v>600</v>
      </c>
      <c r="F39" s="4"/>
      <c r="G39" s="4" t="s">
        <v>15</v>
      </c>
      <c r="H39" s="4" t="s">
        <v>600</v>
      </c>
      <c r="I39" s="4" t="s">
        <v>2</v>
      </c>
      <c r="J39" s="4" t="s">
        <v>2</v>
      </c>
    </row>
    <row r="40" spans="1:10" ht="16" outlineLevel="1" collapsed="1" x14ac:dyDescent="0.2">
      <c r="A40" s="4" t="s">
        <v>21</v>
      </c>
      <c r="B40" s="4" t="s">
        <v>16</v>
      </c>
      <c r="C40" s="4" t="s">
        <v>2</v>
      </c>
      <c r="D40" s="4" t="s">
        <v>602</v>
      </c>
      <c r="E40" s="4" t="s">
        <v>601</v>
      </c>
      <c r="F40" s="4"/>
      <c r="G40" s="4" t="s">
        <v>15</v>
      </c>
      <c r="H40" s="4" t="s">
        <v>601</v>
      </c>
      <c r="I40" s="4" t="s">
        <v>2</v>
      </c>
      <c r="J40" s="4" t="s">
        <v>2</v>
      </c>
    </row>
    <row r="41" spans="1:10" ht="16" outlineLevel="1" collapsed="1" x14ac:dyDescent="0.2">
      <c r="A41" s="4" t="s">
        <v>21</v>
      </c>
      <c r="B41" s="4" t="s">
        <v>16</v>
      </c>
      <c r="C41" s="4" t="s">
        <v>2</v>
      </c>
      <c r="D41" s="4" t="s">
        <v>604</v>
      </c>
      <c r="E41" s="4" t="s">
        <v>603</v>
      </c>
      <c r="F41" s="4"/>
      <c r="G41" s="4" t="s">
        <v>15</v>
      </c>
      <c r="H41" s="4" t="s">
        <v>603</v>
      </c>
      <c r="I41" s="4" t="s">
        <v>2</v>
      </c>
      <c r="J41" s="4" t="s">
        <v>2</v>
      </c>
    </row>
    <row r="42" spans="1:10" ht="32" outlineLevel="1" collapsed="1" x14ac:dyDescent="0.2">
      <c r="A42" s="4" t="s">
        <v>21</v>
      </c>
      <c r="B42" s="4" t="s">
        <v>16</v>
      </c>
      <c r="C42" s="4" t="s">
        <v>2</v>
      </c>
      <c r="D42" s="4" t="s">
        <v>606</v>
      </c>
      <c r="E42" s="4" t="s">
        <v>605</v>
      </c>
      <c r="F42" s="4"/>
      <c r="G42" s="4" t="s">
        <v>15</v>
      </c>
      <c r="H42" s="4" t="s">
        <v>605</v>
      </c>
      <c r="I42" s="4" t="s">
        <v>2</v>
      </c>
      <c r="J42" s="4" t="s">
        <v>2</v>
      </c>
    </row>
    <row r="43" spans="1:10" ht="16" outlineLevel="1" collapsed="1" x14ac:dyDescent="0.2">
      <c r="A43" s="4" t="s">
        <v>21</v>
      </c>
      <c r="B43" s="4" t="s">
        <v>16</v>
      </c>
      <c r="C43" s="4" t="s">
        <v>2</v>
      </c>
      <c r="D43" s="4" t="s">
        <v>608</v>
      </c>
      <c r="E43" s="4" t="s">
        <v>607</v>
      </c>
      <c r="F43" s="4"/>
      <c r="G43" s="4" t="s">
        <v>15</v>
      </c>
      <c r="H43" s="4" t="s">
        <v>607</v>
      </c>
      <c r="I43" s="4" t="s">
        <v>2</v>
      </c>
      <c r="J43" s="4" t="s">
        <v>2</v>
      </c>
    </row>
    <row r="44" spans="1:10" ht="16" outlineLevel="1" collapsed="1" x14ac:dyDescent="0.2">
      <c r="A44" s="4" t="s">
        <v>21</v>
      </c>
      <c r="B44" s="4" t="s">
        <v>16</v>
      </c>
      <c r="C44" s="4" t="s">
        <v>2</v>
      </c>
      <c r="D44" s="4" t="s">
        <v>610</v>
      </c>
      <c r="E44" s="4" t="s">
        <v>609</v>
      </c>
      <c r="F44" s="4"/>
      <c r="G44" s="4" t="s">
        <v>15</v>
      </c>
      <c r="H44" s="4" t="s">
        <v>609</v>
      </c>
      <c r="I44" s="4" t="s">
        <v>2</v>
      </c>
      <c r="J44" s="4" t="s">
        <v>2</v>
      </c>
    </row>
    <row r="45" spans="1:10" ht="16" outlineLevel="1" collapsed="1" x14ac:dyDescent="0.2">
      <c r="A45" s="4" t="s">
        <v>21</v>
      </c>
      <c r="B45" s="4" t="s">
        <v>16</v>
      </c>
      <c r="C45" s="4" t="s">
        <v>2</v>
      </c>
      <c r="D45" s="4" t="s">
        <v>612</v>
      </c>
      <c r="E45" s="4" t="s">
        <v>611</v>
      </c>
      <c r="F45" s="4"/>
      <c r="G45" s="4" t="s">
        <v>15</v>
      </c>
      <c r="H45" s="4" t="s">
        <v>611</v>
      </c>
      <c r="I45" s="4" t="s">
        <v>2</v>
      </c>
      <c r="J45" s="4" t="s">
        <v>2</v>
      </c>
    </row>
    <row r="46" spans="1:10" ht="16" outlineLevel="1" collapsed="1" x14ac:dyDescent="0.2">
      <c r="A46" s="4" t="s">
        <v>21</v>
      </c>
      <c r="B46" s="4" t="s">
        <v>16</v>
      </c>
      <c r="C46" s="4" t="s">
        <v>2</v>
      </c>
      <c r="D46" s="4" t="s">
        <v>614</v>
      </c>
      <c r="E46" s="4" t="s">
        <v>613</v>
      </c>
      <c r="F46" s="4"/>
      <c r="G46" s="4" t="s">
        <v>15</v>
      </c>
      <c r="H46" s="4" t="s">
        <v>613</v>
      </c>
      <c r="I46" s="4" t="s">
        <v>2</v>
      </c>
      <c r="J46" s="4" t="s">
        <v>2</v>
      </c>
    </row>
    <row r="47" spans="1:10" ht="16" outlineLevel="1" collapsed="1" x14ac:dyDescent="0.2">
      <c r="A47" s="4" t="s">
        <v>21</v>
      </c>
      <c r="B47" s="4" t="s">
        <v>16</v>
      </c>
      <c r="C47" s="4" t="s">
        <v>2</v>
      </c>
      <c r="D47" s="4" t="s">
        <v>616</v>
      </c>
      <c r="E47" s="4" t="s">
        <v>615</v>
      </c>
      <c r="F47" s="4"/>
      <c r="G47" s="4" t="s">
        <v>15</v>
      </c>
      <c r="H47" s="4" t="s">
        <v>615</v>
      </c>
      <c r="I47" s="4" t="s">
        <v>2</v>
      </c>
      <c r="J47" s="4" t="s">
        <v>2</v>
      </c>
    </row>
    <row r="48" spans="1:10" ht="16" outlineLevel="1" collapsed="1" x14ac:dyDescent="0.2">
      <c r="A48" s="4" t="s">
        <v>21</v>
      </c>
      <c r="B48" s="4" t="s">
        <v>16</v>
      </c>
      <c r="C48" s="4" t="s">
        <v>2</v>
      </c>
      <c r="D48" s="4" t="s">
        <v>618</v>
      </c>
      <c r="E48" s="4" t="s">
        <v>617</v>
      </c>
      <c r="F48" s="4"/>
      <c r="G48" s="4" t="s">
        <v>15</v>
      </c>
      <c r="H48" s="4" t="s">
        <v>617</v>
      </c>
      <c r="I48" s="4" t="s">
        <v>2</v>
      </c>
      <c r="J48" s="4" t="s">
        <v>2</v>
      </c>
    </row>
    <row r="49" spans="1:10" ht="16" outlineLevel="1" collapsed="1" x14ac:dyDescent="0.2">
      <c r="A49" s="4" t="s">
        <v>21</v>
      </c>
      <c r="B49" s="4" t="s">
        <v>16</v>
      </c>
      <c r="C49" s="4" t="s">
        <v>2</v>
      </c>
      <c r="D49" s="4" t="s">
        <v>620</v>
      </c>
      <c r="E49" s="4" t="s">
        <v>619</v>
      </c>
      <c r="F49" s="4"/>
      <c r="G49" s="4" t="s">
        <v>15</v>
      </c>
      <c r="H49" s="4" t="s">
        <v>619</v>
      </c>
      <c r="I49" s="4" t="s">
        <v>2</v>
      </c>
      <c r="J49" s="4" t="s">
        <v>2</v>
      </c>
    </row>
    <row r="50" spans="1:10" ht="32" outlineLevel="1" collapsed="1" x14ac:dyDescent="0.2">
      <c r="A50" s="4" t="s">
        <v>21</v>
      </c>
      <c r="B50" s="4" t="s">
        <v>16</v>
      </c>
      <c r="C50" s="4" t="s">
        <v>2</v>
      </c>
      <c r="D50" s="4" t="s">
        <v>622</v>
      </c>
      <c r="E50" s="4" t="s">
        <v>621</v>
      </c>
      <c r="F50" s="4"/>
      <c r="G50" s="4" t="s">
        <v>15</v>
      </c>
      <c r="H50" s="4" t="s">
        <v>621</v>
      </c>
      <c r="I50" s="4" t="s">
        <v>2</v>
      </c>
      <c r="J50" s="4" t="s">
        <v>2</v>
      </c>
    </row>
    <row r="51" spans="1:10" ht="32" outlineLevel="1" collapsed="1" x14ac:dyDescent="0.2">
      <c r="A51" s="4" t="s">
        <v>21</v>
      </c>
      <c r="B51" s="4" t="s">
        <v>16</v>
      </c>
      <c r="C51" s="4" t="s">
        <v>2</v>
      </c>
      <c r="D51" s="4" t="s">
        <v>624</v>
      </c>
      <c r="E51" s="4" t="s">
        <v>623</v>
      </c>
      <c r="F51" s="4"/>
      <c r="G51" s="4" t="s">
        <v>15</v>
      </c>
      <c r="H51" s="4" t="s">
        <v>623</v>
      </c>
      <c r="I51" s="4" t="s">
        <v>2</v>
      </c>
      <c r="J51" s="4" t="s">
        <v>2</v>
      </c>
    </row>
    <row r="52" spans="1:10" ht="16" outlineLevel="1" collapsed="1" x14ac:dyDescent="0.2">
      <c r="A52" s="4" t="s">
        <v>21</v>
      </c>
      <c r="B52" s="4" t="s">
        <v>16</v>
      </c>
      <c r="C52" s="4" t="s">
        <v>2</v>
      </c>
      <c r="D52" s="4" t="s">
        <v>626</v>
      </c>
      <c r="E52" s="4" t="s">
        <v>625</v>
      </c>
      <c r="F52" s="4"/>
      <c r="G52" s="4" t="s">
        <v>15</v>
      </c>
      <c r="H52" s="4" t="s">
        <v>625</v>
      </c>
      <c r="I52" s="4" t="s">
        <v>2</v>
      </c>
      <c r="J52" s="4" t="s">
        <v>2</v>
      </c>
    </row>
    <row r="53" spans="1:10" ht="16" outlineLevel="1" collapsed="1" x14ac:dyDescent="0.2">
      <c r="A53" s="4" t="s">
        <v>21</v>
      </c>
      <c r="B53" s="4" t="s">
        <v>16</v>
      </c>
      <c r="C53" s="4" t="s">
        <v>2</v>
      </c>
      <c r="D53" s="4" t="s">
        <v>628</v>
      </c>
      <c r="E53" s="4" t="s">
        <v>627</v>
      </c>
      <c r="F53" s="4"/>
      <c r="G53" s="4" t="s">
        <v>15</v>
      </c>
      <c r="H53" s="4" t="s">
        <v>627</v>
      </c>
      <c r="I53" s="4" t="s">
        <v>2</v>
      </c>
      <c r="J53" s="4" t="s">
        <v>2</v>
      </c>
    </row>
    <row r="54" spans="1:10" ht="16" outlineLevel="1" collapsed="1" x14ac:dyDescent="0.2">
      <c r="A54" s="4" t="s">
        <v>21</v>
      </c>
      <c r="B54" s="4" t="s">
        <v>16</v>
      </c>
      <c r="C54" s="4" t="s">
        <v>2</v>
      </c>
      <c r="D54" s="4" t="s">
        <v>630</v>
      </c>
      <c r="E54" s="4" t="s">
        <v>629</v>
      </c>
      <c r="F54" s="4"/>
      <c r="G54" s="4" t="s">
        <v>15</v>
      </c>
      <c r="H54" s="4" t="s">
        <v>629</v>
      </c>
      <c r="I54" s="4" t="s">
        <v>2</v>
      </c>
      <c r="J54" s="4" t="s">
        <v>2</v>
      </c>
    </row>
    <row r="55" spans="1:10" ht="32" outlineLevel="1" collapsed="1" x14ac:dyDescent="0.2">
      <c r="A55" s="4" t="s">
        <v>21</v>
      </c>
      <c r="B55" s="4" t="s">
        <v>16</v>
      </c>
      <c r="C55" s="4" t="s">
        <v>2</v>
      </c>
      <c r="D55" s="4" t="s">
        <v>632</v>
      </c>
      <c r="E55" s="4" t="s">
        <v>631</v>
      </c>
      <c r="F55" s="4"/>
      <c r="G55" s="4" t="s">
        <v>15</v>
      </c>
      <c r="H55" s="4" t="s">
        <v>631</v>
      </c>
      <c r="I55" s="4" t="s">
        <v>2</v>
      </c>
      <c r="J55" s="4" t="s">
        <v>2</v>
      </c>
    </row>
    <row r="56" spans="1:10" ht="16" outlineLevel="1" collapsed="1" x14ac:dyDescent="0.2">
      <c r="A56" s="4" t="s">
        <v>21</v>
      </c>
      <c r="B56" s="4" t="s">
        <v>16</v>
      </c>
      <c r="C56" s="4" t="s">
        <v>2</v>
      </c>
      <c r="D56" s="4" t="s">
        <v>634</v>
      </c>
      <c r="E56" s="4" t="s">
        <v>633</v>
      </c>
      <c r="F56" s="4"/>
      <c r="G56" s="4" t="s">
        <v>15</v>
      </c>
      <c r="H56" s="4" t="s">
        <v>633</v>
      </c>
      <c r="I56" s="4" t="s">
        <v>2</v>
      </c>
      <c r="J56" s="4" t="s">
        <v>2</v>
      </c>
    </row>
    <row r="57" spans="1:10" ht="32" outlineLevel="1" collapsed="1" x14ac:dyDescent="0.2">
      <c r="A57" s="4" t="s">
        <v>21</v>
      </c>
      <c r="B57" s="4" t="s">
        <v>16</v>
      </c>
      <c r="C57" s="4" t="s">
        <v>2</v>
      </c>
      <c r="D57" s="4" t="s">
        <v>636</v>
      </c>
      <c r="E57" s="4" t="s">
        <v>635</v>
      </c>
      <c r="F57" s="4"/>
      <c r="G57" s="4" t="s">
        <v>15</v>
      </c>
      <c r="H57" s="4" t="s">
        <v>635</v>
      </c>
      <c r="I57" s="4" t="s">
        <v>2</v>
      </c>
      <c r="J57" s="4" t="s">
        <v>2</v>
      </c>
    </row>
    <row r="58" spans="1:10" ht="16" outlineLevel="1" collapsed="1" x14ac:dyDescent="0.2">
      <c r="A58" s="4" t="s">
        <v>21</v>
      </c>
      <c r="B58" s="4" t="s">
        <v>16</v>
      </c>
      <c r="C58" s="4" t="s">
        <v>2</v>
      </c>
      <c r="D58" s="4" t="s">
        <v>638</v>
      </c>
      <c r="E58" s="4" t="s">
        <v>637</v>
      </c>
      <c r="F58" s="4"/>
      <c r="G58" s="4" t="s">
        <v>15</v>
      </c>
      <c r="H58" s="4" t="s">
        <v>637</v>
      </c>
      <c r="I58" s="4" t="s">
        <v>2</v>
      </c>
      <c r="J58" s="4" t="s">
        <v>2</v>
      </c>
    </row>
    <row r="59" spans="1:10" ht="16" outlineLevel="1" collapsed="1" x14ac:dyDescent="0.2">
      <c r="A59" s="4" t="s">
        <v>21</v>
      </c>
      <c r="B59" s="4" t="s">
        <v>16</v>
      </c>
      <c r="C59" s="4" t="s">
        <v>2</v>
      </c>
      <c r="D59" s="4" t="s">
        <v>640</v>
      </c>
      <c r="E59" s="4" t="s">
        <v>639</v>
      </c>
      <c r="F59" s="4"/>
      <c r="G59" s="4" t="s">
        <v>15</v>
      </c>
      <c r="H59" s="4" t="s">
        <v>639</v>
      </c>
      <c r="I59" s="4" t="s">
        <v>2</v>
      </c>
      <c r="J59" s="4" t="s">
        <v>2</v>
      </c>
    </row>
    <row r="60" spans="1:10" ht="16" outlineLevel="1" collapsed="1" x14ac:dyDescent="0.2">
      <c r="A60" s="4" t="s">
        <v>21</v>
      </c>
      <c r="B60" s="4" t="s">
        <v>16</v>
      </c>
      <c r="C60" s="4" t="s">
        <v>2</v>
      </c>
      <c r="D60" s="4" t="s">
        <v>279</v>
      </c>
      <c r="E60" s="4" t="s">
        <v>641</v>
      </c>
      <c r="F60" s="4"/>
      <c r="G60" s="4" t="s">
        <v>15</v>
      </c>
      <c r="H60" s="4" t="s">
        <v>641</v>
      </c>
      <c r="I60" s="4" t="s">
        <v>2</v>
      </c>
      <c r="J60" s="4" t="s">
        <v>2</v>
      </c>
    </row>
    <row r="61" spans="1:10" ht="16" outlineLevel="1" collapsed="1" x14ac:dyDescent="0.2">
      <c r="A61" s="4" t="s">
        <v>21</v>
      </c>
      <c r="B61" s="4" t="s">
        <v>16</v>
      </c>
      <c r="C61" s="4" t="s">
        <v>2</v>
      </c>
      <c r="D61" s="4" t="s">
        <v>643</v>
      </c>
      <c r="E61" s="4" t="s">
        <v>642</v>
      </c>
      <c r="F61" s="4"/>
      <c r="G61" s="4" t="s">
        <v>15</v>
      </c>
      <c r="H61" s="4" t="s">
        <v>642</v>
      </c>
      <c r="I61" s="4" t="s">
        <v>2</v>
      </c>
      <c r="J61" s="4" t="s">
        <v>2</v>
      </c>
    </row>
    <row r="62" spans="1:10" ht="16" outlineLevel="1" collapsed="1" x14ac:dyDescent="0.2">
      <c r="A62" s="4" t="s">
        <v>15</v>
      </c>
      <c r="B62" s="4" t="s">
        <v>25</v>
      </c>
      <c r="C62" s="4" t="s">
        <v>2</v>
      </c>
      <c r="D62" s="4"/>
      <c r="E62" s="4" t="s">
        <v>644</v>
      </c>
      <c r="F62" s="4"/>
      <c r="G62" s="4" t="s">
        <v>15</v>
      </c>
      <c r="H62" s="4" t="s">
        <v>2</v>
      </c>
      <c r="I62" s="4" t="s">
        <v>2</v>
      </c>
      <c r="J62" s="4" t="s">
        <v>2</v>
      </c>
    </row>
    <row r="63" spans="1:10" ht="16" outlineLevel="1" collapsed="1" x14ac:dyDescent="0.2">
      <c r="A63" s="4" t="s">
        <v>15</v>
      </c>
      <c r="B63" s="4" t="s">
        <v>25</v>
      </c>
      <c r="C63" s="4" t="s">
        <v>2</v>
      </c>
      <c r="D63" s="4"/>
      <c r="E63" s="4" t="s">
        <v>645</v>
      </c>
      <c r="F63" s="4"/>
      <c r="G63" s="4" t="s">
        <v>15</v>
      </c>
      <c r="H63" s="4" t="s">
        <v>2</v>
      </c>
      <c r="I63" s="4" t="s">
        <v>2</v>
      </c>
      <c r="J63" s="4" t="s">
        <v>2</v>
      </c>
    </row>
    <row r="64" spans="1:10" ht="16" outlineLevel="1" collapsed="1" x14ac:dyDescent="0.2">
      <c r="A64" s="4" t="s">
        <v>15</v>
      </c>
      <c r="B64" s="4" t="s">
        <v>25</v>
      </c>
      <c r="C64" s="4" t="s">
        <v>2</v>
      </c>
      <c r="D64" s="4"/>
      <c r="E64" s="4" t="s">
        <v>646</v>
      </c>
      <c r="F64" s="4"/>
      <c r="G64" s="4" t="s">
        <v>15</v>
      </c>
      <c r="H64" s="4" t="s">
        <v>2</v>
      </c>
      <c r="I64" s="4" t="s">
        <v>2</v>
      </c>
      <c r="J64" s="4" t="s">
        <v>2</v>
      </c>
    </row>
    <row r="65" spans="1:10" ht="16" outlineLevel="1" collapsed="1" x14ac:dyDescent="0.2">
      <c r="A65" s="4" t="s">
        <v>21</v>
      </c>
      <c r="B65" s="4" t="s">
        <v>16</v>
      </c>
      <c r="C65" s="4" t="s">
        <v>2</v>
      </c>
      <c r="D65" s="4" t="s">
        <v>647</v>
      </c>
      <c r="E65" s="4" t="s">
        <v>304</v>
      </c>
      <c r="F65" s="4"/>
      <c r="G65" s="4" t="s">
        <v>15</v>
      </c>
      <c r="H65" s="4" t="s">
        <v>304</v>
      </c>
      <c r="I65" s="4" t="s">
        <v>2</v>
      </c>
      <c r="J65" s="4" t="s">
        <v>2</v>
      </c>
    </row>
    <row r="66" spans="1:10" ht="16" outlineLevel="1" collapsed="1" x14ac:dyDescent="0.2">
      <c r="A66" s="4" t="s">
        <v>21</v>
      </c>
      <c r="B66" s="4" t="s">
        <v>16</v>
      </c>
      <c r="C66" s="4" t="s">
        <v>2</v>
      </c>
      <c r="D66" s="4" t="s">
        <v>648</v>
      </c>
      <c r="E66" s="4" t="s">
        <v>306</v>
      </c>
      <c r="F66" s="4"/>
      <c r="G66" s="4" t="s">
        <v>15</v>
      </c>
      <c r="H66" s="4" t="s">
        <v>306</v>
      </c>
      <c r="I66" s="4" t="s">
        <v>2</v>
      </c>
      <c r="J66" s="4" t="s">
        <v>2</v>
      </c>
    </row>
    <row r="67" spans="1:10" ht="16" outlineLevel="1" collapsed="1" x14ac:dyDescent="0.2">
      <c r="A67" s="4" t="s">
        <v>21</v>
      </c>
      <c r="B67" s="4" t="s">
        <v>16</v>
      </c>
      <c r="C67" s="4" t="s">
        <v>2</v>
      </c>
      <c r="D67" s="4" t="s">
        <v>649</v>
      </c>
      <c r="E67" s="4" t="s">
        <v>308</v>
      </c>
      <c r="F67" s="4"/>
      <c r="G67" s="4" t="s">
        <v>15</v>
      </c>
      <c r="H67" s="4" t="s">
        <v>308</v>
      </c>
      <c r="I67" s="4" t="s">
        <v>2</v>
      </c>
      <c r="J67" s="4" t="s">
        <v>2</v>
      </c>
    </row>
    <row r="68" spans="1:10" ht="16" outlineLevel="1" collapsed="1" x14ac:dyDescent="0.2">
      <c r="A68" s="4" t="s">
        <v>21</v>
      </c>
      <c r="B68" s="4" t="s">
        <v>16</v>
      </c>
      <c r="C68" s="4" t="s">
        <v>2</v>
      </c>
      <c r="D68" s="4" t="s">
        <v>650</v>
      </c>
      <c r="E68" s="4" t="s">
        <v>310</v>
      </c>
      <c r="F68" s="4"/>
      <c r="G68" s="4" t="s">
        <v>15</v>
      </c>
      <c r="H68" s="4" t="s">
        <v>310</v>
      </c>
      <c r="I68" s="4" t="s">
        <v>2</v>
      </c>
      <c r="J68" s="4" t="s">
        <v>2</v>
      </c>
    </row>
    <row r="69" spans="1:10" ht="16" outlineLevel="1" collapsed="1" x14ac:dyDescent="0.2">
      <c r="A69" s="4" t="s">
        <v>21</v>
      </c>
      <c r="B69" s="4" t="s">
        <v>16</v>
      </c>
      <c r="C69" s="4" t="s">
        <v>2</v>
      </c>
      <c r="D69" s="4" t="s">
        <v>651</v>
      </c>
      <c r="E69" s="4" t="s">
        <v>312</v>
      </c>
      <c r="F69" s="4"/>
      <c r="G69" s="4" t="s">
        <v>15</v>
      </c>
      <c r="H69" s="4" t="s">
        <v>312</v>
      </c>
      <c r="I69" s="4" t="s">
        <v>2</v>
      </c>
      <c r="J69" s="4" t="s">
        <v>2</v>
      </c>
    </row>
    <row r="70" spans="1:10" ht="16" outlineLevel="1" collapsed="1" x14ac:dyDescent="0.2">
      <c r="A70" s="4" t="s">
        <v>21</v>
      </c>
      <c r="B70" s="4" t="s">
        <v>16</v>
      </c>
      <c r="C70" s="4" t="s">
        <v>2</v>
      </c>
      <c r="D70" s="4" t="s">
        <v>652</v>
      </c>
      <c r="E70" s="4" t="s">
        <v>314</v>
      </c>
      <c r="F70" s="4"/>
      <c r="G70" s="4" t="s">
        <v>15</v>
      </c>
      <c r="H70" s="4" t="s">
        <v>314</v>
      </c>
      <c r="I70" s="4" t="s">
        <v>2</v>
      </c>
      <c r="J70" s="4" t="s">
        <v>2</v>
      </c>
    </row>
    <row r="71" spans="1:10" ht="16" outlineLevel="1" collapsed="1" x14ac:dyDescent="0.2">
      <c r="A71" s="4" t="s">
        <v>15</v>
      </c>
      <c r="B71" s="4" t="s">
        <v>25</v>
      </c>
      <c r="C71" s="4" t="s">
        <v>2</v>
      </c>
      <c r="D71" s="4"/>
      <c r="E71" s="4" t="s">
        <v>653</v>
      </c>
      <c r="F71" s="4"/>
      <c r="G71" s="4" t="s">
        <v>15</v>
      </c>
      <c r="H71" s="4" t="s">
        <v>2</v>
      </c>
      <c r="I71" s="4" t="s">
        <v>2</v>
      </c>
      <c r="J71" s="4" t="s">
        <v>2</v>
      </c>
    </row>
    <row r="72" spans="1:10" ht="16" outlineLevel="1" collapsed="1" x14ac:dyDescent="0.2">
      <c r="A72" s="4" t="s">
        <v>21</v>
      </c>
      <c r="B72" s="4" t="s">
        <v>16</v>
      </c>
      <c r="C72" s="4" t="s">
        <v>2</v>
      </c>
      <c r="D72" s="4" t="s">
        <v>656</v>
      </c>
      <c r="E72" s="4" t="s">
        <v>655</v>
      </c>
      <c r="F72" s="4"/>
      <c r="G72" s="4" t="s">
        <v>15</v>
      </c>
      <c r="H72" s="4" t="s">
        <v>655</v>
      </c>
      <c r="I72" s="4" t="s">
        <v>2</v>
      </c>
      <c r="J72" s="4" t="s">
        <v>2</v>
      </c>
    </row>
    <row r="73" spans="1:10" ht="16" outlineLevel="1" collapsed="1" x14ac:dyDescent="0.2">
      <c r="A73" s="4" t="s">
        <v>21</v>
      </c>
      <c r="B73" s="4" t="s">
        <v>16</v>
      </c>
      <c r="C73" s="4" t="s">
        <v>2</v>
      </c>
      <c r="D73" s="4" t="s">
        <v>658</v>
      </c>
      <c r="E73" s="4" t="s">
        <v>657</v>
      </c>
      <c r="F73" s="4"/>
      <c r="G73" s="4" t="s">
        <v>15</v>
      </c>
      <c r="H73" s="4" t="s">
        <v>657</v>
      </c>
      <c r="I73" s="4" t="s">
        <v>2</v>
      </c>
      <c r="J73" s="4" t="s">
        <v>2</v>
      </c>
    </row>
    <row r="74" spans="1:10" ht="16" outlineLevel="1" collapsed="1" x14ac:dyDescent="0.2">
      <c r="A74" s="4" t="s">
        <v>21</v>
      </c>
      <c r="B74" s="4" t="s">
        <v>16</v>
      </c>
      <c r="C74" s="4" t="s">
        <v>2</v>
      </c>
      <c r="D74" s="4" t="s">
        <v>660</v>
      </c>
      <c r="E74" s="4" t="s">
        <v>659</v>
      </c>
      <c r="F74" s="4"/>
      <c r="G74" s="4" t="s">
        <v>15</v>
      </c>
      <c r="H74" s="4" t="s">
        <v>659</v>
      </c>
      <c r="I74" s="4" t="s">
        <v>2</v>
      </c>
      <c r="J74" s="4" t="s">
        <v>2</v>
      </c>
    </row>
    <row r="75" spans="1:10" ht="16" outlineLevel="1" collapsed="1" x14ac:dyDescent="0.2">
      <c r="A75" s="4" t="s">
        <v>21</v>
      </c>
      <c r="B75" s="4" t="s">
        <v>16</v>
      </c>
      <c r="C75" s="4" t="s">
        <v>2</v>
      </c>
      <c r="D75" s="4" t="s">
        <v>661</v>
      </c>
      <c r="E75" s="4" t="s">
        <v>329</v>
      </c>
      <c r="F75" s="4"/>
      <c r="G75" s="4" t="s">
        <v>15</v>
      </c>
      <c r="H75" s="4" t="s">
        <v>329</v>
      </c>
      <c r="I75" s="4" t="s">
        <v>2</v>
      </c>
      <c r="J75" s="4" t="s">
        <v>2</v>
      </c>
    </row>
    <row r="76" spans="1:10" ht="16" outlineLevel="1" collapsed="1" x14ac:dyDescent="0.2">
      <c r="A76" s="4" t="s">
        <v>15</v>
      </c>
      <c r="B76" s="4" t="s">
        <v>25</v>
      </c>
      <c r="C76" s="4" t="s">
        <v>2</v>
      </c>
      <c r="D76" s="4"/>
      <c r="E76" s="4" t="s">
        <v>662</v>
      </c>
      <c r="F76" s="4"/>
      <c r="G76" s="4" t="s">
        <v>15</v>
      </c>
      <c r="H76" s="4" t="s">
        <v>2</v>
      </c>
      <c r="I76" s="4" t="s">
        <v>2</v>
      </c>
      <c r="J76" s="4" t="s">
        <v>2</v>
      </c>
    </row>
    <row r="77" spans="1:10" ht="16" outlineLevel="1" collapsed="1" x14ac:dyDescent="0.2">
      <c r="A77" s="4" t="s">
        <v>21</v>
      </c>
      <c r="B77" s="4" t="s">
        <v>16</v>
      </c>
      <c r="C77" s="4" t="s">
        <v>2</v>
      </c>
      <c r="D77" s="4" t="s">
        <v>664</v>
      </c>
      <c r="E77" s="4" t="s">
        <v>663</v>
      </c>
      <c r="F77" s="4"/>
      <c r="G77" s="4" t="s">
        <v>15</v>
      </c>
      <c r="H77" s="4" t="s">
        <v>663</v>
      </c>
      <c r="I77" s="4" t="s">
        <v>2</v>
      </c>
      <c r="J77" s="4" t="s">
        <v>2</v>
      </c>
    </row>
    <row r="78" spans="1:10" ht="16" outlineLevel="1" collapsed="1" x14ac:dyDescent="0.2">
      <c r="A78" s="4" t="s">
        <v>21</v>
      </c>
      <c r="B78" s="4" t="s">
        <v>16</v>
      </c>
      <c r="C78" s="4" t="s">
        <v>2</v>
      </c>
      <c r="D78" s="4" t="s">
        <v>666</v>
      </c>
      <c r="E78" s="4" t="s">
        <v>665</v>
      </c>
      <c r="F78" s="4"/>
      <c r="G78" s="4" t="s">
        <v>15</v>
      </c>
      <c r="H78" s="4" t="s">
        <v>665</v>
      </c>
      <c r="I78" s="4" t="s">
        <v>2</v>
      </c>
      <c r="J78" s="4" t="s">
        <v>2</v>
      </c>
    </row>
    <row r="79" spans="1:10" ht="16" outlineLevel="1" collapsed="1" x14ac:dyDescent="0.2">
      <c r="A79" s="4" t="s">
        <v>15</v>
      </c>
      <c r="B79" s="4" t="s">
        <v>25</v>
      </c>
      <c r="C79" s="4" t="s">
        <v>2</v>
      </c>
      <c r="D79" s="4"/>
      <c r="E79" s="4" t="s">
        <v>667</v>
      </c>
      <c r="F79" s="4"/>
      <c r="G79" s="4" t="s">
        <v>15</v>
      </c>
      <c r="H79" s="4" t="s">
        <v>2</v>
      </c>
      <c r="I79" s="4" t="s">
        <v>2</v>
      </c>
      <c r="J79" s="4" t="s">
        <v>2</v>
      </c>
    </row>
    <row r="80" spans="1:10" ht="16" outlineLevel="1" collapsed="1" x14ac:dyDescent="0.2">
      <c r="A80" s="4" t="s">
        <v>21</v>
      </c>
      <c r="B80" s="4" t="s">
        <v>16</v>
      </c>
      <c r="C80" s="4" t="s">
        <v>2</v>
      </c>
      <c r="D80" s="4" t="s">
        <v>669</v>
      </c>
      <c r="E80" s="4" t="s">
        <v>668</v>
      </c>
      <c r="F80" s="4"/>
      <c r="G80" s="4" t="s">
        <v>15</v>
      </c>
      <c r="H80" s="4" t="s">
        <v>668</v>
      </c>
      <c r="I80" s="4" t="s">
        <v>2</v>
      </c>
      <c r="J80" s="4" t="s">
        <v>2</v>
      </c>
    </row>
    <row r="81" spans="1:10" ht="16" outlineLevel="1" collapsed="1" x14ac:dyDescent="0.2">
      <c r="A81" s="4" t="s">
        <v>21</v>
      </c>
      <c r="B81" s="4" t="s">
        <v>16</v>
      </c>
      <c r="C81" s="4" t="s">
        <v>2</v>
      </c>
      <c r="D81" s="4" t="s">
        <v>671</v>
      </c>
      <c r="E81" s="4" t="s">
        <v>670</v>
      </c>
      <c r="F81" s="4"/>
      <c r="G81" s="4" t="s">
        <v>15</v>
      </c>
      <c r="H81" s="4" t="s">
        <v>670</v>
      </c>
      <c r="I81" s="4" t="s">
        <v>2</v>
      </c>
      <c r="J81" s="4" t="s">
        <v>2</v>
      </c>
    </row>
    <row r="82" spans="1:10" ht="16" outlineLevel="1" collapsed="1" x14ac:dyDescent="0.2">
      <c r="A82" s="4" t="s">
        <v>15</v>
      </c>
      <c r="B82" s="4" t="s">
        <v>25</v>
      </c>
      <c r="C82" s="4" t="s">
        <v>2</v>
      </c>
      <c r="D82" s="4"/>
      <c r="E82" s="4" t="s">
        <v>672</v>
      </c>
      <c r="F82" s="4"/>
      <c r="G82" s="4" t="s">
        <v>15</v>
      </c>
      <c r="H82" s="4" t="s">
        <v>2</v>
      </c>
      <c r="I82" s="4" t="s">
        <v>2</v>
      </c>
      <c r="J82" s="4" t="s">
        <v>2</v>
      </c>
    </row>
    <row r="83" spans="1:10" ht="16" outlineLevel="1" x14ac:dyDescent="0.2">
      <c r="A83" s="5" t="s">
        <v>21</v>
      </c>
      <c r="B83" t="s">
        <v>1178</v>
      </c>
      <c r="C83" s="5" t="s">
        <v>674</v>
      </c>
      <c r="D83" s="5" t="s">
        <v>675</v>
      </c>
      <c r="E83" s="5" t="s">
        <v>674</v>
      </c>
      <c r="F83" s="5"/>
      <c r="G83" s="5" t="s">
        <v>21</v>
      </c>
      <c r="H83" s="5" t="s">
        <v>2</v>
      </c>
      <c r="I83" s="5" t="s">
        <v>2</v>
      </c>
      <c r="J83" s="5" t="s">
        <v>2</v>
      </c>
    </row>
    <row r="84" spans="1:10" ht="16" outlineLevel="2" collapsed="1" x14ac:dyDescent="0.2">
      <c r="A84" s="4" t="s">
        <v>21</v>
      </c>
      <c r="B84" s="4" t="s">
        <v>16</v>
      </c>
      <c r="C84" s="4" t="s">
        <v>2</v>
      </c>
      <c r="D84" s="4" t="s">
        <v>678</v>
      </c>
      <c r="E84" s="4" t="s">
        <v>676</v>
      </c>
      <c r="F84" s="4"/>
      <c r="G84" s="4" t="s">
        <v>15</v>
      </c>
      <c r="H84" s="4" t="s">
        <v>677</v>
      </c>
      <c r="I84" s="4" t="s">
        <v>2</v>
      </c>
      <c r="J84" s="4" t="s">
        <v>2</v>
      </c>
    </row>
    <row r="85" spans="1:10" ht="16" outlineLevel="2" collapsed="1" x14ac:dyDescent="0.2">
      <c r="A85" s="4" t="s">
        <v>21</v>
      </c>
      <c r="B85" s="4" t="s">
        <v>16</v>
      </c>
      <c r="C85" s="4" t="s">
        <v>2</v>
      </c>
      <c r="D85" s="4" t="s">
        <v>681</v>
      </c>
      <c r="E85" s="4" t="s">
        <v>679</v>
      </c>
      <c r="F85" s="4"/>
      <c r="G85" s="4" t="s">
        <v>15</v>
      </c>
      <c r="H85" s="4" t="s">
        <v>680</v>
      </c>
      <c r="I85" s="4" t="s">
        <v>2</v>
      </c>
      <c r="J85" s="4" t="s">
        <v>2</v>
      </c>
    </row>
    <row r="86" spans="1:10" ht="32" outlineLevel="2" collapsed="1" x14ac:dyDescent="0.2">
      <c r="A86" s="4" t="s">
        <v>21</v>
      </c>
      <c r="B86" s="4" t="s">
        <v>16</v>
      </c>
      <c r="C86" s="4" t="s">
        <v>2</v>
      </c>
      <c r="D86" s="4" t="s">
        <v>684</v>
      </c>
      <c r="E86" s="4" t="s">
        <v>682</v>
      </c>
      <c r="F86" s="4"/>
      <c r="G86" s="4" t="s">
        <v>15</v>
      </c>
      <c r="H86" s="4" t="s">
        <v>683</v>
      </c>
      <c r="I86" s="4" t="s">
        <v>2</v>
      </c>
      <c r="J86" s="4" t="s">
        <v>2</v>
      </c>
    </row>
    <row r="87" spans="1:10" ht="16" outlineLevel="1" collapsed="1" x14ac:dyDescent="0.2">
      <c r="A87" s="4" t="s">
        <v>15</v>
      </c>
      <c r="B87" s="4" t="s">
        <v>25</v>
      </c>
      <c r="C87" s="4" t="s">
        <v>2</v>
      </c>
      <c r="D87" s="4"/>
      <c r="E87" s="4" t="s">
        <v>685</v>
      </c>
      <c r="F87" s="4"/>
      <c r="G87" s="4" t="s">
        <v>15</v>
      </c>
      <c r="H87" s="4" t="s">
        <v>2</v>
      </c>
      <c r="I87" s="4" t="s">
        <v>2</v>
      </c>
      <c r="J87" s="4" t="s">
        <v>2</v>
      </c>
    </row>
    <row r="88" spans="1:10" ht="16" outlineLevel="1" collapsed="1" x14ac:dyDescent="0.2">
      <c r="A88" s="4" t="s">
        <v>21</v>
      </c>
      <c r="B88" s="4" t="s">
        <v>16</v>
      </c>
      <c r="C88" s="4" t="s">
        <v>2</v>
      </c>
      <c r="D88" s="4" t="s">
        <v>687</v>
      </c>
      <c r="E88" s="4" t="s">
        <v>686</v>
      </c>
      <c r="F88" s="4"/>
      <c r="G88" s="4" t="s">
        <v>15</v>
      </c>
      <c r="H88" s="4" t="s">
        <v>19</v>
      </c>
      <c r="I88" s="4" t="s">
        <v>2</v>
      </c>
      <c r="J88" s="4" t="s">
        <v>2</v>
      </c>
    </row>
    <row r="89" spans="1:10" ht="16" outlineLevel="1" x14ac:dyDescent="0.2">
      <c r="A89" s="5" t="s">
        <v>21</v>
      </c>
      <c r="B89" t="s">
        <v>1178</v>
      </c>
      <c r="C89" s="5" t="s">
        <v>688</v>
      </c>
      <c r="D89" s="5" t="s">
        <v>689</v>
      </c>
      <c r="E89" s="5" t="s">
        <v>688</v>
      </c>
      <c r="F89" s="5"/>
      <c r="G89" s="5" t="s">
        <v>15</v>
      </c>
      <c r="H89" s="5" t="s">
        <v>2</v>
      </c>
      <c r="I89" s="5" t="s">
        <v>2</v>
      </c>
      <c r="J89" s="5" t="s">
        <v>2</v>
      </c>
    </row>
    <row r="90" spans="1:10" ht="16" outlineLevel="2" collapsed="1" x14ac:dyDescent="0.2">
      <c r="A90" s="4" t="s">
        <v>15</v>
      </c>
      <c r="B90" s="4" t="s">
        <v>25</v>
      </c>
      <c r="C90" s="4" t="s">
        <v>2</v>
      </c>
      <c r="D90" s="4"/>
      <c r="E90" s="4" t="s">
        <v>366</v>
      </c>
      <c r="F90" s="4"/>
      <c r="G90" s="4" t="s">
        <v>15</v>
      </c>
      <c r="H90" s="4" t="s">
        <v>2</v>
      </c>
      <c r="I90" s="4" t="s">
        <v>2</v>
      </c>
      <c r="J90" s="4" t="s">
        <v>2</v>
      </c>
    </row>
    <row r="91" spans="1:10" ht="48" outlineLevel="2" collapsed="1" x14ac:dyDescent="0.2">
      <c r="A91" s="4" t="s">
        <v>21</v>
      </c>
      <c r="B91" s="4" t="s">
        <v>16</v>
      </c>
      <c r="C91" s="4" t="s">
        <v>2</v>
      </c>
      <c r="D91" s="4" t="s">
        <v>2033</v>
      </c>
      <c r="E91" s="4" t="s">
        <v>391</v>
      </c>
      <c r="F91" s="4"/>
      <c r="G91" s="4" t="s">
        <v>15</v>
      </c>
      <c r="H91" s="4" t="s">
        <v>690</v>
      </c>
      <c r="I91" s="4" t="s">
        <v>2</v>
      </c>
      <c r="J91" s="4" t="s">
        <v>2</v>
      </c>
    </row>
    <row r="92" spans="1:10" ht="16" outlineLevel="2" collapsed="1" x14ac:dyDescent="0.2">
      <c r="A92" s="4" t="s">
        <v>15</v>
      </c>
      <c r="B92" s="4" t="s">
        <v>25</v>
      </c>
      <c r="C92" s="4" t="s">
        <v>2</v>
      </c>
      <c r="D92" s="4"/>
      <c r="E92" s="4" t="s">
        <v>369</v>
      </c>
      <c r="F92" s="4"/>
      <c r="G92" s="4" t="s">
        <v>15</v>
      </c>
      <c r="H92" s="4" t="s">
        <v>2</v>
      </c>
      <c r="I92" s="4" t="s">
        <v>2</v>
      </c>
      <c r="J92" s="4" t="s">
        <v>2</v>
      </c>
    </row>
    <row r="93" spans="1:10" ht="32" outlineLevel="2" collapsed="1" x14ac:dyDescent="0.2">
      <c r="A93" s="4" t="s">
        <v>21</v>
      </c>
      <c r="B93" s="4" t="s">
        <v>16</v>
      </c>
      <c r="C93" s="4" t="s">
        <v>2</v>
      </c>
      <c r="D93" s="4" t="s">
        <v>1961</v>
      </c>
      <c r="E93" s="4" t="s">
        <v>391</v>
      </c>
      <c r="F93" s="4"/>
      <c r="G93" s="4" t="s">
        <v>15</v>
      </c>
      <c r="H93" s="4" t="s">
        <v>691</v>
      </c>
      <c r="I93" s="4" t="s">
        <v>2</v>
      </c>
      <c r="J93" s="4" t="s">
        <v>2</v>
      </c>
    </row>
    <row r="94" spans="1:10" ht="16" outlineLevel="2" collapsed="1" x14ac:dyDescent="0.2">
      <c r="A94" s="4" t="s">
        <v>15</v>
      </c>
      <c r="B94" s="4" t="s">
        <v>25</v>
      </c>
      <c r="C94" s="4" t="s">
        <v>2</v>
      </c>
      <c r="D94" s="4"/>
      <c r="E94" s="4" t="s">
        <v>370</v>
      </c>
      <c r="F94" s="4"/>
      <c r="G94" s="4" t="s">
        <v>15</v>
      </c>
      <c r="H94" s="4" t="s">
        <v>2</v>
      </c>
      <c r="I94" s="4" t="s">
        <v>2</v>
      </c>
      <c r="J94" s="4" t="s">
        <v>2</v>
      </c>
    </row>
    <row r="95" spans="1:10" ht="32" outlineLevel="2" collapsed="1" x14ac:dyDescent="0.2">
      <c r="A95" s="4" t="s">
        <v>21</v>
      </c>
      <c r="B95" s="4" t="s">
        <v>16</v>
      </c>
      <c r="C95" s="4" t="s">
        <v>2</v>
      </c>
      <c r="D95" s="4" t="s">
        <v>2035</v>
      </c>
      <c r="E95" s="4" t="s">
        <v>391</v>
      </c>
      <c r="F95" s="4"/>
      <c r="G95" s="4" t="s">
        <v>15</v>
      </c>
      <c r="H95" s="4" t="s">
        <v>692</v>
      </c>
      <c r="I95" s="4" t="s">
        <v>2</v>
      </c>
      <c r="J95" s="4" t="s">
        <v>2</v>
      </c>
    </row>
    <row r="96" spans="1:10" ht="16" outlineLevel="2" collapsed="1" x14ac:dyDescent="0.2">
      <c r="A96" s="4" t="s">
        <v>15</v>
      </c>
      <c r="B96" s="4" t="s">
        <v>25</v>
      </c>
      <c r="C96" s="4" t="s">
        <v>2</v>
      </c>
      <c r="D96" s="4"/>
      <c r="E96" s="4" t="s">
        <v>371</v>
      </c>
      <c r="F96" s="4"/>
      <c r="G96" s="4" t="s">
        <v>15</v>
      </c>
      <c r="H96" s="4" t="s">
        <v>2</v>
      </c>
      <c r="I96" s="4" t="s">
        <v>2</v>
      </c>
      <c r="J96" s="4" t="s">
        <v>2</v>
      </c>
    </row>
    <row r="97" spans="1:10" ht="32" outlineLevel="2" collapsed="1" x14ac:dyDescent="0.2">
      <c r="A97" s="4" t="s">
        <v>21</v>
      </c>
      <c r="B97" s="4" t="s">
        <v>16</v>
      </c>
      <c r="C97" s="4" t="s">
        <v>2</v>
      </c>
      <c r="D97" s="4" t="s">
        <v>2036</v>
      </c>
      <c r="E97" s="4" t="s">
        <v>391</v>
      </c>
      <c r="F97" s="4"/>
      <c r="G97" s="4" t="s">
        <v>15</v>
      </c>
      <c r="H97" s="4" t="s">
        <v>693</v>
      </c>
      <c r="I97" s="4" t="s">
        <v>2</v>
      </c>
      <c r="J97" s="4" t="s">
        <v>2</v>
      </c>
    </row>
    <row r="98" spans="1:10" ht="16" outlineLevel="2" collapsed="1" x14ac:dyDescent="0.2">
      <c r="A98" s="4" t="s">
        <v>15</v>
      </c>
      <c r="B98" s="4" t="s">
        <v>25</v>
      </c>
      <c r="C98" s="4" t="s">
        <v>2</v>
      </c>
      <c r="D98" s="4"/>
      <c r="E98" s="4" t="s">
        <v>372</v>
      </c>
      <c r="F98" s="4"/>
      <c r="G98" s="4" t="s">
        <v>15</v>
      </c>
      <c r="H98" s="4" t="s">
        <v>2</v>
      </c>
      <c r="I98" s="4" t="s">
        <v>2</v>
      </c>
      <c r="J98" s="4" t="s">
        <v>2</v>
      </c>
    </row>
    <row r="99" spans="1:10" ht="48" outlineLevel="2" collapsed="1" x14ac:dyDescent="0.2">
      <c r="A99" s="4" t="s">
        <v>21</v>
      </c>
      <c r="B99" s="4" t="s">
        <v>16</v>
      </c>
      <c r="C99" s="4" t="s">
        <v>2</v>
      </c>
      <c r="D99" s="4" t="s">
        <v>2037</v>
      </c>
      <c r="E99" s="4" t="s">
        <v>391</v>
      </c>
      <c r="F99" s="4"/>
      <c r="G99" s="4" t="s">
        <v>15</v>
      </c>
      <c r="H99" s="4" t="s">
        <v>694</v>
      </c>
      <c r="I99" s="4" t="s">
        <v>2</v>
      </c>
      <c r="J99" s="4" t="s">
        <v>2</v>
      </c>
    </row>
    <row r="100" spans="1:10" ht="32" outlineLevel="2" collapsed="1" x14ac:dyDescent="0.2">
      <c r="A100" s="4" t="s">
        <v>15</v>
      </c>
      <c r="B100" s="4" t="s">
        <v>25</v>
      </c>
      <c r="C100" s="4" t="s">
        <v>2</v>
      </c>
      <c r="D100" s="4"/>
      <c r="E100" s="4" t="s">
        <v>695</v>
      </c>
      <c r="F100" s="4"/>
      <c r="G100" s="4" t="s">
        <v>15</v>
      </c>
      <c r="H100" s="4" t="s">
        <v>2</v>
      </c>
      <c r="I100" s="4" t="s">
        <v>2</v>
      </c>
      <c r="J100" s="4" t="s">
        <v>2</v>
      </c>
    </row>
    <row r="101" spans="1:10" ht="64" outlineLevel="2" collapsed="1" x14ac:dyDescent="0.2">
      <c r="A101" s="4" t="s">
        <v>21</v>
      </c>
      <c r="B101" s="4" t="s">
        <v>16</v>
      </c>
      <c r="C101" s="4" t="s">
        <v>2</v>
      </c>
      <c r="D101" s="4" t="s">
        <v>2038</v>
      </c>
      <c r="E101" s="4" t="s">
        <v>391</v>
      </c>
      <c r="F101" s="4"/>
      <c r="G101" s="4" t="s">
        <v>15</v>
      </c>
      <c r="H101" s="4" t="s">
        <v>696</v>
      </c>
      <c r="I101" s="4" t="s">
        <v>2</v>
      </c>
      <c r="J101" s="4" t="s">
        <v>2</v>
      </c>
    </row>
    <row r="102" spans="1:10" ht="16" outlineLevel="2" x14ac:dyDescent="0.2">
      <c r="A102" s="5" t="s">
        <v>15</v>
      </c>
      <c r="B102" t="s">
        <v>1178</v>
      </c>
      <c r="C102" s="5" t="s">
        <v>697</v>
      </c>
      <c r="D102" s="5" t="s">
        <v>689</v>
      </c>
      <c r="E102" s="5" t="s">
        <v>697</v>
      </c>
      <c r="F102" s="5"/>
      <c r="G102" s="5" t="s">
        <v>21</v>
      </c>
      <c r="H102" s="5" t="s">
        <v>2</v>
      </c>
      <c r="I102" s="5" t="s">
        <v>2</v>
      </c>
      <c r="J102" s="5" t="s">
        <v>2</v>
      </c>
    </row>
    <row r="103" spans="1:10" ht="16" outlineLevel="3" collapsed="1" x14ac:dyDescent="0.2">
      <c r="A103" s="4" t="s">
        <v>21</v>
      </c>
      <c r="B103" s="4" t="s">
        <v>16</v>
      </c>
      <c r="C103" s="4" t="s">
        <v>2</v>
      </c>
      <c r="D103" s="4" t="s">
        <v>1969</v>
      </c>
      <c r="E103" s="4" t="s">
        <v>367</v>
      </c>
      <c r="F103" s="4"/>
      <c r="G103" s="4" t="s">
        <v>15</v>
      </c>
      <c r="H103" s="4" t="s">
        <v>367</v>
      </c>
      <c r="I103" s="4" t="s">
        <v>2</v>
      </c>
      <c r="J103" s="4" t="s">
        <v>2</v>
      </c>
    </row>
    <row r="104" spans="1:10" ht="32" outlineLevel="3" collapsed="1" x14ac:dyDescent="0.2">
      <c r="A104" s="4" t="s">
        <v>21</v>
      </c>
      <c r="B104" s="4" t="s">
        <v>16</v>
      </c>
      <c r="C104" s="4" t="s">
        <v>2</v>
      </c>
      <c r="D104" s="4" t="s">
        <v>2039</v>
      </c>
      <c r="E104" s="4" t="s">
        <v>400</v>
      </c>
      <c r="F104" s="4"/>
      <c r="G104" s="4" t="s">
        <v>15</v>
      </c>
      <c r="H104" s="4" t="s">
        <v>400</v>
      </c>
      <c r="I104" s="4" t="s">
        <v>2</v>
      </c>
      <c r="J104" s="4" t="s">
        <v>2</v>
      </c>
    </row>
    <row r="105" spans="1:10" ht="16" outlineLevel="1" collapsed="1" x14ac:dyDescent="0.2">
      <c r="A105" s="4" t="s">
        <v>15</v>
      </c>
      <c r="B105" s="4" t="s">
        <v>25</v>
      </c>
      <c r="C105" s="4" t="s">
        <v>2</v>
      </c>
      <c r="D105" s="4"/>
      <c r="E105" s="4" t="s">
        <v>698</v>
      </c>
      <c r="F105" s="4"/>
      <c r="G105" s="4" t="s">
        <v>15</v>
      </c>
      <c r="H105" s="4" t="s">
        <v>2</v>
      </c>
      <c r="I105" s="4" t="s">
        <v>2</v>
      </c>
      <c r="J105" s="4" t="s">
        <v>2</v>
      </c>
    </row>
    <row r="106" spans="1:10" ht="16" outlineLevel="1" collapsed="1" x14ac:dyDescent="0.2">
      <c r="A106" s="4" t="s">
        <v>15</v>
      </c>
      <c r="B106" s="4" t="s">
        <v>25</v>
      </c>
      <c r="C106" s="4" t="s">
        <v>2</v>
      </c>
      <c r="D106" s="4"/>
      <c r="E106" s="4" t="s">
        <v>699</v>
      </c>
      <c r="F106" s="4"/>
      <c r="G106" s="4" t="s">
        <v>15</v>
      </c>
      <c r="H106" s="4" t="s">
        <v>2</v>
      </c>
      <c r="I106" s="4" t="s">
        <v>2</v>
      </c>
      <c r="J106" s="4" t="s">
        <v>2</v>
      </c>
    </row>
    <row r="107" spans="1:10" ht="16" outlineLevel="1" collapsed="1" x14ac:dyDescent="0.2">
      <c r="A107" s="4" t="s">
        <v>21</v>
      </c>
      <c r="B107" s="4" t="s">
        <v>16</v>
      </c>
      <c r="C107" s="4" t="s">
        <v>2</v>
      </c>
      <c r="D107" s="4" t="s">
        <v>700</v>
      </c>
      <c r="E107" s="4" t="s">
        <v>379</v>
      </c>
      <c r="F107" s="4"/>
      <c r="G107" s="4" t="s">
        <v>15</v>
      </c>
      <c r="H107" s="4" t="s">
        <v>379</v>
      </c>
      <c r="I107" s="4" t="s">
        <v>2</v>
      </c>
      <c r="J107" s="4" t="s">
        <v>2</v>
      </c>
    </row>
    <row r="108" spans="1:10" ht="16" outlineLevel="1" collapsed="1" x14ac:dyDescent="0.2">
      <c r="A108" s="4" t="s">
        <v>21</v>
      </c>
      <c r="B108" s="4" t="s">
        <v>16</v>
      </c>
      <c r="C108" s="4" t="s">
        <v>2</v>
      </c>
      <c r="D108" s="4" t="s">
        <v>701</v>
      </c>
      <c r="E108" s="4" t="s">
        <v>380</v>
      </c>
      <c r="F108" s="4"/>
      <c r="G108" s="4" t="s">
        <v>15</v>
      </c>
      <c r="H108" s="4" t="s">
        <v>380</v>
      </c>
      <c r="I108" s="4" t="s">
        <v>2</v>
      </c>
      <c r="J108" s="4" t="s">
        <v>2</v>
      </c>
    </row>
    <row r="109" spans="1:10" ht="16" outlineLevel="1" collapsed="1" x14ac:dyDescent="0.2">
      <c r="A109" s="4" t="s">
        <v>21</v>
      </c>
      <c r="B109" s="4" t="s">
        <v>16</v>
      </c>
      <c r="C109" s="4" t="s">
        <v>2</v>
      </c>
      <c r="D109" s="4" t="s">
        <v>702</v>
      </c>
      <c r="E109" s="4" t="s">
        <v>381</v>
      </c>
      <c r="F109" s="4"/>
      <c r="G109" s="4" t="s">
        <v>15</v>
      </c>
      <c r="H109" s="4" t="s">
        <v>381</v>
      </c>
      <c r="I109" s="4" t="s">
        <v>2</v>
      </c>
      <c r="J109" s="4" t="s">
        <v>2</v>
      </c>
    </row>
    <row r="110" spans="1:10" ht="16" outlineLevel="1" collapsed="1" x14ac:dyDescent="0.2">
      <c r="A110" s="4" t="s">
        <v>21</v>
      </c>
      <c r="B110" s="4" t="s">
        <v>16</v>
      </c>
      <c r="C110" s="4" t="s">
        <v>2</v>
      </c>
      <c r="D110" s="4" t="s">
        <v>703</v>
      </c>
      <c r="E110" s="4" t="s">
        <v>382</v>
      </c>
      <c r="F110" s="4"/>
      <c r="G110" s="4" t="s">
        <v>15</v>
      </c>
      <c r="H110" s="4" t="s">
        <v>382</v>
      </c>
      <c r="I110" s="4" t="s">
        <v>2</v>
      </c>
      <c r="J110" s="4" t="s">
        <v>2</v>
      </c>
    </row>
    <row r="111" spans="1:10" ht="16" outlineLevel="1" collapsed="1" x14ac:dyDescent="0.2">
      <c r="A111" s="4" t="s">
        <v>21</v>
      </c>
      <c r="B111" s="4" t="s">
        <v>16</v>
      </c>
      <c r="C111" s="4" t="s">
        <v>2</v>
      </c>
      <c r="D111" s="4" t="s">
        <v>704</v>
      </c>
      <c r="E111" s="4" t="s">
        <v>383</v>
      </c>
      <c r="F111" s="4"/>
      <c r="G111" s="4" t="s">
        <v>15</v>
      </c>
      <c r="H111" s="4" t="s">
        <v>383</v>
      </c>
      <c r="I111" s="4" t="s">
        <v>2</v>
      </c>
      <c r="J111" s="4" t="s">
        <v>2</v>
      </c>
    </row>
    <row r="112" spans="1:10" ht="16" outlineLevel="1" collapsed="1" x14ac:dyDescent="0.2">
      <c r="A112" s="4" t="s">
        <v>21</v>
      </c>
      <c r="B112" s="4" t="s">
        <v>16</v>
      </c>
      <c r="C112" s="4" t="s">
        <v>2</v>
      </c>
      <c r="D112" s="4" t="s">
        <v>705</v>
      </c>
      <c r="E112" s="4" t="s">
        <v>384</v>
      </c>
      <c r="F112" s="4"/>
      <c r="G112" s="4" t="s">
        <v>15</v>
      </c>
      <c r="H112" s="4" t="s">
        <v>384</v>
      </c>
      <c r="I112" s="4" t="s">
        <v>2</v>
      </c>
      <c r="J112" s="4" t="s">
        <v>2</v>
      </c>
    </row>
    <row r="113" spans="1:10" ht="16" outlineLevel="1" collapsed="1" x14ac:dyDescent="0.2">
      <c r="A113" s="4" t="s">
        <v>21</v>
      </c>
      <c r="B113" s="4" t="s">
        <v>16</v>
      </c>
      <c r="C113" s="4" t="s">
        <v>2</v>
      </c>
      <c r="D113" s="4" t="s">
        <v>706</v>
      </c>
      <c r="E113" s="4" t="s">
        <v>385</v>
      </c>
      <c r="F113" s="4"/>
      <c r="G113" s="4" t="s">
        <v>15</v>
      </c>
      <c r="H113" s="4" t="s">
        <v>385</v>
      </c>
      <c r="I113" s="4" t="s">
        <v>2</v>
      </c>
      <c r="J113" s="4" t="s">
        <v>2</v>
      </c>
    </row>
    <row r="114" spans="1:10" ht="16" outlineLevel="1" x14ac:dyDescent="0.2">
      <c r="A114" s="5" t="s">
        <v>15</v>
      </c>
      <c r="B114" t="s">
        <v>1178</v>
      </c>
      <c r="C114" s="5" t="s">
        <v>707</v>
      </c>
      <c r="D114" s="5" t="s">
        <v>708</v>
      </c>
      <c r="E114" s="5" t="s">
        <v>707</v>
      </c>
      <c r="F114" s="5"/>
      <c r="G114" s="5" t="s">
        <v>21</v>
      </c>
      <c r="H114" s="5" t="s">
        <v>2</v>
      </c>
      <c r="I114" s="5" t="s">
        <v>2</v>
      </c>
      <c r="J114" s="5" t="s">
        <v>2</v>
      </c>
    </row>
    <row r="115" spans="1:10" ht="16" outlineLevel="2" collapsed="1" x14ac:dyDescent="0.2">
      <c r="A115" s="4" t="s">
        <v>21</v>
      </c>
      <c r="B115" s="4" t="s">
        <v>16</v>
      </c>
      <c r="C115" s="4" t="s">
        <v>2</v>
      </c>
      <c r="D115" s="4" t="s">
        <v>1969</v>
      </c>
      <c r="E115" s="4" t="s">
        <v>367</v>
      </c>
      <c r="F115" s="4"/>
      <c r="G115" s="4" t="s">
        <v>15</v>
      </c>
      <c r="H115" s="4" t="s">
        <v>709</v>
      </c>
      <c r="I115" s="4" t="s">
        <v>2</v>
      </c>
      <c r="J115" s="4" t="s">
        <v>2</v>
      </c>
    </row>
    <row r="116" spans="1:10" ht="32" outlineLevel="2" collapsed="1" x14ac:dyDescent="0.2">
      <c r="A116" s="4" t="s">
        <v>21</v>
      </c>
      <c r="B116" s="4" t="s">
        <v>16</v>
      </c>
      <c r="C116" s="4" t="s">
        <v>2</v>
      </c>
      <c r="D116" s="4" t="s">
        <v>2039</v>
      </c>
      <c r="E116" s="4" t="s">
        <v>400</v>
      </c>
      <c r="F116" s="4"/>
      <c r="G116" s="4" t="s">
        <v>15</v>
      </c>
      <c r="H116" s="4" t="s">
        <v>710</v>
      </c>
      <c r="I116" s="4" t="s">
        <v>2</v>
      </c>
      <c r="J116" s="4" t="s">
        <v>2</v>
      </c>
    </row>
    <row r="117" spans="1:10" ht="48" outlineLevel="1" x14ac:dyDescent="0.2">
      <c r="A117" s="5" t="s">
        <v>15</v>
      </c>
      <c r="B117" t="s">
        <v>1178</v>
      </c>
      <c r="C117" s="5" t="s">
        <v>711</v>
      </c>
      <c r="D117" s="5" t="s">
        <v>712</v>
      </c>
      <c r="E117" s="5" t="s">
        <v>711</v>
      </c>
      <c r="F117" s="5"/>
      <c r="G117" s="5" t="s">
        <v>21</v>
      </c>
      <c r="H117" s="5" t="s">
        <v>2</v>
      </c>
      <c r="I117" s="5" t="s">
        <v>2</v>
      </c>
      <c r="J117" s="5" t="s">
        <v>2</v>
      </c>
    </row>
    <row r="118" spans="1:10" ht="16" outlineLevel="2" collapsed="1" x14ac:dyDescent="0.2">
      <c r="A118" s="4" t="s">
        <v>21</v>
      </c>
      <c r="B118" s="4" t="s">
        <v>16</v>
      </c>
      <c r="C118" s="4" t="s">
        <v>2</v>
      </c>
      <c r="D118" s="4" t="s">
        <v>1969</v>
      </c>
      <c r="E118" s="4" t="s">
        <v>367</v>
      </c>
      <c r="F118" s="4"/>
      <c r="G118" s="4" t="s">
        <v>15</v>
      </c>
      <c r="H118" s="4" t="s">
        <v>713</v>
      </c>
      <c r="I118" s="4" t="s">
        <v>2</v>
      </c>
      <c r="J118" s="4" t="s">
        <v>2</v>
      </c>
    </row>
    <row r="119" spans="1:10" ht="48" outlineLevel="2" collapsed="1" x14ac:dyDescent="0.2">
      <c r="A119" s="4" t="s">
        <v>21</v>
      </c>
      <c r="B119" s="4" t="s">
        <v>16</v>
      </c>
      <c r="C119" s="4" t="s">
        <v>2</v>
      </c>
      <c r="D119" s="4" t="s">
        <v>2039</v>
      </c>
      <c r="E119" s="4" t="s">
        <v>400</v>
      </c>
      <c r="F119" s="4"/>
      <c r="G119" s="4" t="s">
        <v>15</v>
      </c>
      <c r="H119" s="4" t="s">
        <v>714</v>
      </c>
      <c r="I119" s="4" t="s">
        <v>2</v>
      </c>
      <c r="J119" s="4" t="s">
        <v>2</v>
      </c>
    </row>
    <row r="120" spans="1:10" ht="16" outlineLevel="1" x14ac:dyDescent="0.2">
      <c r="A120" s="5" t="s">
        <v>15</v>
      </c>
      <c r="B120" t="s">
        <v>1178</v>
      </c>
      <c r="C120" s="5" t="s">
        <v>715</v>
      </c>
      <c r="D120" s="5" t="s">
        <v>716</v>
      </c>
      <c r="E120" s="5" t="s">
        <v>715</v>
      </c>
      <c r="F120" s="5"/>
      <c r="G120" s="5" t="s">
        <v>21</v>
      </c>
      <c r="H120" s="5" t="s">
        <v>2</v>
      </c>
      <c r="I120" s="5" t="s">
        <v>2</v>
      </c>
      <c r="J120" s="5" t="s">
        <v>2</v>
      </c>
    </row>
    <row r="121" spans="1:10" ht="16" outlineLevel="2" collapsed="1" x14ac:dyDescent="0.2">
      <c r="A121" s="4" t="s">
        <v>21</v>
      </c>
      <c r="B121" s="4" t="s">
        <v>16</v>
      </c>
      <c r="C121" s="4" t="s">
        <v>2</v>
      </c>
      <c r="D121" s="4" t="s">
        <v>1969</v>
      </c>
      <c r="E121" s="4" t="s">
        <v>367</v>
      </c>
      <c r="F121" s="4"/>
      <c r="G121" s="4" t="s">
        <v>15</v>
      </c>
      <c r="H121" s="4" t="s">
        <v>717</v>
      </c>
      <c r="I121" s="4" t="s">
        <v>2</v>
      </c>
      <c r="J121" s="4" t="s">
        <v>2</v>
      </c>
    </row>
    <row r="122" spans="1:10" ht="32" outlineLevel="2" collapsed="1" x14ac:dyDescent="0.2">
      <c r="A122" s="4" t="s">
        <v>21</v>
      </c>
      <c r="B122" s="4" t="s">
        <v>16</v>
      </c>
      <c r="C122" s="4" t="s">
        <v>2</v>
      </c>
      <c r="D122" s="4" t="s">
        <v>2039</v>
      </c>
      <c r="E122" s="4" t="s">
        <v>400</v>
      </c>
      <c r="F122" s="4"/>
      <c r="G122" s="4" t="s">
        <v>15</v>
      </c>
      <c r="H122" s="4" t="s">
        <v>718</v>
      </c>
      <c r="I122" s="4" t="s">
        <v>2</v>
      </c>
      <c r="J122" s="4" t="s">
        <v>2</v>
      </c>
    </row>
    <row r="123" spans="1:10" ht="16" outlineLevel="1" collapsed="1" x14ac:dyDescent="0.2">
      <c r="A123" s="4" t="s">
        <v>15</v>
      </c>
      <c r="B123" s="4" t="s">
        <v>25</v>
      </c>
      <c r="C123" s="4" t="s">
        <v>2</v>
      </c>
      <c r="D123" s="4"/>
      <c r="E123" s="4" t="s">
        <v>719</v>
      </c>
      <c r="F123" s="4"/>
      <c r="G123" s="4" t="s">
        <v>15</v>
      </c>
      <c r="H123" s="4" t="s">
        <v>2</v>
      </c>
      <c r="I123" s="4" t="s">
        <v>2</v>
      </c>
      <c r="J123" s="4" t="s">
        <v>2</v>
      </c>
    </row>
    <row r="124" spans="1:10" ht="16" outlineLevel="1" collapsed="1" x14ac:dyDescent="0.2">
      <c r="A124" s="4" t="s">
        <v>21</v>
      </c>
      <c r="B124" s="4" t="s">
        <v>16</v>
      </c>
      <c r="C124" s="4" t="s">
        <v>2</v>
      </c>
      <c r="D124" s="4" t="s">
        <v>721</v>
      </c>
      <c r="E124" s="4" t="s">
        <v>720</v>
      </c>
      <c r="F124" s="4"/>
      <c r="G124" s="4" t="s">
        <v>15</v>
      </c>
      <c r="H124" s="4" t="s">
        <v>720</v>
      </c>
      <c r="I124" s="4" t="s">
        <v>2</v>
      </c>
      <c r="J124" s="4" t="s">
        <v>2</v>
      </c>
    </row>
    <row r="125" spans="1:10" ht="16" outlineLevel="1" collapsed="1" x14ac:dyDescent="0.2">
      <c r="A125" s="4" t="s">
        <v>21</v>
      </c>
      <c r="B125" s="4" t="s">
        <v>16</v>
      </c>
      <c r="C125" s="4" t="s">
        <v>2</v>
      </c>
      <c r="D125" s="4" t="s">
        <v>722</v>
      </c>
      <c r="E125" s="4" t="s">
        <v>404</v>
      </c>
      <c r="F125" s="4"/>
      <c r="G125" s="4" t="s">
        <v>15</v>
      </c>
      <c r="H125" s="4" t="s">
        <v>404</v>
      </c>
      <c r="I125" s="4" t="s">
        <v>2</v>
      </c>
      <c r="J125" s="4" t="s">
        <v>2</v>
      </c>
    </row>
    <row r="126" spans="1:10" ht="16" outlineLevel="1" collapsed="1" x14ac:dyDescent="0.2">
      <c r="A126" s="4" t="s">
        <v>21</v>
      </c>
      <c r="B126" s="4" t="s">
        <v>16</v>
      </c>
      <c r="C126" s="4" t="s">
        <v>2</v>
      </c>
      <c r="D126" s="4" t="s">
        <v>724</v>
      </c>
      <c r="E126" s="4" t="s">
        <v>723</v>
      </c>
      <c r="F126" s="4"/>
      <c r="G126" s="4" t="s">
        <v>15</v>
      </c>
      <c r="H126" s="4" t="s">
        <v>723</v>
      </c>
      <c r="I126" s="4" t="s">
        <v>2</v>
      </c>
      <c r="J126" s="4" t="s">
        <v>2</v>
      </c>
    </row>
    <row r="127" spans="1:10" ht="16" outlineLevel="1" x14ac:dyDescent="0.2">
      <c r="A127" s="5" t="s">
        <v>21</v>
      </c>
      <c r="B127" t="s">
        <v>1178</v>
      </c>
      <c r="C127" s="5" t="s">
        <v>725</v>
      </c>
      <c r="D127" s="5" t="s">
        <v>1973</v>
      </c>
      <c r="E127" s="5" t="s">
        <v>725</v>
      </c>
      <c r="F127" s="5"/>
      <c r="G127" s="5" t="s">
        <v>15</v>
      </c>
      <c r="H127" s="5" t="s">
        <v>2</v>
      </c>
      <c r="I127" s="5" t="s">
        <v>2</v>
      </c>
      <c r="J127" s="5" t="s">
        <v>2</v>
      </c>
    </row>
    <row r="128" spans="1:10" ht="16" outlineLevel="2" collapsed="1" x14ac:dyDescent="0.2">
      <c r="A128" s="4" t="s">
        <v>21</v>
      </c>
      <c r="B128" s="4" t="s">
        <v>16</v>
      </c>
      <c r="C128" s="4" t="s">
        <v>2</v>
      </c>
      <c r="D128" s="4" t="s">
        <v>2040</v>
      </c>
      <c r="E128" s="4" t="s">
        <v>410</v>
      </c>
      <c r="F128" s="4"/>
      <c r="G128" s="4" t="s">
        <v>15</v>
      </c>
      <c r="H128" s="4" t="s">
        <v>410</v>
      </c>
      <c r="I128" s="4" t="s">
        <v>2</v>
      </c>
      <c r="J128" s="4" t="s">
        <v>2</v>
      </c>
    </row>
    <row r="129" spans="1:10" ht="16" outlineLevel="2" collapsed="1" x14ac:dyDescent="0.2">
      <c r="A129" s="4" t="s">
        <v>21</v>
      </c>
      <c r="B129" s="4" t="s">
        <v>16</v>
      </c>
      <c r="C129" s="4" t="s">
        <v>2</v>
      </c>
      <c r="D129" s="4" t="s">
        <v>2041</v>
      </c>
      <c r="E129" s="4" t="s">
        <v>413</v>
      </c>
      <c r="F129" s="4"/>
      <c r="G129" s="4" t="s">
        <v>15</v>
      </c>
      <c r="H129" s="4" t="s">
        <v>413</v>
      </c>
      <c r="I129" s="4" t="s">
        <v>2</v>
      </c>
      <c r="J129" s="4" t="s">
        <v>2</v>
      </c>
    </row>
    <row r="130" spans="1:10" ht="16" outlineLevel="2" collapsed="1" x14ac:dyDescent="0.2">
      <c r="A130" s="4" t="s">
        <v>21</v>
      </c>
      <c r="B130" s="4" t="s">
        <v>16</v>
      </c>
      <c r="C130" s="4" t="s">
        <v>2</v>
      </c>
      <c r="D130" s="4" t="s">
        <v>2042</v>
      </c>
      <c r="E130" s="4" t="s">
        <v>414</v>
      </c>
      <c r="F130" s="4"/>
      <c r="G130" s="4" t="s">
        <v>15</v>
      </c>
      <c r="H130" s="4" t="s">
        <v>414</v>
      </c>
      <c r="I130" s="4" t="s">
        <v>2</v>
      </c>
      <c r="J130" s="4" t="s">
        <v>2</v>
      </c>
    </row>
    <row r="131" spans="1:10" ht="32" outlineLevel="2" x14ac:dyDescent="0.2">
      <c r="A131" s="5" t="s">
        <v>15</v>
      </c>
      <c r="B131" t="s">
        <v>1178</v>
      </c>
      <c r="C131" s="5" t="s">
        <v>2328</v>
      </c>
      <c r="D131" s="5" t="s">
        <v>2043</v>
      </c>
      <c r="E131" s="5" t="s">
        <v>415</v>
      </c>
      <c r="F131" s="5"/>
      <c r="G131" s="5" t="s">
        <v>21</v>
      </c>
      <c r="H131" s="5" t="s">
        <v>2</v>
      </c>
      <c r="I131" s="5" t="s">
        <v>2</v>
      </c>
      <c r="J131" s="5" t="s">
        <v>2</v>
      </c>
    </row>
    <row r="132" spans="1:10" ht="16" outlineLevel="3" collapsed="1" x14ac:dyDescent="0.2">
      <c r="A132" s="4" t="s">
        <v>21</v>
      </c>
      <c r="B132" s="4" t="s">
        <v>16</v>
      </c>
      <c r="C132" s="4" t="s">
        <v>2</v>
      </c>
      <c r="D132" s="5" t="s">
        <v>2049</v>
      </c>
      <c r="E132" s="4" t="s">
        <v>367</v>
      </c>
      <c r="F132" s="4"/>
      <c r="G132" s="4" t="s">
        <v>15</v>
      </c>
      <c r="H132" s="4" t="s">
        <v>728</v>
      </c>
      <c r="I132" s="4" t="s">
        <v>2</v>
      </c>
      <c r="J132" s="4" t="s">
        <v>2</v>
      </c>
    </row>
    <row r="133" spans="1:10" ht="32" outlineLevel="3" collapsed="1" x14ac:dyDescent="0.2">
      <c r="A133" s="4" t="s">
        <v>21</v>
      </c>
      <c r="B133" s="4" t="s">
        <v>16</v>
      </c>
      <c r="C133" s="4" t="s">
        <v>2</v>
      </c>
      <c r="D133" s="5" t="s">
        <v>2050</v>
      </c>
      <c r="E133" s="4" t="s">
        <v>400</v>
      </c>
      <c r="F133" s="4"/>
      <c r="G133" s="4" t="s">
        <v>15</v>
      </c>
      <c r="H133" s="4" t="s">
        <v>729</v>
      </c>
      <c r="I133" s="4" t="s">
        <v>2</v>
      </c>
      <c r="J133" s="4" t="s">
        <v>2</v>
      </c>
    </row>
    <row r="134" spans="1:10" ht="48" outlineLevel="1" x14ac:dyDescent="0.2">
      <c r="A134" s="5" t="s">
        <v>21</v>
      </c>
      <c r="B134" t="s">
        <v>1178</v>
      </c>
      <c r="C134" s="5" t="s">
        <v>730</v>
      </c>
      <c r="D134" s="5" t="s">
        <v>731</v>
      </c>
      <c r="E134" s="5" t="s">
        <v>730</v>
      </c>
      <c r="F134" s="5"/>
      <c r="G134" s="5" t="s">
        <v>15</v>
      </c>
      <c r="H134" s="5" t="s">
        <v>2</v>
      </c>
      <c r="I134" s="5" t="s">
        <v>2</v>
      </c>
      <c r="J134" s="5" t="s">
        <v>2</v>
      </c>
    </row>
    <row r="135" spans="1:10" ht="16" outlineLevel="2" collapsed="1" x14ac:dyDescent="0.2">
      <c r="A135" s="4" t="s">
        <v>21</v>
      </c>
      <c r="B135" s="4" t="s">
        <v>16</v>
      </c>
      <c r="C135" s="4" t="s">
        <v>2</v>
      </c>
      <c r="D135" s="4" t="s">
        <v>2044</v>
      </c>
      <c r="E135" s="4" t="s">
        <v>422</v>
      </c>
      <c r="F135" s="4"/>
      <c r="G135" s="4" t="s">
        <v>15</v>
      </c>
      <c r="H135" s="4" t="s">
        <v>422</v>
      </c>
      <c r="I135" s="4" t="s">
        <v>2</v>
      </c>
      <c r="J135" s="4" t="s">
        <v>2</v>
      </c>
    </row>
    <row r="136" spans="1:10" ht="16" outlineLevel="2" collapsed="1" x14ac:dyDescent="0.2">
      <c r="A136" s="4" t="s">
        <v>21</v>
      </c>
      <c r="B136" s="4" t="s">
        <v>16</v>
      </c>
      <c r="C136" s="4" t="s">
        <v>2</v>
      </c>
      <c r="D136" s="4" t="s">
        <v>2045</v>
      </c>
      <c r="E136" s="4" t="s">
        <v>424</v>
      </c>
      <c r="F136" s="4"/>
      <c r="G136" s="4" t="s">
        <v>15</v>
      </c>
      <c r="H136" s="4" t="s">
        <v>424</v>
      </c>
      <c r="I136" s="4" t="s">
        <v>2</v>
      </c>
      <c r="J136" s="4" t="s">
        <v>2</v>
      </c>
    </row>
    <row r="137" spans="1:10" ht="32" outlineLevel="2" x14ac:dyDescent="0.2">
      <c r="A137" s="5" t="s">
        <v>15</v>
      </c>
      <c r="B137" t="s">
        <v>1178</v>
      </c>
      <c r="C137" s="5" t="s">
        <v>733</v>
      </c>
      <c r="D137" s="5" t="s">
        <v>2046</v>
      </c>
      <c r="E137" s="5" t="s">
        <v>733</v>
      </c>
      <c r="F137" s="5"/>
      <c r="G137" s="5" t="s">
        <v>21</v>
      </c>
      <c r="H137" s="5" t="s">
        <v>2</v>
      </c>
      <c r="I137" s="5" t="s">
        <v>2</v>
      </c>
      <c r="J137" s="5" t="s">
        <v>2</v>
      </c>
    </row>
    <row r="138" spans="1:10" ht="16" outlineLevel="3" collapsed="1" x14ac:dyDescent="0.2">
      <c r="A138" s="4" t="s">
        <v>21</v>
      </c>
      <c r="B138" s="4" t="s">
        <v>16</v>
      </c>
      <c r="C138" s="4" t="s">
        <v>2</v>
      </c>
      <c r="D138" s="5" t="s">
        <v>2049</v>
      </c>
      <c r="E138" s="4" t="s">
        <v>367</v>
      </c>
      <c r="F138" s="4"/>
      <c r="G138" s="4" t="s">
        <v>15</v>
      </c>
      <c r="H138" s="4" t="s">
        <v>734</v>
      </c>
      <c r="I138" s="4" t="s">
        <v>2</v>
      </c>
      <c r="J138" s="4" t="s">
        <v>2</v>
      </c>
    </row>
    <row r="139" spans="1:10" ht="48" outlineLevel="3" collapsed="1" x14ac:dyDescent="0.2">
      <c r="A139" s="4" t="s">
        <v>21</v>
      </c>
      <c r="B139" s="4" t="s">
        <v>16</v>
      </c>
      <c r="C139" s="4" t="s">
        <v>2</v>
      </c>
      <c r="D139" s="5" t="s">
        <v>2050</v>
      </c>
      <c r="E139" s="4" t="s">
        <v>400</v>
      </c>
      <c r="F139" s="4"/>
      <c r="G139" s="4" t="s">
        <v>15</v>
      </c>
      <c r="H139" s="4" t="s">
        <v>735</v>
      </c>
      <c r="I139" s="4" t="s">
        <v>2</v>
      </c>
      <c r="J139" s="4" t="s">
        <v>2</v>
      </c>
    </row>
    <row r="140" spans="1:10" ht="16" outlineLevel="1" collapsed="1" x14ac:dyDescent="0.2">
      <c r="A140" s="4" t="s">
        <v>15</v>
      </c>
      <c r="B140" s="4" t="s">
        <v>25</v>
      </c>
      <c r="C140" s="4" t="s">
        <v>2</v>
      </c>
      <c r="D140" s="4"/>
      <c r="E140" s="4" t="s">
        <v>736</v>
      </c>
      <c r="F140" s="4"/>
      <c r="G140" s="4" t="s">
        <v>15</v>
      </c>
      <c r="H140" s="4" t="s">
        <v>2</v>
      </c>
      <c r="I140" s="4" t="s">
        <v>2</v>
      </c>
      <c r="J140" s="4" t="s">
        <v>2</v>
      </c>
    </row>
    <row r="141" spans="1:10" ht="32" outlineLevel="1" x14ac:dyDescent="0.2">
      <c r="A141" s="5" t="s">
        <v>21</v>
      </c>
      <c r="B141" t="s">
        <v>1178</v>
      </c>
      <c r="C141" s="5" t="s">
        <v>2329</v>
      </c>
      <c r="D141" s="5" t="s">
        <v>737</v>
      </c>
      <c r="E141" s="5" t="s">
        <v>433</v>
      </c>
      <c r="F141" s="5"/>
      <c r="G141" s="5" t="s">
        <v>21</v>
      </c>
      <c r="H141" s="5" t="s">
        <v>2</v>
      </c>
      <c r="I141" s="5" t="s">
        <v>2</v>
      </c>
      <c r="J141" s="5" t="s">
        <v>2</v>
      </c>
    </row>
    <row r="142" spans="1:10" ht="16" outlineLevel="2" collapsed="1" x14ac:dyDescent="0.2">
      <c r="A142" s="4" t="s">
        <v>21</v>
      </c>
      <c r="B142" s="4" t="s">
        <v>16</v>
      </c>
      <c r="C142" s="4" t="s">
        <v>2</v>
      </c>
      <c r="D142" s="5" t="s">
        <v>2047</v>
      </c>
      <c r="E142" s="4" t="s">
        <v>433</v>
      </c>
      <c r="F142" s="4"/>
      <c r="G142" s="4" t="s">
        <v>15</v>
      </c>
      <c r="H142" s="4" t="s">
        <v>433</v>
      </c>
      <c r="I142" s="4" t="s">
        <v>2</v>
      </c>
      <c r="J142" s="4" t="s">
        <v>2</v>
      </c>
    </row>
    <row r="143" spans="1:10" ht="32" outlineLevel="2" collapsed="1" x14ac:dyDescent="0.2">
      <c r="A143" s="4" t="s">
        <v>21</v>
      </c>
      <c r="B143" s="4" t="s">
        <v>16</v>
      </c>
      <c r="C143" s="4" t="s">
        <v>2</v>
      </c>
      <c r="D143" s="5" t="s">
        <v>2048</v>
      </c>
      <c r="E143" s="4" t="s">
        <v>391</v>
      </c>
      <c r="F143" s="4"/>
      <c r="G143" s="4" t="s">
        <v>15</v>
      </c>
      <c r="H143" s="4" t="s">
        <v>391</v>
      </c>
      <c r="I143" s="4" t="s">
        <v>2</v>
      </c>
      <c r="J143" s="4" t="s">
        <v>2</v>
      </c>
    </row>
    <row r="144" spans="1:10" ht="32" outlineLevel="1" x14ac:dyDescent="0.2">
      <c r="A144" s="5" t="s">
        <v>21</v>
      </c>
      <c r="B144" t="s">
        <v>1178</v>
      </c>
      <c r="C144" s="5" t="s">
        <v>2330</v>
      </c>
      <c r="D144" s="5" t="s">
        <v>738</v>
      </c>
      <c r="E144" s="5" t="s">
        <v>442</v>
      </c>
      <c r="F144" s="5"/>
      <c r="G144" s="5" t="s">
        <v>21</v>
      </c>
      <c r="H144" s="5" t="s">
        <v>2</v>
      </c>
      <c r="I144" s="5" t="s">
        <v>2</v>
      </c>
      <c r="J144" s="5" t="s">
        <v>2</v>
      </c>
    </row>
    <row r="145" spans="1:10" ht="16" outlineLevel="2" collapsed="1" x14ac:dyDescent="0.2">
      <c r="A145" s="4" t="s">
        <v>21</v>
      </c>
      <c r="B145" s="4" t="s">
        <v>16</v>
      </c>
      <c r="C145" s="4" t="s">
        <v>2</v>
      </c>
      <c r="D145" s="5" t="s">
        <v>2049</v>
      </c>
      <c r="E145" s="4" t="s">
        <v>442</v>
      </c>
      <c r="F145" s="4"/>
      <c r="G145" s="4" t="s">
        <v>15</v>
      </c>
      <c r="H145" s="4" t="s">
        <v>442</v>
      </c>
      <c r="I145" s="4" t="s">
        <v>2</v>
      </c>
      <c r="J145" s="4" t="s">
        <v>2</v>
      </c>
    </row>
    <row r="146" spans="1:10" ht="32" outlineLevel="2" collapsed="1" x14ac:dyDescent="0.2">
      <c r="A146" s="4" t="s">
        <v>21</v>
      </c>
      <c r="B146" s="4" t="s">
        <v>16</v>
      </c>
      <c r="C146" s="4" t="s">
        <v>2</v>
      </c>
      <c r="D146" s="5" t="s">
        <v>2050</v>
      </c>
      <c r="E146" s="4" t="s">
        <v>391</v>
      </c>
      <c r="F146" s="4"/>
      <c r="G146" s="4" t="s">
        <v>15</v>
      </c>
      <c r="H146" s="4" t="s">
        <v>391</v>
      </c>
      <c r="I146" s="4" t="s">
        <v>2</v>
      </c>
      <c r="J146" s="4" t="s">
        <v>2</v>
      </c>
    </row>
    <row r="147" spans="1:10" ht="32" outlineLevel="1" x14ac:dyDescent="0.2">
      <c r="A147" s="5" t="s">
        <v>21</v>
      </c>
      <c r="B147" t="s">
        <v>1178</v>
      </c>
      <c r="C147" s="5" t="s">
        <v>2331</v>
      </c>
      <c r="D147" s="5" t="s">
        <v>739</v>
      </c>
      <c r="E147" s="5" t="s">
        <v>447</v>
      </c>
      <c r="F147" s="5"/>
      <c r="G147" s="5" t="s">
        <v>21</v>
      </c>
      <c r="H147" s="5" t="s">
        <v>2</v>
      </c>
      <c r="I147" s="5" t="s">
        <v>2</v>
      </c>
      <c r="J147" s="5" t="s">
        <v>2</v>
      </c>
    </row>
    <row r="148" spans="1:10" ht="16" outlineLevel="2" collapsed="1" x14ac:dyDescent="0.2">
      <c r="A148" s="4" t="s">
        <v>21</v>
      </c>
      <c r="B148" s="4" t="s">
        <v>16</v>
      </c>
      <c r="C148" s="4" t="s">
        <v>2</v>
      </c>
      <c r="D148" s="5" t="s">
        <v>2049</v>
      </c>
      <c r="E148" s="4" t="s">
        <v>447</v>
      </c>
      <c r="F148" s="4"/>
      <c r="G148" s="4" t="s">
        <v>15</v>
      </c>
      <c r="H148" s="4" t="s">
        <v>447</v>
      </c>
      <c r="I148" s="4" t="s">
        <v>2</v>
      </c>
      <c r="J148" s="4" t="s">
        <v>2</v>
      </c>
    </row>
    <row r="149" spans="1:10" ht="32" outlineLevel="2" collapsed="1" x14ac:dyDescent="0.2">
      <c r="A149" s="4" t="s">
        <v>21</v>
      </c>
      <c r="B149" s="4" t="s">
        <v>16</v>
      </c>
      <c r="C149" s="4" t="s">
        <v>2</v>
      </c>
      <c r="D149" s="5" t="s">
        <v>2050</v>
      </c>
      <c r="E149" s="4" t="s">
        <v>391</v>
      </c>
      <c r="F149" s="4"/>
      <c r="G149" s="4" t="s">
        <v>15</v>
      </c>
      <c r="H149" s="4" t="s">
        <v>391</v>
      </c>
      <c r="I149" s="4" t="s">
        <v>2</v>
      </c>
      <c r="J149" s="4" t="s">
        <v>2</v>
      </c>
    </row>
    <row r="150" spans="1:10" ht="32" outlineLevel="1" x14ac:dyDescent="0.2">
      <c r="A150" s="5" t="s">
        <v>21</v>
      </c>
      <c r="B150" t="s">
        <v>1178</v>
      </c>
      <c r="C150" s="5" t="s">
        <v>740</v>
      </c>
      <c r="D150" s="5" t="s">
        <v>741</v>
      </c>
      <c r="E150" s="5" t="s">
        <v>740</v>
      </c>
      <c r="F150" s="5"/>
      <c r="G150" s="5" t="s">
        <v>21</v>
      </c>
      <c r="H150" s="5" t="s">
        <v>2</v>
      </c>
      <c r="I150" s="5" t="s">
        <v>2</v>
      </c>
      <c r="J150" s="5" t="s">
        <v>2</v>
      </c>
    </row>
    <row r="151" spans="1:10" ht="16" outlineLevel="2" collapsed="1" x14ac:dyDescent="0.2">
      <c r="A151" s="4" t="s">
        <v>21</v>
      </c>
      <c r="B151" s="4" t="s">
        <v>16</v>
      </c>
      <c r="C151" s="4" t="s">
        <v>2</v>
      </c>
      <c r="D151" s="5" t="s">
        <v>2049</v>
      </c>
      <c r="E151" s="4" t="s">
        <v>451</v>
      </c>
      <c r="F151" s="4"/>
      <c r="G151" s="4" t="s">
        <v>15</v>
      </c>
      <c r="H151" s="4" t="s">
        <v>451</v>
      </c>
      <c r="I151" s="4" t="s">
        <v>2</v>
      </c>
      <c r="J151" s="4" t="s">
        <v>2</v>
      </c>
    </row>
    <row r="152" spans="1:10" ht="16" outlineLevel="2" collapsed="1" x14ac:dyDescent="0.2">
      <c r="A152" s="4" t="s">
        <v>21</v>
      </c>
      <c r="B152" s="4" t="s">
        <v>16</v>
      </c>
      <c r="C152" s="4" t="s">
        <v>2</v>
      </c>
      <c r="D152" s="5" t="s">
        <v>2050</v>
      </c>
      <c r="E152" s="4" t="s">
        <v>742</v>
      </c>
      <c r="F152" s="4"/>
      <c r="G152" s="4" t="s">
        <v>15</v>
      </c>
      <c r="H152" s="4" t="s">
        <v>742</v>
      </c>
      <c r="I152" s="4" t="s">
        <v>2</v>
      </c>
      <c r="J152" s="4" t="s">
        <v>2</v>
      </c>
    </row>
    <row r="153" spans="1:10" ht="16" outlineLevel="1" collapsed="1" x14ac:dyDescent="0.2">
      <c r="A153" s="4" t="s">
        <v>15</v>
      </c>
      <c r="B153" s="4" t="s">
        <v>25</v>
      </c>
      <c r="C153" s="4" t="s">
        <v>2</v>
      </c>
      <c r="D153" s="4"/>
      <c r="E153" s="4" t="s">
        <v>743</v>
      </c>
      <c r="F153" s="4"/>
      <c r="G153" s="4" t="s">
        <v>15</v>
      </c>
      <c r="H153" s="4" t="s">
        <v>2</v>
      </c>
      <c r="I153" s="4" t="s">
        <v>2</v>
      </c>
      <c r="J153" s="4" t="s">
        <v>2</v>
      </c>
    </row>
    <row r="154" spans="1:10" ht="16" outlineLevel="1" collapsed="1" x14ac:dyDescent="0.2">
      <c r="A154" s="4" t="s">
        <v>21</v>
      </c>
      <c r="B154" s="4" t="s">
        <v>16</v>
      </c>
      <c r="C154" s="4" t="s">
        <v>2</v>
      </c>
      <c r="D154" s="4" t="s">
        <v>2051</v>
      </c>
      <c r="E154" s="4" t="s">
        <v>745</v>
      </c>
      <c r="F154" s="4"/>
      <c r="G154" s="4" t="s">
        <v>15</v>
      </c>
      <c r="H154" s="4" t="s">
        <v>745</v>
      </c>
      <c r="I154" s="4" t="s">
        <v>2</v>
      </c>
      <c r="J154" s="4" t="s">
        <v>2</v>
      </c>
    </row>
    <row r="155" spans="1:10" ht="16" outlineLevel="1" collapsed="1" x14ac:dyDescent="0.2">
      <c r="A155" s="4" t="s">
        <v>15</v>
      </c>
      <c r="B155" s="4" t="s">
        <v>25</v>
      </c>
      <c r="C155" s="4" t="s">
        <v>2</v>
      </c>
      <c r="D155" s="4"/>
      <c r="E155" s="4" t="s">
        <v>746</v>
      </c>
      <c r="F155" s="4"/>
      <c r="G155" s="4" t="s">
        <v>15</v>
      </c>
      <c r="H155" s="4" t="s">
        <v>2</v>
      </c>
      <c r="I155" s="4" t="s">
        <v>2</v>
      </c>
      <c r="J155" s="4" t="s">
        <v>2</v>
      </c>
    </row>
    <row r="156" spans="1:10" ht="16" outlineLevel="1" x14ac:dyDescent="0.2">
      <c r="A156" s="5" t="s">
        <v>21</v>
      </c>
      <c r="B156" t="s">
        <v>1178</v>
      </c>
      <c r="C156" s="5" t="s">
        <v>747</v>
      </c>
      <c r="D156" s="5" t="s">
        <v>2052</v>
      </c>
      <c r="E156" s="5" t="s">
        <v>747</v>
      </c>
      <c r="F156" s="5"/>
      <c r="G156" s="5" t="s">
        <v>21</v>
      </c>
      <c r="H156" s="5" t="s">
        <v>2</v>
      </c>
      <c r="I156" s="5" t="s">
        <v>2</v>
      </c>
      <c r="J156" s="5" t="s">
        <v>2</v>
      </c>
    </row>
    <row r="157" spans="1:10" ht="16" outlineLevel="2" collapsed="1" x14ac:dyDescent="0.2">
      <c r="A157" s="4" t="s">
        <v>21</v>
      </c>
      <c r="B157" s="4" t="s">
        <v>16</v>
      </c>
      <c r="C157" s="4" t="s">
        <v>2</v>
      </c>
      <c r="D157" s="4" t="s">
        <v>2053</v>
      </c>
      <c r="E157" s="4" t="s">
        <v>748</v>
      </c>
      <c r="F157" s="4"/>
      <c r="G157" s="4" t="s">
        <v>15</v>
      </c>
      <c r="H157" s="4" t="s">
        <v>748</v>
      </c>
      <c r="I157" s="4" t="s">
        <v>2</v>
      </c>
      <c r="J157" s="4" t="s">
        <v>2</v>
      </c>
    </row>
    <row r="158" spans="1:10" ht="16" outlineLevel="2" collapsed="1" x14ac:dyDescent="0.2">
      <c r="A158" s="4" t="s">
        <v>21</v>
      </c>
      <c r="B158" s="4" t="s">
        <v>16</v>
      </c>
      <c r="C158" s="4" t="s">
        <v>2</v>
      </c>
      <c r="D158" s="4" t="s">
        <v>630</v>
      </c>
      <c r="E158" s="4" t="s">
        <v>749</v>
      </c>
      <c r="F158" s="4"/>
      <c r="G158" s="4" t="s">
        <v>15</v>
      </c>
      <c r="H158" s="4" t="s">
        <v>749</v>
      </c>
      <c r="I158" s="4" t="s">
        <v>2</v>
      </c>
      <c r="J158" s="4" t="s">
        <v>2</v>
      </c>
    </row>
    <row r="159" spans="1:10" ht="16" outlineLevel="2" collapsed="1" x14ac:dyDescent="0.2">
      <c r="A159" s="4" t="s">
        <v>21</v>
      </c>
      <c r="B159" s="4" t="s">
        <v>16</v>
      </c>
      <c r="C159" s="4" t="s">
        <v>2</v>
      </c>
      <c r="D159" s="4" t="s">
        <v>2054</v>
      </c>
      <c r="E159" s="4" t="s">
        <v>750</v>
      </c>
      <c r="F159" s="4"/>
      <c r="G159" s="4" t="s">
        <v>15</v>
      </c>
      <c r="H159" s="4" t="s">
        <v>750</v>
      </c>
      <c r="I159" s="4" t="s">
        <v>2</v>
      </c>
      <c r="J159" s="4" t="s">
        <v>2</v>
      </c>
    </row>
    <row r="160" spans="1:10" ht="17" customHeight="1" outlineLevel="1" x14ac:dyDescent="0.2">
      <c r="A160" s="17" t="s">
        <v>15</v>
      </c>
      <c r="B160" s="17" t="s">
        <v>1178</v>
      </c>
      <c r="C160" s="17" t="s">
        <v>2351</v>
      </c>
      <c r="D160" s="17" t="s">
        <v>2348</v>
      </c>
      <c r="E160" s="17" t="s">
        <v>751</v>
      </c>
      <c r="F160" s="17"/>
      <c r="G160" s="17" t="s">
        <v>15</v>
      </c>
      <c r="H160" s="17" t="s">
        <v>2</v>
      </c>
      <c r="I160" s="17" t="s">
        <v>2</v>
      </c>
      <c r="J160" s="17" t="s">
        <v>2</v>
      </c>
    </row>
    <row r="161" spans="1:10" ht="25" outlineLevel="2" x14ac:dyDescent="0.3">
      <c r="A161" s="17" t="s">
        <v>15</v>
      </c>
      <c r="B161" s="17" t="s">
        <v>25</v>
      </c>
      <c r="C161" s="18" t="s">
        <v>365</v>
      </c>
      <c r="D161" s="17"/>
      <c r="E161" s="59" t="s">
        <v>753</v>
      </c>
      <c r="F161" s="17"/>
      <c r="G161" s="17" t="s">
        <v>15</v>
      </c>
      <c r="H161" s="17" t="s">
        <v>2</v>
      </c>
      <c r="I161" s="17" t="s">
        <v>2</v>
      </c>
      <c r="J161" s="17" t="s">
        <v>2</v>
      </c>
    </row>
    <row r="162" spans="1:10" ht="25" outlineLevel="2" collapsed="1" x14ac:dyDescent="0.2">
      <c r="A162" s="17" t="s">
        <v>15</v>
      </c>
      <c r="B162" s="17" t="s">
        <v>25</v>
      </c>
      <c r="C162" s="18" t="s">
        <v>365</v>
      </c>
      <c r="D162" s="17"/>
      <c r="E162" s="19" t="s">
        <v>1258</v>
      </c>
      <c r="F162" s="17"/>
      <c r="G162" s="17" t="s">
        <v>15</v>
      </c>
      <c r="H162" s="17" t="s">
        <v>2</v>
      </c>
      <c r="I162" s="17" t="s">
        <v>2</v>
      </c>
      <c r="J162" s="17" t="s">
        <v>2</v>
      </c>
    </row>
    <row r="163" spans="1:10" ht="16" outlineLevel="2" collapsed="1" x14ac:dyDescent="0.2">
      <c r="A163" s="17" t="s">
        <v>15</v>
      </c>
      <c r="B163" s="17" t="s">
        <v>22</v>
      </c>
      <c r="C163" t="s">
        <v>2239</v>
      </c>
      <c r="D163" s="17" t="s">
        <v>2155</v>
      </c>
      <c r="E163" s="15" t="s">
        <v>2164</v>
      </c>
      <c r="F163" s="17"/>
      <c r="G163" s="17" t="s">
        <v>15</v>
      </c>
      <c r="H163" s="17"/>
      <c r="I163" s="17" t="s">
        <v>2173</v>
      </c>
      <c r="J163" s="17" t="s">
        <v>2</v>
      </c>
    </row>
    <row r="164" spans="1:10" ht="16" outlineLevel="2" collapsed="1" x14ac:dyDescent="0.2">
      <c r="A164" s="17" t="s">
        <v>21</v>
      </c>
      <c r="B164" s="17" t="s">
        <v>16</v>
      </c>
      <c r="C164" s="17"/>
      <c r="D164" s="17" t="s">
        <v>2154</v>
      </c>
      <c r="E164" s="15" t="s">
        <v>2237</v>
      </c>
      <c r="F164" s="17"/>
      <c r="G164" s="17" t="s">
        <v>15</v>
      </c>
      <c r="H164" s="17"/>
      <c r="I164" s="17" t="s">
        <v>2</v>
      </c>
      <c r="J164" s="17" t="s">
        <v>2</v>
      </c>
    </row>
    <row r="165" spans="1:10" ht="16" outlineLevel="2" collapsed="1" x14ac:dyDescent="0.2">
      <c r="A165" s="17" t="s">
        <v>21</v>
      </c>
      <c r="B165" s="17" t="s">
        <v>22</v>
      </c>
      <c r="C165" t="s">
        <v>2239</v>
      </c>
      <c r="D165" s="17" t="s">
        <v>2156</v>
      </c>
      <c r="E165" s="15" t="s">
        <v>2163</v>
      </c>
      <c r="F165" s="17"/>
      <c r="G165" s="17" t="s">
        <v>15</v>
      </c>
      <c r="H165" s="17"/>
      <c r="I165" s="17" t="s">
        <v>2173</v>
      </c>
      <c r="J165" s="17" t="s">
        <v>2</v>
      </c>
    </row>
    <row r="166" spans="1:10" ht="32" outlineLevel="2" collapsed="1" x14ac:dyDescent="0.2">
      <c r="A166" s="17" t="s">
        <v>21</v>
      </c>
      <c r="B166" s="17" t="s">
        <v>16</v>
      </c>
      <c r="C166" s="17" t="s">
        <v>2</v>
      </c>
      <c r="D166" s="17" t="s">
        <v>2157</v>
      </c>
      <c r="E166" s="15" t="s">
        <v>2161</v>
      </c>
      <c r="F166" s="17"/>
      <c r="G166" s="17" t="s">
        <v>15</v>
      </c>
      <c r="H166" s="17"/>
      <c r="I166" s="17" t="s">
        <v>2</v>
      </c>
      <c r="J166" s="17" t="s">
        <v>2</v>
      </c>
    </row>
    <row r="167" spans="1:10" ht="16" outlineLevel="2" collapsed="1" x14ac:dyDescent="0.2">
      <c r="A167" s="17" t="s">
        <v>15</v>
      </c>
      <c r="B167" s="17" t="s">
        <v>22</v>
      </c>
      <c r="C167" t="s">
        <v>2239</v>
      </c>
      <c r="D167" s="17" t="s">
        <v>2158</v>
      </c>
      <c r="E167" s="15" t="s">
        <v>2165</v>
      </c>
      <c r="F167" s="17"/>
      <c r="G167" s="17" t="s">
        <v>15</v>
      </c>
      <c r="H167" s="17"/>
      <c r="I167" s="17" t="s">
        <v>2173</v>
      </c>
      <c r="J167" s="17" t="s">
        <v>2</v>
      </c>
    </row>
    <row r="168" spans="1:10" ht="16" outlineLevel="2" collapsed="1" x14ac:dyDescent="0.2">
      <c r="A168" s="17" t="s">
        <v>15</v>
      </c>
      <c r="B168" s="17" t="s">
        <v>16</v>
      </c>
      <c r="C168" s="4"/>
      <c r="D168" s="17" t="s">
        <v>2159</v>
      </c>
      <c r="E168" s="58" t="s">
        <v>2162</v>
      </c>
      <c r="F168" s="17"/>
      <c r="G168" s="17" t="s">
        <v>15</v>
      </c>
      <c r="H168" s="17"/>
      <c r="I168" s="17" t="s">
        <v>2</v>
      </c>
      <c r="J168" s="17" t="s">
        <v>2</v>
      </c>
    </row>
    <row r="169" spans="1:10" ht="25" outlineLevel="2" collapsed="1" x14ac:dyDescent="0.2">
      <c r="A169" s="17" t="s">
        <v>15</v>
      </c>
      <c r="B169" s="17" t="s">
        <v>25</v>
      </c>
      <c r="C169" s="18" t="s">
        <v>365</v>
      </c>
      <c r="D169" s="17"/>
      <c r="E169" s="19" t="s">
        <v>1256</v>
      </c>
      <c r="F169" s="17"/>
      <c r="G169" s="17" t="s">
        <v>15</v>
      </c>
      <c r="H169" s="17" t="s">
        <v>2</v>
      </c>
      <c r="I169" s="17" t="s">
        <v>2</v>
      </c>
      <c r="J169" s="17" t="s">
        <v>2</v>
      </c>
    </row>
    <row r="170" spans="1:10" ht="16" outlineLevel="2" collapsed="1" x14ac:dyDescent="0.2">
      <c r="A170" s="17" t="s">
        <v>15</v>
      </c>
      <c r="B170" s="17" t="s">
        <v>22</v>
      </c>
      <c r="C170" t="s">
        <v>2239</v>
      </c>
      <c r="D170" s="17" t="s">
        <v>2166</v>
      </c>
      <c r="E170" s="15" t="s">
        <v>2164</v>
      </c>
      <c r="F170" s="17"/>
      <c r="G170" s="17" t="s">
        <v>15</v>
      </c>
      <c r="H170" s="17"/>
      <c r="I170" s="17" t="s">
        <v>2173</v>
      </c>
      <c r="J170" s="17" t="s">
        <v>2</v>
      </c>
    </row>
    <row r="171" spans="1:10" ht="16" outlineLevel="2" collapsed="1" x14ac:dyDescent="0.2">
      <c r="A171" s="17" t="s">
        <v>21</v>
      </c>
      <c r="B171" s="17" t="s">
        <v>16</v>
      </c>
      <c r="C171" s="17"/>
      <c r="D171" s="17" t="s">
        <v>2167</v>
      </c>
      <c r="E171" s="15" t="s">
        <v>2160</v>
      </c>
      <c r="F171" s="17"/>
      <c r="G171" s="17" t="s">
        <v>15</v>
      </c>
      <c r="H171" s="17"/>
      <c r="I171" s="17" t="s">
        <v>2</v>
      </c>
      <c r="J171" s="17" t="s">
        <v>2</v>
      </c>
    </row>
    <row r="172" spans="1:10" ht="16" outlineLevel="2" collapsed="1" x14ac:dyDescent="0.2">
      <c r="A172" s="17" t="s">
        <v>21</v>
      </c>
      <c r="B172" s="17" t="s">
        <v>22</v>
      </c>
      <c r="C172" t="s">
        <v>2239</v>
      </c>
      <c r="D172" s="17" t="s">
        <v>2168</v>
      </c>
      <c r="E172" s="15" t="s">
        <v>2163</v>
      </c>
      <c r="F172" s="17"/>
      <c r="G172" s="17" t="s">
        <v>15</v>
      </c>
      <c r="H172" s="17"/>
      <c r="I172" s="17" t="s">
        <v>2173</v>
      </c>
      <c r="J172" s="17" t="s">
        <v>2</v>
      </c>
    </row>
    <row r="173" spans="1:10" ht="32" outlineLevel="2" collapsed="1" x14ac:dyDescent="0.2">
      <c r="A173" s="17" t="s">
        <v>21</v>
      </c>
      <c r="B173" s="17" t="s">
        <v>16</v>
      </c>
      <c r="C173" s="17" t="s">
        <v>2</v>
      </c>
      <c r="D173" s="17" t="s">
        <v>2169</v>
      </c>
      <c r="E173" s="15" t="s">
        <v>2161</v>
      </c>
      <c r="F173" s="17"/>
      <c r="G173" s="17" t="s">
        <v>15</v>
      </c>
      <c r="H173" s="17"/>
      <c r="I173" s="17" t="s">
        <v>2</v>
      </c>
      <c r="J173" s="17" t="s">
        <v>2</v>
      </c>
    </row>
    <row r="174" spans="1:10" ht="16" outlineLevel="2" collapsed="1" x14ac:dyDescent="0.2">
      <c r="A174" s="17" t="s">
        <v>15</v>
      </c>
      <c r="B174" s="17" t="s">
        <v>22</v>
      </c>
      <c r="C174" t="s">
        <v>2239</v>
      </c>
      <c r="D174" s="17" t="s">
        <v>2170</v>
      </c>
      <c r="E174" s="15" t="s">
        <v>2165</v>
      </c>
      <c r="F174" s="17"/>
      <c r="G174" s="17" t="s">
        <v>15</v>
      </c>
      <c r="H174" s="17"/>
      <c r="I174" s="17" t="s">
        <v>2173</v>
      </c>
      <c r="J174" s="17" t="s">
        <v>2</v>
      </c>
    </row>
    <row r="175" spans="1:10" ht="16" outlineLevel="2" collapsed="1" x14ac:dyDescent="0.2">
      <c r="A175" s="17" t="s">
        <v>15</v>
      </c>
      <c r="B175" s="17" t="s">
        <v>16</v>
      </c>
      <c r="C175" s="4"/>
      <c r="D175" s="17" t="s">
        <v>2171</v>
      </c>
      <c r="E175" s="58" t="s">
        <v>2162</v>
      </c>
      <c r="F175" s="17"/>
      <c r="G175" s="17" t="s">
        <v>15</v>
      </c>
      <c r="H175" s="17"/>
      <c r="I175" s="17" t="s">
        <v>2</v>
      </c>
      <c r="J175" s="17" t="s">
        <v>2</v>
      </c>
    </row>
    <row r="176" spans="1:10" ht="25" outlineLevel="2" collapsed="1" x14ac:dyDescent="0.2">
      <c r="A176" s="17" t="s">
        <v>15</v>
      </c>
      <c r="B176" s="17" t="s">
        <v>25</v>
      </c>
      <c r="C176" s="18" t="s">
        <v>365</v>
      </c>
      <c r="D176" s="17"/>
      <c r="E176" s="19" t="s">
        <v>1257</v>
      </c>
      <c r="F176" s="17"/>
      <c r="G176" s="17" t="s">
        <v>15</v>
      </c>
      <c r="H176" s="17" t="s">
        <v>2</v>
      </c>
      <c r="I176" s="17" t="s">
        <v>2</v>
      </c>
      <c r="J176" s="17" t="s">
        <v>2</v>
      </c>
    </row>
    <row r="177" spans="1:10" ht="16" outlineLevel="2" collapsed="1" x14ac:dyDescent="0.2">
      <c r="A177" s="17" t="s">
        <v>15</v>
      </c>
      <c r="B177" s="17" t="s">
        <v>22</v>
      </c>
      <c r="C177" t="s">
        <v>2239</v>
      </c>
      <c r="D177" s="17" t="s">
        <v>2175</v>
      </c>
      <c r="E177" s="15" t="s">
        <v>2164</v>
      </c>
      <c r="F177" s="17"/>
      <c r="G177" s="17" t="s">
        <v>15</v>
      </c>
      <c r="H177" s="17"/>
      <c r="I177" s="17" t="s">
        <v>2173</v>
      </c>
      <c r="J177" s="17" t="s">
        <v>2</v>
      </c>
    </row>
    <row r="178" spans="1:10" ht="16" outlineLevel="2" collapsed="1" x14ac:dyDescent="0.2">
      <c r="A178" s="17" t="s">
        <v>21</v>
      </c>
      <c r="B178" s="17" t="s">
        <v>16</v>
      </c>
      <c r="C178" s="17"/>
      <c r="D178" s="17" t="s">
        <v>2176</v>
      </c>
      <c r="E178" s="15" t="s">
        <v>2160</v>
      </c>
      <c r="F178" s="17"/>
      <c r="G178" s="17" t="s">
        <v>15</v>
      </c>
      <c r="H178" s="17"/>
      <c r="I178" s="17" t="s">
        <v>2</v>
      </c>
      <c r="J178" s="17" t="s">
        <v>2</v>
      </c>
    </row>
    <row r="179" spans="1:10" ht="16" outlineLevel="2" collapsed="1" x14ac:dyDescent="0.2">
      <c r="A179" s="17" t="s">
        <v>21</v>
      </c>
      <c r="B179" s="17" t="s">
        <v>22</v>
      </c>
      <c r="C179" t="s">
        <v>2239</v>
      </c>
      <c r="D179" s="17" t="s">
        <v>2177</v>
      </c>
      <c r="E179" s="15" t="s">
        <v>2163</v>
      </c>
      <c r="F179" s="17"/>
      <c r="G179" s="17" t="s">
        <v>15</v>
      </c>
      <c r="H179" s="17"/>
      <c r="I179" s="17" t="s">
        <v>2173</v>
      </c>
      <c r="J179" s="17" t="s">
        <v>2</v>
      </c>
    </row>
    <row r="180" spans="1:10" ht="32" outlineLevel="2" collapsed="1" x14ac:dyDescent="0.2">
      <c r="A180" s="17" t="s">
        <v>21</v>
      </c>
      <c r="B180" s="17" t="s">
        <v>16</v>
      </c>
      <c r="C180" s="17" t="s">
        <v>2</v>
      </c>
      <c r="D180" s="17" t="s">
        <v>2178</v>
      </c>
      <c r="E180" s="15" t="s">
        <v>2161</v>
      </c>
      <c r="F180" s="17"/>
      <c r="G180" s="17" t="s">
        <v>15</v>
      </c>
      <c r="H180" s="17"/>
      <c r="I180" s="17" t="s">
        <v>2</v>
      </c>
      <c r="J180" s="17" t="s">
        <v>2</v>
      </c>
    </row>
    <row r="181" spans="1:10" ht="16" outlineLevel="2" collapsed="1" x14ac:dyDescent="0.2">
      <c r="A181" s="17" t="s">
        <v>15</v>
      </c>
      <c r="B181" s="17" t="s">
        <v>22</v>
      </c>
      <c r="C181" t="s">
        <v>2239</v>
      </c>
      <c r="D181" s="17" t="s">
        <v>2179</v>
      </c>
      <c r="E181" s="15" t="s">
        <v>2165</v>
      </c>
      <c r="F181" s="17"/>
      <c r="G181" s="17" t="s">
        <v>15</v>
      </c>
      <c r="H181" s="17" t="s">
        <v>2</v>
      </c>
      <c r="I181" s="17" t="s">
        <v>2173</v>
      </c>
      <c r="J181" s="17" t="s">
        <v>2</v>
      </c>
    </row>
    <row r="182" spans="1:10" ht="16" outlineLevel="2" collapsed="1" x14ac:dyDescent="0.2">
      <c r="A182" s="17" t="s">
        <v>15</v>
      </c>
      <c r="B182" s="17" t="s">
        <v>16</v>
      </c>
      <c r="C182" s="4"/>
      <c r="D182" s="17" t="s">
        <v>2180</v>
      </c>
      <c r="E182" s="58" t="s">
        <v>2162</v>
      </c>
      <c r="F182" s="17"/>
      <c r="G182" s="17" t="s">
        <v>15</v>
      </c>
      <c r="H182" s="17"/>
      <c r="I182" s="17" t="s">
        <v>2</v>
      </c>
      <c r="J182" s="17" t="s">
        <v>2</v>
      </c>
    </row>
    <row r="183" spans="1:10" ht="25" outlineLevel="1" x14ac:dyDescent="0.3">
      <c r="A183" s="17" t="s">
        <v>15</v>
      </c>
      <c r="B183" s="17" t="s">
        <v>1178</v>
      </c>
      <c r="C183" s="18" t="s">
        <v>757</v>
      </c>
      <c r="D183" s="17" t="s">
        <v>2349</v>
      </c>
      <c r="E183" s="59" t="s">
        <v>757</v>
      </c>
      <c r="F183" s="17"/>
      <c r="G183" s="17" t="s">
        <v>15</v>
      </c>
      <c r="H183" s="17" t="s">
        <v>2</v>
      </c>
      <c r="I183" s="17" t="s">
        <v>2</v>
      </c>
      <c r="J183" s="17" t="s">
        <v>2</v>
      </c>
    </row>
    <row r="184" spans="1:10" ht="25" outlineLevel="2" collapsed="1" x14ac:dyDescent="0.2">
      <c r="A184" s="17" t="s">
        <v>15</v>
      </c>
      <c r="B184" s="17" t="s">
        <v>25</v>
      </c>
      <c r="C184" s="18" t="s">
        <v>365</v>
      </c>
      <c r="D184" s="17"/>
      <c r="E184" s="19" t="s">
        <v>1258</v>
      </c>
      <c r="F184" s="17"/>
      <c r="G184" s="17" t="s">
        <v>15</v>
      </c>
      <c r="H184" s="17" t="s">
        <v>2</v>
      </c>
      <c r="I184" s="17" t="s">
        <v>2</v>
      </c>
      <c r="J184" s="17" t="s">
        <v>2</v>
      </c>
    </row>
    <row r="185" spans="1:10" ht="16" outlineLevel="2" collapsed="1" x14ac:dyDescent="0.2">
      <c r="A185" s="17" t="s">
        <v>15</v>
      </c>
      <c r="B185" s="17" t="s">
        <v>22</v>
      </c>
      <c r="C185" t="s">
        <v>2239</v>
      </c>
      <c r="D185" s="17" t="s">
        <v>2183</v>
      </c>
      <c r="E185" s="15" t="s">
        <v>1292</v>
      </c>
      <c r="F185" s="17"/>
      <c r="G185" s="17" t="s">
        <v>15</v>
      </c>
      <c r="H185" s="17"/>
      <c r="I185" s="17" t="s">
        <v>2173</v>
      </c>
      <c r="J185" s="17" t="s">
        <v>2</v>
      </c>
    </row>
    <row r="186" spans="1:10" ht="32" outlineLevel="2" collapsed="1" x14ac:dyDescent="0.2">
      <c r="A186" s="17" t="s">
        <v>21</v>
      </c>
      <c r="B186" s="17" t="s">
        <v>16</v>
      </c>
      <c r="C186" s="17" t="s">
        <v>2</v>
      </c>
      <c r="D186" s="17" t="s">
        <v>2184</v>
      </c>
      <c r="E186" s="15" t="s">
        <v>1293</v>
      </c>
      <c r="F186" s="17"/>
      <c r="G186" s="17" t="s">
        <v>15</v>
      </c>
      <c r="H186" s="17"/>
      <c r="I186" s="17" t="s">
        <v>2</v>
      </c>
      <c r="J186" s="17" t="s">
        <v>2</v>
      </c>
    </row>
    <row r="187" spans="1:10" ht="32" outlineLevel="2" collapsed="1" x14ac:dyDescent="0.2">
      <c r="A187" s="17" t="s">
        <v>15</v>
      </c>
      <c r="B187" s="17" t="s">
        <v>22</v>
      </c>
      <c r="C187" t="s">
        <v>2239</v>
      </c>
      <c r="D187" s="22" t="s">
        <v>2185</v>
      </c>
      <c r="E187" s="15" t="s">
        <v>1261</v>
      </c>
      <c r="F187" s="17"/>
      <c r="G187" s="17" t="s">
        <v>15</v>
      </c>
      <c r="H187" s="17"/>
      <c r="I187" s="17" t="s">
        <v>2173</v>
      </c>
      <c r="J187" s="17" t="s">
        <v>2</v>
      </c>
    </row>
    <row r="188" spans="1:10" ht="32" outlineLevel="2" collapsed="1" x14ac:dyDescent="0.2">
      <c r="A188" s="17" t="s">
        <v>21</v>
      </c>
      <c r="B188" s="17" t="s">
        <v>16</v>
      </c>
      <c r="C188" s="17" t="s">
        <v>2</v>
      </c>
      <c r="D188" s="22" t="s">
        <v>2186</v>
      </c>
      <c r="E188" s="15" t="s">
        <v>1266</v>
      </c>
      <c r="F188" s="17"/>
      <c r="G188" s="17" t="s">
        <v>15</v>
      </c>
      <c r="H188" s="17"/>
      <c r="I188" s="17" t="s">
        <v>2</v>
      </c>
      <c r="J188" s="17" t="s">
        <v>2</v>
      </c>
    </row>
    <row r="189" spans="1:10" ht="32" outlineLevel="2" collapsed="1" x14ac:dyDescent="0.2">
      <c r="A189" s="17" t="s">
        <v>15</v>
      </c>
      <c r="B189" s="17" t="s">
        <v>22</v>
      </c>
      <c r="C189" t="s">
        <v>2239</v>
      </c>
      <c r="D189" s="22" t="s">
        <v>2187</v>
      </c>
      <c r="E189" s="15" t="s">
        <v>1263</v>
      </c>
      <c r="F189" s="17"/>
      <c r="G189" s="17" t="s">
        <v>15</v>
      </c>
      <c r="H189" s="17"/>
      <c r="I189" s="17" t="s">
        <v>2173</v>
      </c>
      <c r="J189" s="17" t="s">
        <v>2</v>
      </c>
    </row>
    <row r="190" spans="1:10" ht="32" outlineLevel="2" collapsed="1" x14ac:dyDescent="0.2">
      <c r="A190" s="17" t="s">
        <v>21</v>
      </c>
      <c r="B190" s="17" t="s">
        <v>16</v>
      </c>
      <c r="C190" s="17" t="s">
        <v>2</v>
      </c>
      <c r="D190" s="22" t="s">
        <v>2188</v>
      </c>
      <c r="E190" s="15" t="s">
        <v>1265</v>
      </c>
      <c r="F190" s="17"/>
      <c r="G190" s="17" t="s">
        <v>15</v>
      </c>
      <c r="H190" s="17"/>
      <c r="I190" s="17" t="s">
        <v>2</v>
      </c>
      <c r="J190" s="17" t="s">
        <v>2</v>
      </c>
    </row>
    <row r="191" spans="1:10" ht="32" outlineLevel="2" collapsed="1" x14ac:dyDescent="0.2">
      <c r="A191" s="17" t="s">
        <v>15</v>
      </c>
      <c r="B191" s="17" t="s">
        <v>22</v>
      </c>
      <c r="C191" s="4" t="s">
        <v>2238</v>
      </c>
      <c r="D191" s="22" t="s">
        <v>2189</v>
      </c>
      <c r="E191" s="15" t="s">
        <v>1262</v>
      </c>
      <c r="F191" s="17"/>
      <c r="G191" s="17" t="s">
        <v>15</v>
      </c>
      <c r="H191" s="17"/>
      <c r="I191" s="17" t="s">
        <v>2172</v>
      </c>
      <c r="J191" s="17" t="s">
        <v>2</v>
      </c>
    </row>
    <row r="192" spans="1:10" ht="32" outlineLevel="2" collapsed="1" x14ac:dyDescent="0.2">
      <c r="A192" s="17" t="s">
        <v>21</v>
      </c>
      <c r="B192" s="17" t="s">
        <v>16</v>
      </c>
      <c r="C192" s="17" t="s">
        <v>2</v>
      </c>
      <c r="D192" s="22" t="s">
        <v>2190</v>
      </c>
      <c r="E192" s="15" t="s">
        <v>1264</v>
      </c>
      <c r="F192" s="17"/>
      <c r="G192" s="17" t="s">
        <v>15</v>
      </c>
      <c r="H192" s="17"/>
      <c r="I192" s="17" t="s">
        <v>2</v>
      </c>
      <c r="J192" s="17" t="s">
        <v>2</v>
      </c>
    </row>
    <row r="193" spans="1:10" ht="16" outlineLevel="2" collapsed="1" x14ac:dyDescent="0.2">
      <c r="A193" s="17" t="s">
        <v>15</v>
      </c>
      <c r="B193" s="17" t="s">
        <v>22</v>
      </c>
      <c r="C193" s="4" t="s">
        <v>2238</v>
      </c>
      <c r="D193" s="22" t="s">
        <v>2195</v>
      </c>
      <c r="E193" s="15" t="s">
        <v>1267</v>
      </c>
      <c r="F193" s="17"/>
      <c r="G193" s="17" t="s">
        <v>15</v>
      </c>
      <c r="H193" s="17"/>
      <c r="I193" s="17" t="s">
        <v>2172</v>
      </c>
      <c r="J193" s="17" t="s">
        <v>2</v>
      </c>
    </row>
    <row r="194" spans="1:10" ht="32" outlineLevel="2" collapsed="1" x14ac:dyDescent="0.2">
      <c r="A194" s="17" t="s">
        <v>21</v>
      </c>
      <c r="B194" s="17" t="s">
        <v>16</v>
      </c>
      <c r="C194" s="17" t="s">
        <v>2</v>
      </c>
      <c r="D194" s="22" t="s">
        <v>2196</v>
      </c>
      <c r="E194" s="15" t="s">
        <v>1268</v>
      </c>
      <c r="F194" s="17"/>
      <c r="G194" s="17" t="s">
        <v>15</v>
      </c>
      <c r="H194" s="17"/>
      <c r="I194" s="17"/>
      <c r="J194" s="17" t="s">
        <v>2</v>
      </c>
    </row>
    <row r="195" spans="1:10" ht="16" outlineLevel="2" collapsed="1" x14ac:dyDescent="0.2">
      <c r="A195" s="17" t="s">
        <v>15</v>
      </c>
      <c r="B195" s="17" t="s">
        <v>22</v>
      </c>
      <c r="C195" s="4" t="s">
        <v>2238</v>
      </c>
      <c r="D195" s="22" t="s">
        <v>2191</v>
      </c>
      <c r="E195" s="15" t="s">
        <v>1269</v>
      </c>
      <c r="F195" s="17"/>
      <c r="G195" s="17" t="s">
        <v>15</v>
      </c>
      <c r="H195" s="17"/>
      <c r="I195" s="17" t="s">
        <v>2172</v>
      </c>
      <c r="J195" s="17" t="s">
        <v>2</v>
      </c>
    </row>
    <row r="196" spans="1:10" ht="32" outlineLevel="2" collapsed="1" x14ac:dyDescent="0.2">
      <c r="A196" s="17" t="s">
        <v>21</v>
      </c>
      <c r="B196" s="17" t="s">
        <v>16</v>
      </c>
      <c r="C196" s="17" t="s">
        <v>2</v>
      </c>
      <c r="D196" s="22" t="s">
        <v>2192</v>
      </c>
      <c r="E196" s="15" t="s">
        <v>1270</v>
      </c>
      <c r="F196" s="17"/>
      <c r="G196" s="17" t="s">
        <v>15</v>
      </c>
      <c r="H196" s="17"/>
      <c r="I196" s="17"/>
      <c r="J196" s="17" t="s">
        <v>2</v>
      </c>
    </row>
    <row r="197" spans="1:10" ht="32" outlineLevel="2" collapsed="1" x14ac:dyDescent="0.2">
      <c r="A197" s="17" t="s">
        <v>15</v>
      </c>
      <c r="B197" s="17" t="s">
        <v>22</v>
      </c>
      <c r="C197" s="4" t="s">
        <v>2238</v>
      </c>
      <c r="D197" s="22" t="s">
        <v>2193</v>
      </c>
      <c r="E197" s="15" t="s">
        <v>1271</v>
      </c>
      <c r="F197" s="17"/>
      <c r="G197" s="17" t="s">
        <v>15</v>
      </c>
      <c r="H197" s="17"/>
      <c r="I197" s="17" t="s">
        <v>2172</v>
      </c>
      <c r="J197" s="17" t="s">
        <v>2</v>
      </c>
    </row>
    <row r="198" spans="1:10" ht="32" outlineLevel="2" collapsed="1" x14ac:dyDescent="0.2">
      <c r="A198" s="17" t="s">
        <v>21</v>
      </c>
      <c r="B198" s="17" t="s">
        <v>16</v>
      </c>
      <c r="C198" s="17" t="s">
        <v>2</v>
      </c>
      <c r="D198" s="22" t="s">
        <v>2194</v>
      </c>
      <c r="E198" s="15" t="s">
        <v>1272</v>
      </c>
      <c r="F198" s="17"/>
      <c r="G198" s="17" t="s">
        <v>15</v>
      </c>
      <c r="H198" s="17"/>
      <c r="I198" s="17" t="s">
        <v>2</v>
      </c>
      <c r="J198" s="17" t="s">
        <v>2</v>
      </c>
    </row>
    <row r="199" spans="1:10" ht="16" outlineLevel="2" collapsed="1" x14ac:dyDescent="0.2">
      <c r="A199" s="17" t="s">
        <v>15</v>
      </c>
      <c r="B199" s="17" t="s">
        <v>22</v>
      </c>
      <c r="C199" s="17" t="s">
        <v>2174</v>
      </c>
      <c r="D199" s="17" t="s">
        <v>2197</v>
      </c>
      <c r="E199" s="15" t="s">
        <v>1273</v>
      </c>
      <c r="F199" s="17"/>
      <c r="G199" s="17" t="s">
        <v>15</v>
      </c>
      <c r="H199" s="17"/>
      <c r="I199" s="17" t="s">
        <v>2</v>
      </c>
      <c r="J199" s="17" t="s">
        <v>2</v>
      </c>
    </row>
    <row r="200" spans="1:10" ht="32" outlineLevel="2" collapsed="1" x14ac:dyDescent="0.2">
      <c r="A200" s="17" t="s">
        <v>21</v>
      </c>
      <c r="B200" s="17" t="s">
        <v>16</v>
      </c>
      <c r="C200" s="17" t="s">
        <v>2</v>
      </c>
      <c r="D200" s="17" t="s">
        <v>2198</v>
      </c>
      <c r="E200" s="15" t="s">
        <v>2181</v>
      </c>
      <c r="F200" s="17"/>
      <c r="G200" s="17" t="s">
        <v>15</v>
      </c>
      <c r="H200" s="17"/>
      <c r="I200" s="17"/>
      <c r="J200" s="17" t="s">
        <v>2</v>
      </c>
    </row>
    <row r="201" spans="1:10" ht="16" outlineLevel="2" collapsed="1" x14ac:dyDescent="0.2">
      <c r="A201" s="17" t="s">
        <v>15</v>
      </c>
      <c r="B201" s="17" t="s">
        <v>22</v>
      </c>
      <c r="C201" s="17" t="s">
        <v>2174</v>
      </c>
      <c r="D201" s="17" t="s">
        <v>2199</v>
      </c>
      <c r="E201" s="15" t="s">
        <v>1275</v>
      </c>
      <c r="F201" s="17"/>
      <c r="G201" s="17" t="s">
        <v>15</v>
      </c>
      <c r="H201" s="17"/>
      <c r="I201" s="17" t="s">
        <v>2</v>
      </c>
      <c r="J201" s="17" t="s">
        <v>2</v>
      </c>
    </row>
    <row r="202" spans="1:10" ht="64" outlineLevel="2" collapsed="1" x14ac:dyDescent="0.2">
      <c r="A202" s="17" t="s">
        <v>21</v>
      </c>
      <c r="B202" s="17" t="s">
        <v>16</v>
      </c>
      <c r="C202" s="17" t="s">
        <v>2</v>
      </c>
      <c r="D202" s="17" t="s">
        <v>2200</v>
      </c>
      <c r="E202" s="15" t="s">
        <v>2182</v>
      </c>
      <c r="F202" s="17"/>
      <c r="G202" s="17" t="s">
        <v>15</v>
      </c>
      <c r="H202" s="17"/>
      <c r="I202" s="17" t="s">
        <v>2</v>
      </c>
      <c r="J202" s="17" t="s">
        <v>2</v>
      </c>
    </row>
    <row r="203" spans="1:10" ht="25" outlineLevel="2" collapsed="1" x14ac:dyDescent="0.2">
      <c r="A203" s="17" t="s">
        <v>15</v>
      </c>
      <c r="B203" s="17" t="s">
        <v>25</v>
      </c>
      <c r="C203" s="18" t="s">
        <v>365</v>
      </c>
      <c r="D203" s="17"/>
      <c r="E203" s="19" t="s">
        <v>1256</v>
      </c>
      <c r="F203" s="17"/>
      <c r="G203" s="17" t="s">
        <v>15</v>
      </c>
      <c r="H203" s="17" t="s">
        <v>2</v>
      </c>
      <c r="I203" s="17" t="s">
        <v>2</v>
      </c>
      <c r="J203" s="17" t="s">
        <v>2</v>
      </c>
    </row>
    <row r="204" spans="1:10" ht="16" outlineLevel="2" collapsed="1" x14ac:dyDescent="0.2">
      <c r="A204" s="17" t="s">
        <v>15</v>
      </c>
      <c r="B204" s="17" t="s">
        <v>22</v>
      </c>
      <c r="C204" s="4" t="s">
        <v>2239</v>
      </c>
      <c r="D204" s="17" t="s">
        <v>2201</v>
      </c>
      <c r="E204" s="15" t="s">
        <v>1294</v>
      </c>
      <c r="F204" s="17"/>
      <c r="G204" s="17" t="s">
        <v>15</v>
      </c>
      <c r="H204" s="17" t="s">
        <v>21</v>
      </c>
      <c r="I204" s="17" t="s">
        <v>2</v>
      </c>
      <c r="J204" s="17" t="s">
        <v>2</v>
      </c>
    </row>
    <row r="205" spans="1:10" ht="32" outlineLevel="2" collapsed="1" x14ac:dyDescent="0.2">
      <c r="A205" s="17" t="s">
        <v>21</v>
      </c>
      <c r="B205" s="17" t="s">
        <v>16</v>
      </c>
      <c r="C205" s="17" t="s">
        <v>2</v>
      </c>
      <c r="D205" s="17" t="s">
        <v>2202</v>
      </c>
      <c r="E205" s="15" t="s">
        <v>1293</v>
      </c>
      <c r="F205" s="17"/>
      <c r="G205" s="17" t="s">
        <v>15</v>
      </c>
      <c r="H205" s="17" t="s">
        <v>19</v>
      </c>
      <c r="I205" s="17" t="s">
        <v>2</v>
      </c>
      <c r="J205" s="17" t="s">
        <v>2</v>
      </c>
    </row>
    <row r="206" spans="1:10" ht="32" outlineLevel="2" collapsed="1" x14ac:dyDescent="0.2">
      <c r="A206" s="17" t="s">
        <v>15</v>
      </c>
      <c r="B206" s="17" t="s">
        <v>22</v>
      </c>
      <c r="C206" s="4" t="s">
        <v>2239</v>
      </c>
      <c r="D206" s="22" t="s">
        <v>2203</v>
      </c>
      <c r="E206" s="15" t="s">
        <v>1277</v>
      </c>
      <c r="F206" s="17"/>
      <c r="G206" s="17" t="s">
        <v>15</v>
      </c>
      <c r="H206" s="17" t="s">
        <v>21</v>
      </c>
      <c r="I206" s="17" t="s">
        <v>2</v>
      </c>
      <c r="J206" s="17" t="s">
        <v>2</v>
      </c>
    </row>
    <row r="207" spans="1:10" ht="32" outlineLevel="2" collapsed="1" x14ac:dyDescent="0.2">
      <c r="A207" s="17" t="s">
        <v>21</v>
      </c>
      <c r="B207" s="17" t="s">
        <v>16</v>
      </c>
      <c r="C207" s="17" t="s">
        <v>2</v>
      </c>
      <c r="D207" s="22" t="s">
        <v>2204</v>
      </c>
      <c r="E207" s="15" t="s">
        <v>1266</v>
      </c>
      <c r="F207" s="17"/>
      <c r="G207" s="17" t="s">
        <v>15</v>
      </c>
      <c r="H207" s="17" t="s">
        <v>19</v>
      </c>
      <c r="I207" s="17" t="s">
        <v>2</v>
      </c>
      <c r="J207" s="17" t="s">
        <v>2</v>
      </c>
    </row>
    <row r="208" spans="1:10" ht="32" outlineLevel="2" collapsed="1" x14ac:dyDescent="0.2">
      <c r="A208" s="17" t="s">
        <v>15</v>
      </c>
      <c r="B208" s="17" t="s">
        <v>22</v>
      </c>
      <c r="C208" s="4" t="s">
        <v>2238</v>
      </c>
      <c r="D208" s="22" t="s">
        <v>2205</v>
      </c>
      <c r="E208" s="15" t="s">
        <v>1278</v>
      </c>
      <c r="F208" s="17"/>
      <c r="G208" s="17" t="s">
        <v>15</v>
      </c>
      <c r="H208" s="17" t="s">
        <v>21</v>
      </c>
      <c r="I208" s="17" t="s">
        <v>2</v>
      </c>
      <c r="J208" s="17" t="s">
        <v>2</v>
      </c>
    </row>
    <row r="209" spans="1:10" ht="32" outlineLevel="2" collapsed="1" x14ac:dyDescent="0.2">
      <c r="A209" s="17" t="s">
        <v>21</v>
      </c>
      <c r="B209" s="17" t="s">
        <v>16</v>
      </c>
      <c r="C209" s="17" t="s">
        <v>2</v>
      </c>
      <c r="D209" s="22" t="s">
        <v>2206</v>
      </c>
      <c r="E209" s="15" t="s">
        <v>1265</v>
      </c>
      <c r="F209" s="17"/>
      <c r="G209" s="17" t="s">
        <v>15</v>
      </c>
      <c r="H209" s="17" t="s">
        <v>19</v>
      </c>
      <c r="I209" s="17" t="s">
        <v>2</v>
      </c>
      <c r="J209" s="17" t="s">
        <v>2</v>
      </c>
    </row>
    <row r="210" spans="1:10" ht="32" outlineLevel="2" collapsed="1" x14ac:dyDescent="0.2">
      <c r="A210" s="17" t="s">
        <v>15</v>
      </c>
      <c r="B210" s="17" t="s">
        <v>22</v>
      </c>
      <c r="C210" s="4" t="s">
        <v>2239</v>
      </c>
      <c r="D210" s="22" t="s">
        <v>2207</v>
      </c>
      <c r="E210" s="15" t="s">
        <v>1279</v>
      </c>
      <c r="F210" s="17"/>
      <c r="G210" s="17" t="s">
        <v>15</v>
      </c>
      <c r="H210" s="17" t="s">
        <v>21</v>
      </c>
      <c r="I210" s="17" t="s">
        <v>2</v>
      </c>
      <c r="J210" s="17" t="s">
        <v>2</v>
      </c>
    </row>
    <row r="211" spans="1:10" ht="32" outlineLevel="2" collapsed="1" x14ac:dyDescent="0.2">
      <c r="A211" s="17" t="s">
        <v>21</v>
      </c>
      <c r="B211" s="17" t="s">
        <v>16</v>
      </c>
      <c r="C211" s="17" t="s">
        <v>2</v>
      </c>
      <c r="D211" s="22" t="s">
        <v>2208</v>
      </c>
      <c r="E211" s="15" t="s">
        <v>1264</v>
      </c>
      <c r="F211" s="17"/>
      <c r="G211" s="17" t="s">
        <v>15</v>
      </c>
      <c r="H211" s="17" t="s">
        <v>19</v>
      </c>
      <c r="I211" s="17" t="s">
        <v>2</v>
      </c>
      <c r="J211" s="17" t="s">
        <v>2</v>
      </c>
    </row>
    <row r="212" spans="1:10" ht="16" outlineLevel="2" collapsed="1" x14ac:dyDescent="0.2">
      <c r="A212" s="17" t="s">
        <v>15</v>
      </c>
      <c r="B212" s="17" t="s">
        <v>22</v>
      </c>
      <c r="C212" s="4" t="s">
        <v>2239</v>
      </c>
      <c r="D212" s="22" t="s">
        <v>2209</v>
      </c>
      <c r="E212" s="15" t="s">
        <v>1280</v>
      </c>
      <c r="F212" s="17"/>
      <c r="G212" s="17" t="s">
        <v>15</v>
      </c>
      <c r="H212" s="17" t="s">
        <v>21</v>
      </c>
      <c r="I212" s="17" t="s">
        <v>2</v>
      </c>
      <c r="J212" s="17" t="s">
        <v>2</v>
      </c>
    </row>
    <row r="213" spans="1:10" ht="32" outlineLevel="2" collapsed="1" x14ac:dyDescent="0.2">
      <c r="A213" s="17" t="s">
        <v>21</v>
      </c>
      <c r="B213" s="17" t="s">
        <v>16</v>
      </c>
      <c r="C213" s="17" t="s">
        <v>2</v>
      </c>
      <c r="D213" s="22" t="s">
        <v>2210</v>
      </c>
      <c r="E213" s="15" t="s">
        <v>1268</v>
      </c>
      <c r="F213" s="17"/>
      <c r="G213" s="17" t="s">
        <v>15</v>
      </c>
      <c r="H213" s="17" t="s">
        <v>19</v>
      </c>
      <c r="I213" s="17" t="s">
        <v>2</v>
      </c>
      <c r="J213" s="17" t="s">
        <v>2</v>
      </c>
    </row>
    <row r="214" spans="1:10" ht="16" outlineLevel="2" collapsed="1" x14ac:dyDescent="0.2">
      <c r="A214" s="17" t="s">
        <v>15</v>
      </c>
      <c r="B214" s="17" t="s">
        <v>22</v>
      </c>
      <c r="C214" s="4" t="s">
        <v>2239</v>
      </c>
      <c r="D214" s="22" t="s">
        <v>2211</v>
      </c>
      <c r="E214" s="15" t="s">
        <v>1281</v>
      </c>
      <c r="F214" s="17"/>
      <c r="G214" s="17" t="s">
        <v>15</v>
      </c>
      <c r="H214" s="17" t="s">
        <v>21</v>
      </c>
      <c r="I214" s="17" t="s">
        <v>2</v>
      </c>
      <c r="J214" s="17" t="s">
        <v>2</v>
      </c>
    </row>
    <row r="215" spans="1:10" ht="32" outlineLevel="2" collapsed="1" x14ac:dyDescent="0.2">
      <c r="A215" s="17" t="s">
        <v>21</v>
      </c>
      <c r="B215" s="17" t="s">
        <v>16</v>
      </c>
      <c r="C215" s="17" t="s">
        <v>2</v>
      </c>
      <c r="D215" s="22" t="s">
        <v>2212</v>
      </c>
      <c r="E215" s="15" t="s">
        <v>1270</v>
      </c>
      <c r="F215" s="17"/>
      <c r="G215" s="17" t="s">
        <v>15</v>
      </c>
      <c r="H215" s="17" t="s">
        <v>19</v>
      </c>
      <c r="I215" s="17" t="s">
        <v>2</v>
      </c>
      <c r="J215" s="17" t="s">
        <v>2</v>
      </c>
    </row>
    <row r="216" spans="1:10" ht="32" outlineLevel="2" collapsed="1" x14ac:dyDescent="0.2">
      <c r="A216" s="17" t="s">
        <v>15</v>
      </c>
      <c r="B216" s="17" t="s">
        <v>22</v>
      </c>
      <c r="C216" s="4" t="s">
        <v>2239</v>
      </c>
      <c r="D216" s="22" t="s">
        <v>2213</v>
      </c>
      <c r="E216" s="15" t="s">
        <v>1282</v>
      </c>
      <c r="F216" s="17"/>
      <c r="G216" s="17" t="s">
        <v>15</v>
      </c>
      <c r="H216" s="17" t="s">
        <v>21</v>
      </c>
      <c r="I216" s="17" t="s">
        <v>2</v>
      </c>
      <c r="J216" s="17" t="s">
        <v>2</v>
      </c>
    </row>
    <row r="217" spans="1:10" ht="32" outlineLevel="2" collapsed="1" x14ac:dyDescent="0.2">
      <c r="A217" s="17" t="s">
        <v>21</v>
      </c>
      <c r="B217" s="17" t="s">
        <v>16</v>
      </c>
      <c r="C217" s="17" t="s">
        <v>2</v>
      </c>
      <c r="D217" s="22" t="s">
        <v>2214</v>
      </c>
      <c r="E217" s="15" t="s">
        <v>1272</v>
      </c>
      <c r="F217" s="17"/>
      <c r="G217" s="17" t="s">
        <v>15</v>
      </c>
      <c r="H217" s="17" t="s">
        <v>19</v>
      </c>
      <c r="I217" s="17" t="s">
        <v>2</v>
      </c>
      <c r="J217" s="17" t="s">
        <v>2</v>
      </c>
    </row>
    <row r="218" spans="1:10" ht="16" outlineLevel="2" collapsed="1" x14ac:dyDescent="0.2">
      <c r="A218" s="17" t="s">
        <v>15</v>
      </c>
      <c r="B218" s="17" t="s">
        <v>22</v>
      </c>
      <c r="C218" s="17" t="s">
        <v>2174</v>
      </c>
      <c r="D218" s="17" t="s">
        <v>2215</v>
      </c>
      <c r="E218" s="15" t="s">
        <v>1297</v>
      </c>
      <c r="F218" s="17"/>
      <c r="G218" s="17" t="s">
        <v>15</v>
      </c>
      <c r="H218" s="17" t="s">
        <v>21</v>
      </c>
      <c r="I218" s="17" t="s">
        <v>2</v>
      </c>
      <c r="J218" s="17" t="s">
        <v>2</v>
      </c>
    </row>
    <row r="219" spans="1:10" ht="32" outlineLevel="2" collapsed="1" x14ac:dyDescent="0.2">
      <c r="A219" s="17" t="s">
        <v>21</v>
      </c>
      <c r="B219" s="17" t="s">
        <v>16</v>
      </c>
      <c r="C219" s="17" t="s">
        <v>2</v>
      </c>
      <c r="D219" s="17" t="s">
        <v>2216</v>
      </c>
      <c r="E219" s="15" t="s">
        <v>1274</v>
      </c>
      <c r="F219" s="17"/>
      <c r="G219" s="17" t="s">
        <v>15</v>
      </c>
      <c r="H219" s="17" t="s">
        <v>19</v>
      </c>
      <c r="I219" s="17" t="s">
        <v>2</v>
      </c>
      <c r="J219" s="17" t="s">
        <v>2</v>
      </c>
    </row>
    <row r="220" spans="1:10" ht="16" outlineLevel="2" collapsed="1" x14ac:dyDescent="0.2">
      <c r="A220" s="17" t="s">
        <v>15</v>
      </c>
      <c r="B220" s="17" t="s">
        <v>22</v>
      </c>
      <c r="C220" s="17" t="s">
        <v>2174</v>
      </c>
      <c r="D220" s="17" t="s">
        <v>2217</v>
      </c>
      <c r="E220" s="15" t="s">
        <v>1283</v>
      </c>
      <c r="F220" s="17"/>
      <c r="G220" s="17" t="s">
        <v>15</v>
      </c>
      <c r="H220" s="17" t="s">
        <v>21</v>
      </c>
      <c r="I220" s="17" t="s">
        <v>2</v>
      </c>
      <c r="J220" s="17" t="s">
        <v>2</v>
      </c>
    </row>
    <row r="221" spans="1:10" ht="32" outlineLevel="2" collapsed="1" x14ac:dyDescent="0.2">
      <c r="A221" s="17" t="s">
        <v>21</v>
      </c>
      <c r="B221" s="17" t="s">
        <v>16</v>
      </c>
      <c r="C221" s="17" t="s">
        <v>2</v>
      </c>
      <c r="D221" s="17" t="s">
        <v>2218</v>
      </c>
      <c r="E221" s="15" t="s">
        <v>1276</v>
      </c>
      <c r="F221" s="17"/>
      <c r="G221" s="17" t="s">
        <v>15</v>
      </c>
      <c r="H221" s="17" t="s">
        <v>19</v>
      </c>
      <c r="I221" s="17" t="s">
        <v>2</v>
      </c>
      <c r="J221" s="17" t="s">
        <v>2</v>
      </c>
    </row>
    <row r="222" spans="1:10" ht="25" outlineLevel="2" collapsed="1" x14ac:dyDescent="0.2">
      <c r="A222" s="17" t="s">
        <v>15</v>
      </c>
      <c r="B222" s="17" t="s">
        <v>25</v>
      </c>
      <c r="C222" s="18" t="s">
        <v>365</v>
      </c>
      <c r="D222" s="17"/>
      <c r="E222" s="19" t="s">
        <v>1257</v>
      </c>
      <c r="F222" s="17"/>
      <c r="G222" s="17" t="s">
        <v>15</v>
      </c>
      <c r="H222" s="17" t="s">
        <v>2</v>
      </c>
      <c r="I222" s="17" t="s">
        <v>2</v>
      </c>
      <c r="J222" s="17" t="s">
        <v>2</v>
      </c>
    </row>
    <row r="223" spans="1:10" ht="16" outlineLevel="2" collapsed="1" x14ac:dyDescent="0.2">
      <c r="A223" s="17" t="s">
        <v>15</v>
      </c>
      <c r="B223" s="17" t="s">
        <v>22</v>
      </c>
      <c r="C223" s="4" t="s">
        <v>2239</v>
      </c>
      <c r="D223" s="17" t="s">
        <v>2219</v>
      </c>
      <c r="E223" s="15" t="s">
        <v>1295</v>
      </c>
      <c r="F223" s="17"/>
      <c r="G223" s="17" t="s">
        <v>15</v>
      </c>
      <c r="H223" s="17" t="s">
        <v>21</v>
      </c>
      <c r="I223" s="17" t="s">
        <v>2</v>
      </c>
      <c r="J223" s="17" t="s">
        <v>2</v>
      </c>
    </row>
    <row r="224" spans="1:10" ht="32" outlineLevel="2" collapsed="1" x14ac:dyDescent="0.2">
      <c r="A224" s="17" t="s">
        <v>21</v>
      </c>
      <c r="B224" s="17" t="s">
        <v>16</v>
      </c>
      <c r="C224" s="17" t="s">
        <v>2</v>
      </c>
      <c r="D224" s="17" t="s">
        <v>2220</v>
      </c>
      <c r="E224" s="15" t="s">
        <v>1296</v>
      </c>
      <c r="F224" s="17"/>
      <c r="G224" s="17" t="s">
        <v>15</v>
      </c>
      <c r="H224" s="17" t="s">
        <v>19</v>
      </c>
      <c r="I224" s="17" t="s">
        <v>2</v>
      </c>
      <c r="J224" s="17" t="s">
        <v>2</v>
      </c>
    </row>
    <row r="225" spans="1:10" ht="32" outlineLevel="2" collapsed="1" x14ac:dyDescent="0.2">
      <c r="A225" s="17" t="s">
        <v>15</v>
      </c>
      <c r="B225" s="17" t="s">
        <v>22</v>
      </c>
      <c r="C225" s="4" t="s">
        <v>2239</v>
      </c>
      <c r="D225" s="22" t="s">
        <v>2221</v>
      </c>
      <c r="E225" s="15" t="s">
        <v>1284</v>
      </c>
      <c r="F225" s="17"/>
      <c r="G225" s="17" t="s">
        <v>15</v>
      </c>
      <c r="H225" s="17" t="s">
        <v>21</v>
      </c>
      <c r="I225" s="17" t="s">
        <v>2</v>
      </c>
      <c r="J225" s="17" t="s">
        <v>2</v>
      </c>
    </row>
    <row r="226" spans="1:10" ht="32" outlineLevel="2" collapsed="1" x14ac:dyDescent="0.2">
      <c r="A226" s="17" t="s">
        <v>21</v>
      </c>
      <c r="B226" s="17" t="s">
        <v>16</v>
      </c>
      <c r="C226" s="17" t="s">
        <v>2</v>
      </c>
      <c r="D226" s="22" t="s">
        <v>2222</v>
      </c>
      <c r="E226" s="15" t="s">
        <v>1266</v>
      </c>
      <c r="F226" s="17"/>
      <c r="G226" s="17" t="s">
        <v>15</v>
      </c>
      <c r="H226" s="17" t="s">
        <v>19</v>
      </c>
      <c r="I226" s="17" t="s">
        <v>2</v>
      </c>
      <c r="J226" s="17" t="s">
        <v>2</v>
      </c>
    </row>
    <row r="227" spans="1:10" ht="32" outlineLevel="2" collapsed="1" x14ac:dyDescent="0.2">
      <c r="A227" s="17" t="s">
        <v>15</v>
      </c>
      <c r="B227" s="17" t="s">
        <v>22</v>
      </c>
      <c r="C227" s="4" t="s">
        <v>2239</v>
      </c>
      <c r="D227" s="22" t="s">
        <v>2223</v>
      </c>
      <c r="E227" s="15" t="s">
        <v>1285</v>
      </c>
      <c r="F227" s="17"/>
      <c r="G227" s="17" t="s">
        <v>15</v>
      </c>
      <c r="H227" s="17" t="s">
        <v>21</v>
      </c>
      <c r="I227" s="17" t="s">
        <v>2</v>
      </c>
      <c r="J227" s="17" t="s">
        <v>2</v>
      </c>
    </row>
    <row r="228" spans="1:10" ht="32" outlineLevel="2" collapsed="1" x14ac:dyDescent="0.2">
      <c r="A228" s="17" t="s">
        <v>21</v>
      </c>
      <c r="B228" s="17" t="s">
        <v>16</v>
      </c>
      <c r="C228" s="17" t="s">
        <v>2</v>
      </c>
      <c r="D228" s="22" t="s">
        <v>2224</v>
      </c>
      <c r="E228" s="15" t="s">
        <v>1265</v>
      </c>
      <c r="F228" s="17"/>
      <c r="G228" s="17" t="s">
        <v>15</v>
      </c>
      <c r="H228" s="17" t="s">
        <v>19</v>
      </c>
      <c r="I228" s="17" t="s">
        <v>2</v>
      </c>
      <c r="J228" s="17" t="s">
        <v>2</v>
      </c>
    </row>
    <row r="229" spans="1:10" ht="32" outlineLevel="2" collapsed="1" x14ac:dyDescent="0.2">
      <c r="A229" s="17" t="s">
        <v>15</v>
      </c>
      <c r="B229" s="17" t="s">
        <v>22</v>
      </c>
      <c r="C229" s="4" t="s">
        <v>2239</v>
      </c>
      <c r="D229" s="22" t="s">
        <v>2225</v>
      </c>
      <c r="E229" s="15" t="s">
        <v>1286</v>
      </c>
      <c r="F229" s="17"/>
      <c r="G229" s="17" t="s">
        <v>15</v>
      </c>
      <c r="H229" s="17" t="s">
        <v>21</v>
      </c>
      <c r="I229" s="17" t="s">
        <v>2</v>
      </c>
      <c r="J229" s="17" t="s">
        <v>2</v>
      </c>
    </row>
    <row r="230" spans="1:10" ht="32" outlineLevel="2" collapsed="1" x14ac:dyDescent="0.2">
      <c r="A230" s="17" t="s">
        <v>21</v>
      </c>
      <c r="B230" s="17" t="s">
        <v>16</v>
      </c>
      <c r="C230" s="17" t="s">
        <v>2</v>
      </c>
      <c r="D230" s="22" t="s">
        <v>2226</v>
      </c>
      <c r="E230" s="15" t="s">
        <v>1264</v>
      </c>
      <c r="F230" s="17"/>
      <c r="G230" s="17" t="s">
        <v>15</v>
      </c>
      <c r="H230" s="17" t="s">
        <v>19</v>
      </c>
      <c r="I230" s="17" t="s">
        <v>2</v>
      </c>
      <c r="J230" s="17" t="s">
        <v>2</v>
      </c>
    </row>
    <row r="231" spans="1:10" ht="16" outlineLevel="2" collapsed="1" x14ac:dyDescent="0.2">
      <c r="A231" s="17" t="s">
        <v>15</v>
      </c>
      <c r="B231" s="17" t="s">
        <v>22</v>
      </c>
      <c r="C231" s="4" t="s">
        <v>2239</v>
      </c>
      <c r="D231" s="22" t="s">
        <v>2227</v>
      </c>
      <c r="E231" s="15" t="s">
        <v>1287</v>
      </c>
      <c r="F231" s="17"/>
      <c r="G231" s="17" t="s">
        <v>15</v>
      </c>
      <c r="H231" s="17" t="s">
        <v>21</v>
      </c>
      <c r="I231" s="17" t="s">
        <v>2</v>
      </c>
      <c r="J231" s="17" t="s">
        <v>2</v>
      </c>
    </row>
    <row r="232" spans="1:10" ht="32" outlineLevel="2" collapsed="1" x14ac:dyDescent="0.2">
      <c r="A232" s="17" t="s">
        <v>21</v>
      </c>
      <c r="B232" s="17" t="s">
        <v>16</v>
      </c>
      <c r="C232" s="17" t="s">
        <v>2</v>
      </c>
      <c r="D232" s="22" t="s">
        <v>2228</v>
      </c>
      <c r="E232" s="15" t="s">
        <v>1268</v>
      </c>
      <c r="F232" s="17"/>
      <c r="G232" s="17" t="s">
        <v>15</v>
      </c>
      <c r="H232" s="17" t="s">
        <v>19</v>
      </c>
      <c r="I232" s="17" t="s">
        <v>2</v>
      </c>
      <c r="J232" s="17" t="s">
        <v>2</v>
      </c>
    </row>
    <row r="233" spans="1:10" ht="16" outlineLevel="2" collapsed="1" x14ac:dyDescent="0.2">
      <c r="A233" s="17" t="s">
        <v>15</v>
      </c>
      <c r="B233" s="17" t="s">
        <v>22</v>
      </c>
      <c r="C233" s="4" t="s">
        <v>2239</v>
      </c>
      <c r="D233" s="22" t="s">
        <v>2229</v>
      </c>
      <c r="E233" s="15" t="s">
        <v>1288</v>
      </c>
      <c r="F233" s="17"/>
      <c r="G233" s="17" t="s">
        <v>15</v>
      </c>
      <c r="H233" s="17" t="s">
        <v>21</v>
      </c>
      <c r="I233" s="17" t="s">
        <v>2</v>
      </c>
      <c r="J233" s="17" t="s">
        <v>2</v>
      </c>
    </row>
    <row r="234" spans="1:10" ht="32" outlineLevel="2" collapsed="1" x14ac:dyDescent="0.2">
      <c r="A234" s="17" t="s">
        <v>21</v>
      </c>
      <c r="B234" s="17" t="s">
        <v>16</v>
      </c>
      <c r="C234" s="17" t="s">
        <v>2</v>
      </c>
      <c r="D234" s="22" t="s">
        <v>2230</v>
      </c>
      <c r="E234" s="15" t="s">
        <v>1270</v>
      </c>
      <c r="F234" s="17"/>
      <c r="G234" s="17" t="s">
        <v>15</v>
      </c>
      <c r="H234" s="17" t="s">
        <v>19</v>
      </c>
      <c r="I234" s="17" t="s">
        <v>2</v>
      </c>
      <c r="J234" s="17" t="s">
        <v>2</v>
      </c>
    </row>
    <row r="235" spans="1:10" ht="32" outlineLevel="2" collapsed="1" x14ac:dyDescent="0.2">
      <c r="A235" s="17" t="s">
        <v>15</v>
      </c>
      <c r="B235" s="17" t="s">
        <v>22</v>
      </c>
      <c r="C235" s="4" t="s">
        <v>2239</v>
      </c>
      <c r="D235" s="22" t="s">
        <v>2231</v>
      </c>
      <c r="E235" s="15" t="s">
        <v>1289</v>
      </c>
      <c r="F235" s="17"/>
      <c r="G235" s="17" t="s">
        <v>15</v>
      </c>
      <c r="H235" s="17" t="s">
        <v>21</v>
      </c>
      <c r="I235" s="17" t="s">
        <v>2</v>
      </c>
      <c r="J235" s="17" t="s">
        <v>2</v>
      </c>
    </row>
    <row r="236" spans="1:10" ht="32" outlineLevel="2" collapsed="1" x14ac:dyDescent="0.2">
      <c r="A236" s="17" t="s">
        <v>21</v>
      </c>
      <c r="B236" s="17" t="s">
        <v>16</v>
      </c>
      <c r="C236" s="17" t="s">
        <v>2</v>
      </c>
      <c r="D236" s="22" t="s">
        <v>2232</v>
      </c>
      <c r="E236" s="15" t="s">
        <v>1272</v>
      </c>
      <c r="F236" s="17"/>
      <c r="G236" s="17" t="s">
        <v>15</v>
      </c>
      <c r="H236" s="17" t="s">
        <v>19</v>
      </c>
      <c r="I236" s="17" t="s">
        <v>2</v>
      </c>
      <c r="J236" s="17" t="s">
        <v>2</v>
      </c>
    </row>
    <row r="237" spans="1:10" ht="16" outlineLevel="2" collapsed="1" x14ac:dyDescent="0.2">
      <c r="A237" s="17" t="s">
        <v>15</v>
      </c>
      <c r="B237" s="17" t="s">
        <v>22</v>
      </c>
      <c r="C237" s="17" t="s">
        <v>2174</v>
      </c>
      <c r="D237" s="17" t="s">
        <v>2233</v>
      </c>
      <c r="E237" s="15" t="s">
        <v>1290</v>
      </c>
      <c r="F237" s="17"/>
      <c r="G237" s="17" t="s">
        <v>15</v>
      </c>
      <c r="H237" s="17" t="s">
        <v>21</v>
      </c>
      <c r="I237" s="17" t="s">
        <v>2</v>
      </c>
      <c r="J237" s="17" t="s">
        <v>2</v>
      </c>
    </row>
    <row r="238" spans="1:10" ht="32" outlineLevel="2" collapsed="1" x14ac:dyDescent="0.2">
      <c r="A238" s="17" t="s">
        <v>21</v>
      </c>
      <c r="B238" s="17" t="s">
        <v>16</v>
      </c>
      <c r="C238" s="17" t="s">
        <v>2</v>
      </c>
      <c r="D238" s="17" t="s">
        <v>2234</v>
      </c>
      <c r="E238" s="15" t="s">
        <v>1274</v>
      </c>
      <c r="F238" s="17"/>
      <c r="G238" s="17" t="s">
        <v>15</v>
      </c>
      <c r="H238" s="17" t="s">
        <v>19</v>
      </c>
      <c r="I238" s="17" t="s">
        <v>2</v>
      </c>
      <c r="J238" s="17" t="s">
        <v>2</v>
      </c>
    </row>
    <row r="239" spans="1:10" ht="16" outlineLevel="2" collapsed="1" x14ac:dyDescent="0.2">
      <c r="A239" s="17" t="s">
        <v>15</v>
      </c>
      <c r="B239" s="17" t="s">
        <v>22</v>
      </c>
      <c r="C239" s="17" t="s">
        <v>2174</v>
      </c>
      <c r="D239" s="17" t="s">
        <v>2235</v>
      </c>
      <c r="E239" s="15" t="s">
        <v>1291</v>
      </c>
      <c r="F239" s="17"/>
      <c r="G239" s="17" t="s">
        <v>15</v>
      </c>
      <c r="H239" s="17" t="s">
        <v>21</v>
      </c>
      <c r="I239" s="17" t="s">
        <v>2</v>
      </c>
      <c r="J239" s="17" t="s">
        <v>2</v>
      </c>
    </row>
    <row r="240" spans="1:10" ht="32" outlineLevel="2" collapsed="1" x14ac:dyDescent="0.2">
      <c r="A240" s="17" t="s">
        <v>21</v>
      </c>
      <c r="B240" s="17" t="s">
        <v>16</v>
      </c>
      <c r="C240" s="17" t="s">
        <v>2</v>
      </c>
      <c r="D240" s="17" t="s">
        <v>2236</v>
      </c>
      <c r="E240" s="15" t="s">
        <v>1276</v>
      </c>
      <c r="F240" s="17"/>
      <c r="G240" s="17" t="s">
        <v>15</v>
      </c>
      <c r="H240" s="17" t="s">
        <v>19</v>
      </c>
      <c r="I240" s="17" t="s">
        <v>2</v>
      </c>
      <c r="J240" s="17" t="s">
        <v>2</v>
      </c>
    </row>
    <row r="241" spans="1:10" ht="114" customHeight="1" outlineLevel="2" collapsed="1" x14ac:dyDescent="0.2">
      <c r="A241" s="4" t="s">
        <v>15</v>
      </c>
      <c r="B241" s="4" t="s">
        <v>520</v>
      </c>
      <c r="C241" s="4" t="s">
        <v>2</v>
      </c>
      <c r="D241" s="4"/>
      <c r="E241" s="12" t="s">
        <v>1089</v>
      </c>
      <c r="F241" s="4"/>
      <c r="G241" s="4" t="s">
        <v>21</v>
      </c>
      <c r="H241" s="4" t="s">
        <v>1090</v>
      </c>
      <c r="I241" s="4" t="s">
        <v>2</v>
      </c>
      <c r="J241" s="4" t="s">
        <v>2</v>
      </c>
    </row>
    <row r="242" spans="1:10" ht="25" outlineLevel="1" collapsed="1" x14ac:dyDescent="0.3">
      <c r="A242" s="4" t="s">
        <v>15</v>
      </c>
      <c r="B242" s="4" t="s">
        <v>25</v>
      </c>
      <c r="C242" s="6" t="s">
        <v>365</v>
      </c>
      <c r="D242" s="4"/>
      <c r="E242" s="7" t="s">
        <v>763</v>
      </c>
      <c r="F242" s="4"/>
      <c r="G242" s="4" t="s">
        <v>15</v>
      </c>
      <c r="H242" s="4" t="s">
        <v>2</v>
      </c>
      <c r="I242" s="4" t="s">
        <v>2</v>
      </c>
      <c r="J242" s="4" t="s">
        <v>2</v>
      </c>
    </row>
    <row r="243" spans="1:10" ht="64" outlineLevel="1" collapsed="1" x14ac:dyDescent="0.2">
      <c r="A243" s="4" t="s">
        <v>21</v>
      </c>
      <c r="B243" s="4" t="s">
        <v>16</v>
      </c>
      <c r="C243" s="4" t="s">
        <v>2</v>
      </c>
      <c r="D243" s="4" t="s">
        <v>765</v>
      </c>
      <c r="E243" s="4" t="s">
        <v>764</v>
      </c>
      <c r="F243" s="4"/>
      <c r="G243" s="4" t="s">
        <v>15</v>
      </c>
      <c r="H243" s="4" t="s">
        <v>19</v>
      </c>
      <c r="I243" s="4" t="s">
        <v>2</v>
      </c>
      <c r="J243" s="4" t="s">
        <v>2</v>
      </c>
    </row>
    <row r="244" spans="1:10" ht="50" outlineLevel="1" collapsed="1" x14ac:dyDescent="0.3">
      <c r="A244" s="4" t="s">
        <v>15</v>
      </c>
      <c r="B244" s="4" t="s">
        <v>25</v>
      </c>
      <c r="C244" s="6" t="s">
        <v>365</v>
      </c>
      <c r="D244" s="4"/>
      <c r="E244" s="7" t="s">
        <v>766</v>
      </c>
      <c r="F244" s="4"/>
      <c r="G244" s="4" t="s">
        <v>15</v>
      </c>
      <c r="H244" s="4" t="s">
        <v>2</v>
      </c>
      <c r="I244" s="4" t="s">
        <v>2</v>
      </c>
      <c r="J244" s="4" t="s">
        <v>2</v>
      </c>
    </row>
    <row r="245" spans="1:10" ht="350" outlineLevel="1" collapsed="1" x14ac:dyDescent="0.2">
      <c r="A245" s="4" t="s">
        <v>21</v>
      </c>
      <c r="B245" s="4" t="s">
        <v>16</v>
      </c>
      <c r="C245" s="4" t="s">
        <v>2</v>
      </c>
      <c r="D245" s="4" t="s">
        <v>421</v>
      </c>
      <c r="E245" s="4" t="s">
        <v>767</v>
      </c>
      <c r="F245" s="4"/>
      <c r="G245" s="4" t="s">
        <v>15</v>
      </c>
      <c r="H245" s="4" t="s">
        <v>19</v>
      </c>
      <c r="I245" s="4" t="s">
        <v>2</v>
      </c>
      <c r="J245" s="4" t="s">
        <v>2</v>
      </c>
    </row>
    <row r="246" spans="1:10" ht="25" outlineLevel="1" collapsed="1" x14ac:dyDescent="0.3">
      <c r="A246" s="4" t="s">
        <v>15</v>
      </c>
      <c r="B246" s="4" t="s">
        <v>25</v>
      </c>
      <c r="C246" s="6" t="s">
        <v>365</v>
      </c>
      <c r="D246" s="4"/>
      <c r="E246" s="7" t="s">
        <v>768</v>
      </c>
      <c r="F246" s="4"/>
      <c r="G246" s="4" t="s">
        <v>15</v>
      </c>
      <c r="H246" s="4" t="s">
        <v>2</v>
      </c>
      <c r="I246" s="4" t="s">
        <v>2</v>
      </c>
      <c r="J246" s="4" t="s">
        <v>2</v>
      </c>
    </row>
    <row r="247" spans="1:10" ht="144" outlineLevel="1" collapsed="1" x14ac:dyDescent="0.2">
      <c r="A247" s="4" t="s">
        <v>15</v>
      </c>
      <c r="B247" s="4" t="s">
        <v>16</v>
      </c>
      <c r="C247" s="4" t="s">
        <v>2</v>
      </c>
      <c r="D247" s="4" t="s">
        <v>770</v>
      </c>
      <c r="E247" s="4" t="s">
        <v>769</v>
      </c>
      <c r="F247" s="4"/>
      <c r="G247" s="4" t="s">
        <v>15</v>
      </c>
      <c r="H247" s="4" t="s">
        <v>19</v>
      </c>
      <c r="I247" s="4" t="s">
        <v>2</v>
      </c>
      <c r="J247" s="4" t="s">
        <v>2</v>
      </c>
    </row>
    <row r="248" spans="1:10" ht="25" outlineLevel="1" collapsed="1" x14ac:dyDescent="0.3">
      <c r="A248" s="4" t="s">
        <v>15</v>
      </c>
      <c r="B248" s="4" t="s">
        <v>25</v>
      </c>
      <c r="C248" s="6" t="s">
        <v>365</v>
      </c>
      <c r="D248" s="4"/>
      <c r="E248" s="7" t="s">
        <v>771</v>
      </c>
      <c r="F248" s="4"/>
      <c r="G248" s="4" t="s">
        <v>15</v>
      </c>
      <c r="H248" s="4" t="s">
        <v>2</v>
      </c>
      <c r="I248" s="4" t="s">
        <v>2</v>
      </c>
      <c r="J248" s="4" t="s">
        <v>2</v>
      </c>
    </row>
    <row r="249" spans="1:10" ht="80" outlineLevel="1" collapsed="1" x14ac:dyDescent="0.2">
      <c r="A249" s="4" t="s">
        <v>21</v>
      </c>
      <c r="B249" s="4" t="s">
        <v>16</v>
      </c>
      <c r="C249" s="4" t="s">
        <v>2</v>
      </c>
      <c r="D249" s="4" t="s">
        <v>773</v>
      </c>
      <c r="E249" s="4" t="s">
        <v>772</v>
      </c>
      <c r="F249" s="4"/>
      <c r="G249" s="4" t="s">
        <v>15</v>
      </c>
      <c r="H249" s="4" t="s">
        <v>19</v>
      </c>
      <c r="I249" s="4" t="s">
        <v>2</v>
      </c>
      <c r="J249" s="4" t="s">
        <v>2</v>
      </c>
    </row>
    <row r="250" spans="1:10" ht="25" outlineLevel="1" collapsed="1" x14ac:dyDescent="0.3">
      <c r="A250" s="4" t="s">
        <v>15</v>
      </c>
      <c r="B250" s="4" t="s">
        <v>25</v>
      </c>
      <c r="C250" s="6" t="s">
        <v>365</v>
      </c>
      <c r="D250" s="4"/>
      <c r="E250" s="7" t="s">
        <v>774</v>
      </c>
      <c r="F250" s="4"/>
      <c r="G250" s="4" t="s">
        <v>15</v>
      </c>
      <c r="H250" s="4" t="s">
        <v>2</v>
      </c>
      <c r="I250" s="4" t="s">
        <v>2</v>
      </c>
      <c r="J250" s="4" t="s">
        <v>2</v>
      </c>
    </row>
    <row r="251" spans="1:10" ht="144" outlineLevel="1" collapsed="1" x14ac:dyDescent="0.2">
      <c r="A251" s="4" t="s">
        <v>21</v>
      </c>
      <c r="B251" s="4" t="s">
        <v>16</v>
      </c>
      <c r="C251" s="4" t="s">
        <v>2</v>
      </c>
      <c r="D251" s="4" t="s">
        <v>427</v>
      </c>
      <c r="E251" s="4" t="s">
        <v>775</v>
      </c>
      <c r="F251" s="4"/>
      <c r="G251" s="4" t="s">
        <v>15</v>
      </c>
      <c r="H251" s="4" t="s">
        <v>19</v>
      </c>
      <c r="I251" s="4" t="s">
        <v>2</v>
      </c>
      <c r="J251" s="4" t="s">
        <v>2</v>
      </c>
    </row>
    <row r="252" spans="1:10" ht="25" outlineLevel="1" collapsed="1" x14ac:dyDescent="0.3">
      <c r="A252" s="4" t="s">
        <v>15</v>
      </c>
      <c r="B252" s="4" t="s">
        <v>25</v>
      </c>
      <c r="C252" s="6" t="s">
        <v>365</v>
      </c>
      <c r="D252" s="4"/>
      <c r="E252" s="7" t="s">
        <v>776</v>
      </c>
      <c r="F252" s="4"/>
      <c r="G252" s="4" t="s">
        <v>15</v>
      </c>
      <c r="H252" s="4" t="s">
        <v>2</v>
      </c>
      <c r="I252" s="4" t="s">
        <v>2</v>
      </c>
      <c r="J252" s="4" t="s">
        <v>2</v>
      </c>
    </row>
    <row r="253" spans="1:10" ht="16" outlineLevel="1" collapsed="1" x14ac:dyDescent="0.2">
      <c r="A253" s="4" t="s">
        <v>15</v>
      </c>
      <c r="B253" s="4" t="s">
        <v>25</v>
      </c>
      <c r="C253" s="4" t="s">
        <v>2</v>
      </c>
      <c r="D253" s="4"/>
      <c r="E253" s="4" t="s">
        <v>777</v>
      </c>
      <c r="F253" s="4"/>
      <c r="G253" s="4" t="s">
        <v>15</v>
      </c>
      <c r="H253" s="4" t="s">
        <v>2</v>
      </c>
      <c r="I253" s="4" t="s">
        <v>2</v>
      </c>
      <c r="J253" s="4" t="s">
        <v>2</v>
      </c>
    </row>
    <row r="254" spans="1:10" ht="144" outlineLevel="1" collapsed="1" x14ac:dyDescent="0.2">
      <c r="A254" s="4" t="s">
        <v>21</v>
      </c>
      <c r="B254" s="4" t="s">
        <v>16</v>
      </c>
      <c r="C254" s="4" t="s">
        <v>2</v>
      </c>
      <c r="D254" s="4" t="s">
        <v>780</v>
      </c>
      <c r="E254" s="4" t="s">
        <v>779</v>
      </c>
      <c r="F254" s="4"/>
      <c r="G254" s="4" t="s">
        <v>15</v>
      </c>
      <c r="H254" s="4" t="s">
        <v>19</v>
      </c>
      <c r="I254" s="4" t="s">
        <v>2</v>
      </c>
      <c r="J254" s="4" t="s">
        <v>2</v>
      </c>
    </row>
    <row r="255" spans="1:10" ht="16" outlineLevel="1" collapsed="1" x14ac:dyDescent="0.2">
      <c r="A255" s="4" t="s">
        <v>15</v>
      </c>
      <c r="B255" s="4" t="s">
        <v>25</v>
      </c>
      <c r="C255" s="4" t="s">
        <v>2</v>
      </c>
      <c r="D255" s="4"/>
      <c r="E255" s="4" t="s">
        <v>781</v>
      </c>
      <c r="F255" s="4"/>
      <c r="G255" s="4" t="s">
        <v>15</v>
      </c>
      <c r="H255" s="4" t="s">
        <v>2</v>
      </c>
      <c r="I255" s="4" t="s">
        <v>2</v>
      </c>
      <c r="J255" s="4" t="s">
        <v>2</v>
      </c>
    </row>
    <row r="256" spans="1:10" ht="128" outlineLevel="1" collapsed="1" x14ac:dyDescent="0.2">
      <c r="A256" s="4" t="s">
        <v>21</v>
      </c>
      <c r="B256" s="4" t="s">
        <v>16</v>
      </c>
      <c r="C256" s="4" t="s">
        <v>2</v>
      </c>
      <c r="D256" s="4" t="s">
        <v>783</v>
      </c>
      <c r="E256" s="4" t="s">
        <v>782</v>
      </c>
      <c r="F256" s="4"/>
      <c r="G256" s="4" t="s">
        <v>15</v>
      </c>
      <c r="H256" s="4" t="s">
        <v>19</v>
      </c>
      <c r="I256" s="4" t="s">
        <v>2</v>
      </c>
      <c r="J256" s="4" t="s">
        <v>2</v>
      </c>
    </row>
    <row r="257" spans="1:10" ht="16" outlineLevel="1" x14ac:dyDescent="0.2">
      <c r="A257" s="5" t="s">
        <v>21</v>
      </c>
      <c r="B257" s="21" t="s">
        <v>1178</v>
      </c>
      <c r="C257" s="5" t="s">
        <v>566</v>
      </c>
      <c r="D257" s="5" t="s">
        <v>784</v>
      </c>
      <c r="E257" s="5" t="s">
        <v>566</v>
      </c>
      <c r="F257" s="5"/>
      <c r="G257" s="5" t="s">
        <v>15</v>
      </c>
      <c r="H257" s="5" t="s">
        <v>2</v>
      </c>
      <c r="I257" s="5" t="s">
        <v>2</v>
      </c>
      <c r="J257" s="5" t="s">
        <v>2</v>
      </c>
    </row>
    <row r="258" spans="1:10" ht="16" outlineLevel="2" collapsed="1" x14ac:dyDescent="0.2">
      <c r="A258" s="4" t="s">
        <v>21</v>
      </c>
      <c r="B258" s="4" t="s">
        <v>96</v>
      </c>
      <c r="C258" s="4" t="s">
        <v>2</v>
      </c>
      <c r="D258" s="4" t="s">
        <v>99</v>
      </c>
      <c r="E258" s="4" t="s">
        <v>97</v>
      </c>
      <c r="F258" s="4"/>
      <c r="G258" s="4" t="s">
        <v>15</v>
      </c>
      <c r="H258" s="4" t="s">
        <v>98</v>
      </c>
      <c r="I258" s="4" t="s">
        <v>2</v>
      </c>
      <c r="J258" s="4" t="s">
        <v>2</v>
      </c>
    </row>
    <row r="259" spans="1:10" ht="16" outlineLevel="2" collapsed="1" x14ac:dyDescent="0.2">
      <c r="A259" s="4" t="s">
        <v>21</v>
      </c>
      <c r="B259" s="4" t="s">
        <v>96</v>
      </c>
      <c r="C259" s="4" t="s">
        <v>2</v>
      </c>
      <c r="D259" s="4" t="s">
        <v>101</v>
      </c>
      <c r="E259" s="4" t="s">
        <v>100</v>
      </c>
      <c r="F259" s="4"/>
      <c r="G259" s="4" t="s">
        <v>15</v>
      </c>
      <c r="H259" s="4" t="s">
        <v>98</v>
      </c>
      <c r="I259" s="4" t="s">
        <v>2</v>
      </c>
      <c r="J259" s="4" t="s">
        <v>2</v>
      </c>
    </row>
    <row r="260" spans="1:10" ht="32" outlineLevel="1" collapsed="1" x14ac:dyDescent="0.2">
      <c r="A260" s="4" t="s">
        <v>15</v>
      </c>
      <c r="B260" s="4" t="s">
        <v>25</v>
      </c>
      <c r="C260" s="4" t="s">
        <v>2</v>
      </c>
      <c r="D260" s="4"/>
      <c r="E260" s="4" t="s">
        <v>785</v>
      </c>
      <c r="F260" s="4"/>
      <c r="G260" s="4" t="s">
        <v>15</v>
      </c>
      <c r="H260" s="4" t="s">
        <v>2</v>
      </c>
      <c r="I260" s="4" t="s">
        <v>2</v>
      </c>
      <c r="J260" s="4" t="s">
        <v>2</v>
      </c>
    </row>
    <row r="261" spans="1:10" ht="32" outlineLevel="1" collapsed="1" x14ac:dyDescent="0.2">
      <c r="A261" s="4" t="s">
        <v>15</v>
      </c>
      <c r="B261" s="4" t="s">
        <v>25</v>
      </c>
      <c r="C261" s="4" t="s">
        <v>2</v>
      </c>
      <c r="D261" s="4"/>
      <c r="E261" s="4" t="s">
        <v>786</v>
      </c>
      <c r="F261" s="4"/>
      <c r="G261" s="4" t="s">
        <v>15</v>
      </c>
      <c r="H261" s="4" t="s">
        <v>2</v>
      </c>
      <c r="I261" s="4" t="s">
        <v>2</v>
      </c>
      <c r="J261" s="4" t="s">
        <v>2</v>
      </c>
    </row>
    <row r="262" spans="1:10" ht="16" outlineLevel="1" x14ac:dyDescent="0.2">
      <c r="A262" s="5" t="s">
        <v>15</v>
      </c>
      <c r="B262" t="s">
        <v>1178</v>
      </c>
      <c r="C262" s="5" t="s">
        <v>787</v>
      </c>
      <c r="D262" s="5" t="s">
        <v>788</v>
      </c>
      <c r="E262" s="5" t="s">
        <v>787</v>
      </c>
      <c r="F262" s="5"/>
      <c r="G262" s="5" t="s">
        <v>21</v>
      </c>
      <c r="H262" s="5" t="s">
        <v>2</v>
      </c>
      <c r="I262" s="5" t="s">
        <v>2</v>
      </c>
      <c r="J262" s="5" t="s">
        <v>2</v>
      </c>
    </row>
    <row r="263" spans="1:10" ht="16" outlineLevel="2" x14ac:dyDescent="0.2">
      <c r="A263" s="5" t="s">
        <v>21</v>
      </c>
      <c r="B263" t="s">
        <v>1178</v>
      </c>
      <c r="C263" s="5" t="s">
        <v>789</v>
      </c>
      <c r="D263" s="5" t="s">
        <v>20</v>
      </c>
      <c r="E263" s="5" t="s">
        <v>789</v>
      </c>
      <c r="F263" s="5"/>
      <c r="G263" s="5" t="s">
        <v>15</v>
      </c>
      <c r="H263" s="5" t="s">
        <v>2</v>
      </c>
      <c r="I263" s="5" t="s">
        <v>2</v>
      </c>
      <c r="J263" s="5" t="s">
        <v>2</v>
      </c>
    </row>
    <row r="264" spans="1:10" ht="16" outlineLevel="3" collapsed="1" x14ac:dyDescent="0.2">
      <c r="A264" s="4" t="s">
        <v>21</v>
      </c>
      <c r="B264" s="4" t="s">
        <v>96</v>
      </c>
      <c r="C264" s="4" t="s">
        <v>2</v>
      </c>
      <c r="D264" s="4" t="s">
        <v>20</v>
      </c>
      <c r="E264" s="4" t="s">
        <v>97</v>
      </c>
      <c r="F264" s="4"/>
      <c r="G264" s="4" t="s">
        <v>15</v>
      </c>
      <c r="H264" s="4" t="s">
        <v>98</v>
      </c>
      <c r="I264" s="4" t="s">
        <v>2</v>
      </c>
      <c r="J264" s="4" t="s">
        <v>2</v>
      </c>
    </row>
    <row r="265" spans="1:10" ht="16" outlineLevel="3" collapsed="1" x14ac:dyDescent="0.2">
      <c r="A265" s="4" t="s">
        <v>21</v>
      </c>
      <c r="B265" s="4" t="s">
        <v>96</v>
      </c>
      <c r="C265" s="4" t="s">
        <v>2</v>
      </c>
      <c r="D265" s="4" t="s">
        <v>24</v>
      </c>
      <c r="E265" s="4" t="s">
        <v>100</v>
      </c>
      <c r="F265" s="4"/>
      <c r="G265" s="4" t="s">
        <v>15</v>
      </c>
      <c r="H265" s="4" t="s">
        <v>98</v>
      </c>
      <c r="I265" s="4" t="s">
        <v>2</v>
      </c>
      <c r="J265" s="4" t="s">
        <v>2</v>
      </c>
    </row>
    <row r="266" spans="1:10" ht="16" outlineLevel="2" collapsed="1" x14ac:dyDescent="0.2">
      <c r="A266" s="4" t="s">
        <v>21</v>
      </c>
      <c r="B266" s="4" t="s">
        <v>138</v>
      </c>
      <c r="C266" s="4" t="s">
        <v>2</v>
      </c>
      <c r="D266" s="4" t="s">
        <v>24</v>
      </c>
      <c r="E266" s="4" t="s">
        <v>790</v>
      </c>
      <c r="F266" s="4"/>
      <c r="G266" s="4" t="s">
        <v>15</v>
      </c>
      <c r="H266" s="4">
        <v>1</v>
      </c>
      <c r="I266" s="4" t="s">
        <v>2</v>
      </c>
      <c r="J266" s="4" t="s">
        <v>2</v>
      </c>
    </row>
    <row r="267" spans="1:10" ht="16" outlineLevel="2" collapsed="1" x14ac:dyDescent="0.2">
      <c r="A267" s="4" t="s">
        <v>21</v>
      </c>
      <c r="B267" s="4" t="s">
        <v>138</v>
      </c>
      <c r="C267" s="4" t="s">
        <v>2</v>
      </c>
      <c r="D267" s="4" t="s">
        <v>27</v>
      </c>
      <c r="E267" s="4" t="s">
        <v>791</v>
      </c>
      <c r="F267" s="4"/>
      <c r="G267" s="4" t="s">
        <v>15</v>
      </c>
      <c r="H267" s="4">
        <v>2</v>
      </c>
      <c r="I267" s="4" t="s">
        <v>2</v>
      </c>
      <c r="J267" s="4" t="s">
        <v>2</v>
      </c>
    </row>
    <row r="268" spans="1:10" ht="16" outlineLevel="2" collapsed="1" x14ac:dyDescent="0.2">
      <c r="A268" s="4" t="s">
        <v>21</v>
      </c>
      <c r="B268" s="4" t="s">
        <v>138</v>
      </c>
      <c r="C268" s="4" t="s">
        <v>2</v>
      </c>
      <c r="D268" s="4" t="s">
        <v>29</v>
      </c>
      <c r="E268" s="4" t="s">
        <v>792</v>
      </c>
      <c r="F268" s="4"/>
      <c r="G268" s="4" t="s">
        <v>15</v>
      </c>
      <c r="H268" s="4">
        <v>3</v>
      </c>
      <c r="I268" s="4" t="s">
        <v>2</v>
      </c>
      <c r="J268" s="4" t="s">
        <v>2</v>
      </c>
    </row>
    <row r="269" spans="1:10" ht="16" outlineLevel="2" collapsed="1" x14ac:dyDescent="0.2">
      <c r="A269" s="4" t="s">
        <v>21</v>
      </c>
      <c r="B269" s="4" t="s">
        <v>138</v>
      </c>
      <c r="C269" s="4" t="s">
        <v>2</v>
      </c>
      <c r="D269" s="4" t="s">
        <v>31</v>
      </c>
      <c r="E269" s="4" t="s">
        <v>793</v>
      </c>
      <c r="F269" s="4"/>
      <c r="G269" s="4" t="s">
        <v>15</v>
      </c>
      <c r="H269" s="4">
        <v>4</v>
      </c>
      <c r="I269" s="4" t="s">
        <v>2</v>
      </c>
      <c r="J269" s="4" t="s">
        <v>2</v>
      </c>
    </row>
    <row r="270" spans="1:10" ht="16" outlineLevel="2" collapsed="1" x14ac:dyDescent="0.2">
      <c r="A270" s="4" t="s">
        <v>21</v>
      </c>
      <c r="B270" s="4" t="s">
        <v>138</v>
      </c>
      <c r="C270" s="4" t="s">
        <v>2</v>
      </c>
      <c r="D270" s="4" t="s">
        <v>33</v>
      </c>
      <c r="E270" s="4" t="s">
        <v>794</v>
      </c>
      <c r="F270" s="4"/>
      <c r="G270" s="4" t="s">
        <v>15</v>
      </c>
      <c r="H270" s="4">
        <v>5</v>
      </c>
      <c r="I270" s="4" t="s">
        <v>2</v>
      </c>
      <c r="J270" s="4" t="s">
        <v>2</v>
      </c>
    </row>
    <row r="271" spans="1:10" ht="16" outlineLevel="2" collapsed="1" x14ac:dyDescent="0.2">
      <c r="A271" s="4" t="s">
        <v>21</v>
      </c>
      <c r="B271" s="4" t="s">
        <v>138</v>
      </c>
      <c r="C271" s="4" t="s">
        <v>2</v>
      </c>
      <c r="D271" s="4" t="s">
        <v>35</v>
      </c>
      <c r="E271" s="4" t="s">
        <v>795</v>
      </c>
      <c r="F271" s="4"/>
      <c r="G271" s="4" t="s">
        <v>15</v>
      </c>
      <c r="H271" s="4">
        <v>6</v>
      </c>
      <c r="I271" s="4" t="s">
        <v>2</v>
      </c>
      <c r="J271" s="4" t="s">
        <v>2</v>
      </c>
    </row>
    <row r="272" spans="1:10" ht="16" outlineLevel="2" collapsed="1" x14ac:dyDescent="0.2">
      <c r="A272" s="4" t="s">
        <v>21</v>
      </c>
      <c r="B272" s="4" t="s">
        <v>138</v>
      </c>
      <c r="C272" s="4" t="s">
        <v>2</v>
      </c>
      <c r="D272" s="4" t="s">
        <v>37</v>
      </c>
      <c r="E272" s="4" t="s">
        <v>796</v>
      </c>
      <c r="F272" s="4"/>
      <c r="G272" s="4" t="s">
        <v>15</v>
      </c>
      <c r="H272" s="4">
        <v>7</v>
      </c>
      <c r="I272" s="4" t="s">
        <v>2</v>
      </c>
      <c r="J272" s="4" t="s">
        <v>2</v>
      </c>
    </row>
    <row r="273" spans="1:10" ht="16" outlineLevel="1" collapsed="1" x14ac:dyDescent="0.2">
      <c r="A273" s="4" t="s">
        <v>15</v>
      </c>
      <c r="B273" s="4" t="s">
        <v>25</v>
      </c>
      <c r="C273" s="4" t="s">
        <v>2</v>
      </c>
      <c r="D273" s="4"/>
      <c r="E273" s="4" t="s">
        <v>797</v>
      </c>
      <c r="F273" s="4"/>
      <c r="G273" s="4" t="s">
        <v>15</v>
      </c>
      <c r="H273" s="4" t="s">
        <v>2</v>
      </c>
      <c r="I273" s="4" t="s">
        <v>2</v>
      </c>
      <c r="J273" s="4" t="s">
        <v>2</v>
      </c>
    </row>
    <row r="274" spans="1:10" ht="16" outlineLevel="1" collapsed="1" x14ac:dyDescent="0.2">
      <c r="A274" s="4" t="s">
        <v>15</v>
      </c>
      <c r="B274" s="4" t="s">
        <v>25</v>
      </c>
      <c r="C274" s="4" t="s">
        <v>2</v>
      </c>
      <c r="D274" s="4"/>
      <c r="E274" s="4" t="s">
        <v>798</v>
      </c>
      <c r="F274" s="4"/>
      <c r="G274" s="4" t="s">
        <v>15</v>
      </c>
      <c r="H274" s="4" t="s">
        <v>2</v>
      </c>
      <c r="I274" s="4" t="s">
        <v>2</v>
      </c>
      <c r="J274" s="4" t="s">
        <v>2</v>
      </c>
    </row>
    <row r="275" spans="1:10" ht="16" outlineLevel="1" collapsed="1" x14ac:dyDescent="0.2">
      <c r="A275" s="4" t="s">
        <v>15</v>
      </c>
      <c r="B275" s="4" t="s">
        <v>16</v>
      </c>
      <c r="C275" s="4" t="s">
        <v>2</v>
      </c>
      <c r="D275" s="4" t="s">
        <v>800</v>
      </c>
      <c r="E275" s="4" t="s">
        <v>799</v>
      </c>
      <c r="F275" s="4"/>
      <c r="G275" s="4" t="s">
        <v>15</v>
      </c>
      <c r="H275" s="4" t="s">
        <v>799</v>
      </c>
      <c r="I275" s="4" t="s">
        <v>2</v>
      </c>
      <c r="J275" s="4" t="s">
        <v>2</v>
      </c>
    </row>
    <row r="276" spans="1:10" ht="32" outlineLevel="1" collapsed="1" x14ac:dyDescent="0.2">
      <c r="A276" s="4" t="s">
        <v>15</v>
      </c>
      <c r="B276" s="4" t="s">
        <v>16</v>
      </c>
      <c r="C276" s="4" t="s">
        <v>2</v>
      </c>
      <c r="D276" s="4" t="s">
        <v>802</v>
      </c>
      <c r="E276" s="4" t="s">
        <v>801</v>
      </c>
      <c r="F276" s="4"/>
      <c r="G276" s="4" t="s">
        <v>15</v>
      </c>
      <c r="H276" s="4" t="s">
        <v>801</v>
      </c>
      <c r="I276" s="4" t="s">
        <v>2</v>
      </c>
      <c r="J276" s="4" t="s">
        <v>2</v>
      </c>
    </row>
    <row r="277" spans="1:10" ht="16" outlineLevel="1" collapsed="1" x14ac:dyDescent="0.2">
      <c r="A277" s="4" t="s">
        <v>15</v>
      </c>
      <c r="B277" s="4" t="s">
        <v>25</v>
      </c>
      <c r="C277" s="4" t="s">
        <v>2</v>
      </c>
      <c r="D277" s="4"/>
      <c r="E277" s="4" t="s">
        <v>803</v>
      </c>
      <c r="F277" s="4"/>
      <c r="G277" s="4" t="s">
        <v>15</v>
      </c>
      <c r="H277" s="4" t="s">
        <v>2</v>
      </c>
      <c r="I277" s="4" t="s">
        <v>2</v>
      </c>
      <c r="J277" s="4" t="s">
        <v>2</v>
      </c>
    </row>
    <row r="278" spans="1:10" ht="16" outlineLevel="1" x14ac:dyDescent="0.2">
      <c r="A278" s="5" t="s">
        <v>15</v>
      </c>
      <c r="B278" t="s">
        <v>1178</v>
      </c>
      <c r="C278" s="5" t="s">
        <v>787</v>
      </c>
      <c r="D278" s="5" t="s">
        <v>804</v>
      </c>
      <c r="E278" s="5" t="s">
        <v>787</v>
      </c>
      <c r="F278" s="5"/>
      <c r="G278" s="5" t="s">
        <v>21</v>
      </c>
      <c r="H278" s="5" t="s">
        <v>2</v>
      </c>
      <c r="I278" s="5" t="s">
        <v>2</v>
      </c>
      <c r="J278" s="5" t="s">
        <v>2</v>
      </c>
    </row>
    <row r="279" spans="1:10" ht="16" outlineLevel="2" x14ac:dyDescent="0.2">
      <c r="A279" s="5" t="s">
        <v>21</v>
      </c>
      <c r="B279" t="s">
        <v>1178</v>
      </c>
      <c r="C279" s="5" t="s">
        <v>789</v>
      </c>
      <c r="D279" s="5" t="s">
        <v>20</v>
      </c>
      <c r="E279" s="5" t="s">
        <v>789</v>
      </c>
      <c r="F279" s="5"/>
      <c r="G279" s="5" t="s">
        <v>15</v>
      </c>
      <c r="H279" s="5" t="s">
        <v>2</v>
      </c>
      <c r="I279" s="5" t="s">
        <v>2</v>
      </c>
      <c r="J279" s="5" t="s">
        <v>2</v>
      </c>
    </row>
    <row r="280" spans="1:10" ht="16" outlineLevel="3" collapsed="1" x14ac:dyDescent="0.2">
      <c r="A280" s="4" t="s">
        <v>21</v>
      </c>
      <c r="B280" s="4" t="s">
        <v>96</v>
      </c>
      <c r="C280" s="4" t="s">
        <v>2</v>
      </c>
      <c r="D280" s="4" t="s">
        <v>20</v>
      </c>
      <c r="E280" s="4" t="s">
        <v>97</v>
      </c>
      <c r="F280" s="4"/>
      <c r="G280" s="4" t="s">
        <v>15</v>
      </c>
      <c r="H280" s="4" t="s">
        <v>98</v>
      </c>
      <c r="I280" s="4" t="s">
        <v>2</v>
      </c>
      <c r="J280" s="4" t="s">
        <v>2</v>
      </c>
    </row>
    <row r="281" spans="1:10" ht="16" outlineLevel="3" collapsed="1" x14ac:dyDescent="0.2">
      <c r="A281" s="4" t="s">
        <v>21</v>
      </c>
      <c r="B281" s="4" t="s">
        <v>96</v>
      </c>
      <c r="C281" s="4" t="s">
        <v>2</v>
      </c>
      <c r="D281" s="4" t="s">
        <v>24</v>
      </c>
      <c r="E281" s="4" t="s">
        <v>100</v>
      </c>
      <c r="F281" s="4"/>
      <c r="G281" s="4" t="s">
        <v>15</v>
      </c>
      <c r="H281" s="4" t="s">
        <v>98</v>
      </c>
      <c r="I281" s="4" t="s">
        <v>2</v>
      </c>
      <c r="J281" s="4" t="s">
        <v>2</v>
      </c>
    </row>
    <row r="282" spans="1:10" ht="16" outlineLevel="2" collapsed="1" x14ac:dyDescent="0.2">
      <c r="A282" s="4" t="s">
        <v>21</v>
      </c>
      <c r="B282" s="4" t="s">
        <v>138</v>
      </c>
      <c r="C282" s="4" t="s">
        <v>2</v>
      </c>
      <c r="D282" s="4" t="s">
        <v>24</v>
      </c>
      <c r="E282" s="4" t="s">
        <v>790</v>
      </c>
      <c r="F282" s="4"/>
      <c r="G282" s="4" t="s">
        <v>15</v>
      </c>
      <c r="H282" s="4">
        <v>1</v>
      </c>
      <c r="I282" s="4" t="s">
        <v>2</v>
      </c>
      <c r="J282" s="4" t="s">
        <v>2</v>
      </c>
    </row>
    <row r="283" spans="1:10" ht="16" outlineLevel="2" collapsed="1" x14ac:dyDescent="0.2">
      <c r="A283" s="4" t="s">
        <v>21</v>
      </c>
      <c r="B283" s="4" t="s">
        <v>138</v>
      </c>
      <c r="C283" s="4" t="s">
        <v>2</v>
      </c>
      <c r="D283" s="4" t="s">
        <v>27</v>
      </c>
      <c r="E283" s="4" t="s">
        <v>791</v>
      </c>
      <c r="F283" s="4"/>
      <c r="G283" s="4" t="s">
        <v>15</v>
      </c>
      <c r="H283" s="4">
        <v>2</v>
      </c>
      <c r="I283" s="4" t="s">
        <v>2</v>
      </c>
      <c r="J283" s="4" t="s">
        <v>2</v>
      </c>
    </row>
    <row r="284" spans="1:10" ht="16" outlineLevel="2" collapsed="1" x14ac:dyDescent="0.2">
      <c r="A284" s="4" t="s">
        <v>21</v>
      </c>
      <c r="B284" s="4" t="s">
        <v>138</v>
      </c>
      <c r="C284" s="4" t="s">
        <v>2</v>
      </c>
      <c r="D284" s="4" t="s">
        <v>29</v>
      </c>
      <c r="E284" s="4" t="s">
        <v>792</v>
      </c>
      <c r="F284" s="4"/>
      <c r="G284" s="4" t="s">
        <v>15</v>
      </c>
      <c r="H284" s="4">
        <v>3</v>
      </c>
      <c r="I284" s="4" t="s">
        <v>2</v>
      </c>
      <c r="J284" s="4" t="s">
        <v>2</v>
      </c>
    </row>
    <row r="285" spans="1:10" ht="16" outlineLevel="2" collapsed="1" x14ac:dyDescent="0.2">
      <c r="A285" s="4" t="s">
        <v>21</v>
      </c>
      <c r="B285" s="4" t="s">
        <v>138</v>
      </c>
      <c r="C285" s="4" t="s">
        <v>2</v>
      </c>
      <c r="D285" s="4" t="s">
        <v>31</v>
      </c>
      <c r="E285" s="4" t="s">
        <v>793</v>
      </c>
      <c r="F285" s="4"/>
      <c r="G285" s="4" t="s">
        <v>15</v>
      </c>
      <c r="H285" s="4">
        <v>4</v>
      </c>
      <c r="I285" s="4" t="s">
        <v>2</v>
      </c>
      <c r="J285" s="4" t="s">
        <v>2</v>
      </c>
    </row>
    <row r="286" spans="1:10" ht="16" outlineLevel="2" collapsed="1" x14ac:dyDescent="0.2">
      <c r="A286" s="4" t="s">
        <v>21</v>
      </c>
      <c r="B286" s="4" t="s">
        <v>138</v>
      </c>
      <c r="C286" s="4" t="s">
        <v>2</v>
      </c>
      <c r="D286" s="4" t="s">
        <v>33</v>
      </c>
      <c r="E286" s="4" t="s">
        <v>794</v>
      </c>
      <c r="F286" s="4"/>
      <c r="G286" s="4" t="s">
        <v>15</v>
      </c>
      <c r="H286" s="4">
        <v>5</v>
      </c>
      <c r="I286" s="4" t="s">
        <v>2</v>
      </c>
      <c r="J286" s="4" t="s">
        <v>2</v>
      </c>
    </row>
    <row r="287" spans="1:10" ht="16" outlineLevel="2" collapsed="1" x14ac:dyDescent="0.2">
      <c r="A287" s="4" t="s">
        <v>21</v>
      </c>
      <c r="B287" s="4" t="s">
        <v>138</v>
      </c>
      <c r="C287" s="4" t="s">
        <v>2</v>
      </c>
      <c r="D287" s="4" t="s">
        <v>35</v>
      </c>
      <c r="E287" s="4" t="s">
        <v>795</v>
      </c>
      <c r="F287" s="4"/>
      <c r="G287" s="4" t="s">
        <v>15</v>
      </c>
      <c r="H287" s="4">
        <v>6</v>
      </c>
      <c r="I287" s="4" t="s">
        <v>2</v>
      </c>
      <c r="J287" s="4" t="s">
        <v>2</v>
      </c>
    </row>
    <row r="288" spans="1:10" ht="16" outlineLevel="2" collapsed="1" x14ac:dyDescent="0.2">
      <c r="A288" s="4" t="s">
        <v>21</v>
      </c>
      <c r="B288" s="4" t="s">
        <v>138</v>
      </c>
      <c r="C288" s="4" t="s">
        <v>2</v>
      </c>
      <c r="D288" s="4" t="s">
        <v>37</v>
      </c>
      <c r="E288" s="4" t="s">
        <v>796</v>
      </c>
      <c r="F288" s="4"/>
      <c r="G288" s="4" t="s">
        <v>15</v>
      </c>
      <c r="H288" s="4">
        <v>7</v>
      </c>
      <c r="I288" s="4" t="s">
        <v>2</v>
      </c>
      <c r="J288" s="4" t="s">
        <v>2</v>
      </c>
    </row>
    <row r="289" spans="1:10" ht="48" outlineLevel="1" x14ac:dyDescent="0.2">
      <c r="A289" s="5" t="s">
        <v>15</v>
      </c>
      <c r="B289" t="s">
        <v>1178</v>
      </c>
      <c r="C289" s="5" t="s">
        <v>805</v>
      </c>
      <c r="D289" s="5" t="s">
        <v>806</v>
      </c>
      <c r="E289" s="5" t="s">
        <v>805</v>
      </c>
      <c r="F289" s="5"/>
      <c r="G289" s="5" t="s">
        <v>21</v>
      </c>
      <c r="H289" s="5" t="s">
        <v>2</v>
      </c>
      <c r="I289" s="5" t="s">
        <v>2</v>
      </c>
      <c r="J289" s="5" t="s">
        <v>2</v>
      </c>
    </row>
    <row r="290" spans="1:10" ht="16" outlineLevel="2" collapsed="1" x14ac:dyDescent="0.2">
      <c r="A290" s="4" t="s">
        <v>21</v>
      </c>
      <c r="B290" s="4" t="s">
        <v>16</v>
      </c>
      <c r="C290" s="4" t="s">
        <v>2</v>
      </c>
      <c r="D290" s="4" t="s">
        <v>20</v>
      </c>
      <c r="E290" s="4" t="s">
        <v>528</v>
      </c>
      <c r="F290" s="4"/>
      <c r="G290" s="4" t="s">
        <v>15</v>
      </c>
      <c r="H290" s="4" t="s">
        <v>528</v>
      </c>
      <c r="I290" s="4" t="s">
        <v>2</v>
      </c>
      <c r="J290" s="4" t="s">
        <v>2</v>
      </c>
    </row>
    <row r="291" spans="1:10" ht="16" outlineLevel="2" collapsed="1" x14ac:dyDescent="0.2">
      <c r="A291" s="4" t="s">
        <v>21</v>
      </c>
      <c r="B291" s="4" t="s">
        <v>16</v>
      </c>
      <c r="C291" s="4" t="s">
        <v>2</v>
      </c>
      <c r="D291" s="4" t="s">
        <v>24</v>
      </c>
      <c r="E291" s="4" t="s">
        <v>529</v>
      </c>
      <c r="F291" s="4"/>
      <c r="G291" s="4" t="s">
        <v>15</v>
      </c>
      <c r="H291" s="4" t="s">
        <v>529</v>
      </c>
      <c r="I291" s="4" t="s">
        <v>2</v>
      </c>
      <c r="J291" s="4" t="s">
        <v>2</v>
      </c>
    </row>
    <row r="292" spans="1:10" ht="16" outlineLevel="2" collapsed="1" x14ac:dyDescent="0.2">
      <c r="A292" s="4" t="s">
        <v>21</v>
      </c>
      <c r="B292" s="4" t="s">
        <v>16</v>
      </c>
      <c r="C292" s="4" t="s">
        <v>2</v>
      </c>
      <c r="D292" s="4" t="s">
        <v>27</v>
      </c>
      <c r="E292" s="4" t="s">
        <v>183</v>
      </c>
      <c r="F292" s="4"/>
      <c r="G292" s="4" t="s">
        <v>15</v>
      </c>
      <c r="H292" s="4" t="s">
        <v>183</v>
      </c>
      <c r="I292" s="4" t="s">
        <v>2</v>
      </c>
      <c r="J292" s="4" t="s">
        <v>2</v>
      </c>
    </row>
    <row r="293" spans="1:10" ht="16" outlineLevel="2" collapsed="1" x14ac:dyDescent="0.2">
      <c r="A293" s="4" t="s">
        <v>21</v>
      </c>
      <c r="B293" s="4" t="s">
        <v>16</v>
      </c>
      <c r="C293" s="4" t="s">
        <v>2</v>
      </c>
      <c r="D293" s="4" t="s">
        <v>29</v>
      </c>
      <c r="E293" s="4" t="s">
        <v>807</v>
      </c>
      <c r="F293" s="4"/>
      <c r="G293" s="4" t="s">
        <v>15</v>
      </c>
      <c r="H293" s="4" t="s">
        <v>807</v>
      </c>
      <c r="I293" s="4" t="s">
        <v>2</v>
      </c>
      <c r="J293" s="4" t="s">
        <v>2</v>
      </c>
    </row>
    <row r="294" spans="1:10" ht="16" outlineLevel="1" x14ac:dyDescent="0.2">
      <c r="A294" s="5" t="s">
        <v>15</v>
      </c>
      <c r="B294" t="s">
        <v>1178</v>
      </c>
      <c r="C294" s="5" t="s">
        <v>540</v>
      </c>
      <c r="D294" s="5" t="s">
        <v>808</v>
      </c>
      <c r="E294" s="5" t="s">
        <v>540</v>
      </c>
      <c r="F294" s="5"/>
      <c r="G294" s="5" t="s">
        <v>21</v>
      </c>
      <c r="H294" s="5" t="s">
        <v>2</v>
      </c>
      <c r="I294" s="5" t="s">
        <v>2</v>
      </c>
      <c r="J294" s="5" t="s">
        <v>2</v>
      </c>
    </row>
    <row r="295" spans="1:10" ht="16" outlineLevel="2" collapsed="1" x14ac:dyDescent="0.2">
      <c r="A295" s="4" t="s">
        <v>15</v>
      </c>
      <c r="B295" s="4" t="s">
        <v>16</v>
      </c>
      <c r="C295" s="4" t="s">
        <v>2</v>
      </c>
      <c r="D295" s="4" t="s">
        <v>20</v>
      </c>
      <c r="E295" s="4" t="s">
        <v>809</v>
      </c>
      <c r="F295" s="4"/>
      <c r="G295" s="4" t="s">
        <v>15</v>
      </c>
      <c r="H295" s="4" t="s">
        <v>809</v>
      </c>
      <c r="I295" s="4" t="s">
        <v>2</v>
      </c>
      <c r="J295" s="4" t="s">
        <v>2</v>
      </c>
    </row>
    <row r="296" spans="1:10" ht="16" outlineLevel="2" collapsed="1" x14ac:dyDescent="0.2">
      <c r="A296" s="4" t="s">
        <v>15</v>
      </c>
      <c r="B296" s="4" t="s">
        <v>16</v>
      </c>
      <c r="C296" s="4" t="s">
        <v>2</v>
      </c>
      <c r="D296" s="4" t="s">
        <v>24</v>
      </c>
      <c r="E296" s="4" t="s">
        <v>810</v>
      </c>
      <c r="F296" s="4"/>
      <c r="G296" s="4" t="s">
        <v>15</v>
      </c>
      <c r="H296" s="4" t="s">
        <v>810</v>
      </c>
      <c r="I296" s="4" t="s">
        <v>2</v>
      </c>
      <c r="J296" s="4" t="s">
        <v>2</v>
      </c>
    </row>
    <row r="297" spans="1:10" ht="16" outlineLevel="1" collapsed="1" x14ac:dyDescent="0.2">
      <c r="A297" s="4" t="s">
        <v>15</v>
      </c>
      <c r="B297" s="4" t="s">
        <v>25</v>
      </c>
      <c r="C297" s="4" t="s">
        <v>2</v>
      </c>
      <c r="D297" s="4"/>
      <c r="E297" s="4" t="s">
        <v>811</v>
      </c>
      <c r="F297" s="4"/>
      <c r="G297" s="4" t="s">
        <v>15</v>
      </c>
      <c r="H297" s="4" t="s">
        <v>2</v>
      </c>
      <c r="I297" s="4" t="s">
        <v>2</v>
      </c>
      <c r="J297" s="4" t="s">
        <v>2</v>
      </c>
    </row>
    <row r="298" spans="1:10" ht="16" outlineLevel="1" collapsed="1" x14ac:dyDescent="0.2">
      <c r="A298" s="4" t="s">
        <v>21</v>
      </c>
      <c r="B298" s="4" t="s">
        <v>96</v>
      </c>
      <c r="C298" s="4" t="s">
        <v>2</v>
      </c>
      <c r="D298" s="4" t="s">
        <v>545</v>
      </c>
      <c r="E298" s="4" t="s">
        <v>543</v>
      </c>
      <c r="F298" s="4"/>
      <c r="G298" s="4" t="s">
        <v>15</v>
      </c>
      <c r="H298" s="4" t="s">
        <v>98</v>
      </c>
      <c r="I298" s="4" t="s">
        <v>2</v>
      </c>
      <c r="J298" s="4" t="s">
        <v>2</v>
      </c>
    </row>
    <row r="299" spans="1:10" ht="16" outlineLevel="1" collapsed="1" x14ac:dyDescent="0.2">
      <c r="A299" s="4" t="s">
        <v>21</v>
      </c>
      <c r="B299" s="4" t="s">
        <v>96</v>
      </c>
      <c r="C299" s="4" t="s">
        <v>2</v>
      </c>
      <c r="D299" s="4" t="s">
        <v>99</v>
      </c>
      <c r="E299" s="4" t="s">
        <v>546</v>
      </c>
      <c r="F299" s="4"/>
      <c r="G299" s="4" t="s">
        <v>15</v>
      </c>
      <c r="H299" s="4" t="s">
        <v>98</v>
      </c>
      <c r="I299" s="4" t="s">
        <v>2</v>
      </c>
      <c r="J299" s="4" t="s">
        <v>2</v>
      </c>
    </row>
    <row r="300" spans="1:10" ht="16" outlineLevel="1" collapsed="1" x14ac:dyDescent="0.2">
      <c r="A300" s="4" t="s">
        <v>21</v>
      </c>
      <c r="B300" s="4" t="s">
        <v>96</v>
      </c>
      <c r="C300" s="4" t="s">
        <v>2</v>
      </c>
      <c r="D300" s="4" t="s">
        <v>101</v>
      </c>
      <c r="E300" s="4" t="s">
        <v>547</v>
      </c>
      <c r="F300" s="4"/>
      <c r="G300" s="4" t="s">
        <v>15</v>
      </c>
      <c r="H300" s="4" t="s">
        <v>98</v>
      </c>
      <c r="I300" s="4" t="s">
        <v>2</v>
      </c>
      <c r="J300" s="4" t="s">
        <v>2</v>
      </c>
    </row>
    <row r="301" spans="1:10" ht="16" outlineLevel="1" collapsed="1" x14ac:dyDescent="0.2">
      <c r="A301" s="4" t="s">
        <v>21</v>
      </c>
      <c r="B301" s="4" t="s">
        <v>96</v>
      </c>
      <c r="C301" s="4" t="s">
        <v>2</v>
      </c>
      <c r="D301" s="4" t="s">
        <v>549</v>
      </c>
      <c r="E301" s="4" t="s">
        <v>548</v>
      </c>
      <c r="F301" s="4"/>
      <c r="G301" s="4" t="s">
        <v>15</v>
      </c>
      <c r="H301" s="4" t="s">
        <v>98</v>
      </c>
      <c r="I301" s="4" t="s">
        <v>2</v>
      </c>
      <c r="J301" s="4" t="s">
        <v>2</v>
      </c>
    </row>
    <row r="302" spans="1:10" ht="16" outlineLevel="1" collapsed="1" x14ac:dyDescent="0.2">
      <c r="A302" s="4" t="s">
        <v>21</v>
      </c>
      <c r="B302" s="4" t="s">
        <v>16</v>
      </c>
      <c r="C302" s="4" t="s">
        <v>2</v>
      </c>
      <c r="D302" s="4" t="s">
        <v>551</v>
      </c>
      <c r="E302" s="4" t="s">
        <v>550</v>
      </c>
      <c r="F302" s="4"/>
      <c r="G302" s="4" t="s">
        <v>15</v>
      </c>
      <c r="H302" s="4" t="s">
        <v>550</v>
      </c>
      <c r="I302" s="4" t="s">
        <v>2</v>
      </c>
      <c r="J302" s="4" t="s">
        <v>2</v>
      </c>
    </row>
    <row r="303" spans="1:10" ht="16" outlineLevel="1" collapsed="1" x14ac:dyDescent="0.2">
      <c r="A303" s="4" t="s">
        <v>21</v>
      </c>
      <c r="B303" s="4" t="s">
        <v>16</v>
      </c>
      <c r="C303" s="4" t="s">
        <v>2</v>
      </c>
      <c r="D303" s="4" t="s">
        <v>553</v>
      </c>
      <c r="E303" s="4" t="s">
        <v>552</v>
      </c>
      <c r="F303" s="4"/>
      <c r="G303" s="4" t="s">
        <v>15</v>
      </c>
      <c r="H303" s="4" t="s">
        <v>552</v>
      </c>
      <c r="I303" s="4" t="s">
        <v>2</v>
      </c>
      <c r="J303" s="4" t="s">
        <v>2</v>
      </c>
    </row>
    <row r="304" spans="1:10" ht="16" outlineLevel="1" collapsed="1" x14ac:dyDescent="0.2">
      <c r="A304" s="4" t="s">
        <v>21</v>
      </c>
      <c r="B304" s="4" t="s">
        <v>16</v>
      </c>
      <c r="C304" s="4" t="s">
        <v>2</v>
      </c>
      <c r="D304" s="4" t="s">
        <v>555</v>
      </c>
      <c r="E304" s="4" t="s">
        <v>554</v>
      </c>
      <c r="F304" s="4"/>
      <c r="G304" s="4" t="s">
        <v>15</v>
      </c>
      <c r="H304" s="4" t="s">
        <v>554</v>
      </c>
      <c r="I304" s="4" t="s">
        <v>2</v>
      </c>
      <c r="J304" s="4" t="s">
        <v>2</v>
      </c>
    </row>
    <row r="305" spans="1:10" ht="16" outlineLevel="1" collapsed="1" x14ac:dyDescent="0.2">
      <c r="A305" s="4" t="s">
        <v>21</v>
      </c>
      <c r="B305" s="4" t="s">
        <v>16</v>
      </c>
      <c r="C305" s="4" t="s">
        <v>2</v>
      </c>
      <c r="D305" s="4" t="s">
        <v>557</v>
      </c>
      <c r="E305" s="4" t="s">
        <v>556</v>
      </c>
      <c r="F305" s="4"/>
      <c r="G305" s="4" t="s">
        <v>15</v>
      </c>
      <c r="H305" s="4" t="s">
        <v>556</v>
      </c>
      <c r="I305" s="4" t="s">
        <v>2</v>
      </c>
      <c r="J305" s="4" t="s">
        <v>2</v>
      </c>
    </row>
  </sheetData>
  <autoFilter ref="B1:B305" xr:uid="{00000000-0001-0000-0300-000000000000}"/>
  <dataValidations count="1">
    <dataValidation type="list" allowBlank="1" sqref="H18:J18 H7:J7 H163:J163 H168:J168 H175:J175 H170 J170 H182:J182 H177 J177 H185:J185 H189:J189 H187:J187 H223:J223 H214:J214 H210:J210 H212:J212 H220:J220 H218:J218 H216:J216 H227:J227 H225:J225 H204:J204 H208:J208 H201:J201 H199:J199 H197:J197 H195:J195 H193:J193 H191:J191 H206:J206 H233:J233 H229:J229 H231:J231 H239:J239 H237:J237 H235:J235" xr:uid="{00000000-0002-0000-0300-000000000000}">
      <formula1>#REF!</formula1>
    </dataValidation>
  </dataValidation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192"/>
  <sheetViews>
    <sheetView workbookViewId="0"/>
  </sheetViews>
  <sheetFormatPr baseColWidth="10" defaultColWidth="8.83203125" defaultRowHeight="15" outlineLevelRow="3" x14ac:dyDescent="0.2"/>
  <cols>
    <col min="1" max="1" width="20" customWidth="1"/>
    <col min="2" max="2" width="40" customWidth="1"/>
    <col min="3" max="3" width="50" customWidth="1"/>
    <col min="4" max="5" width="20" customWidth="1"/>
    <col min="6" max="6" width="70" customWidth="1"/>
    <col min="7" max="7" width="30" customWidth="1"/>
    <col min="8" max="10" width="50" customWidth="1"/>
  </cols>
  <sheetData>
    <row r="1" spans="1:10" ht="19" x14ac:dyDescent="0.25">
      <c r="A1" s="40" t="s">
        <v>812</v>
      </c>
      <c r="B1" s="40"/>
      <c r="C1" s="40"/>
      <c r="D1" s="40"/>
      <c r="E1" s="40"/>
      <c r="F1" s="40"/>
      <c r="G1" s="40"/>
      <c r="H1" s="40"/>
      <c r="I1" s="40"/>
      <c r="J1" s="40"/>
    </row>
    <row r="2" spans="1:10" ht="19" x14ac:dyDescent="0.25">
      <c r="A2" s="1" t="s">
        <v>1</v>
      </c>
      <c r="B2" s="41" t="s">
        <v>2</v>
      </c>
      <c r="C2" s="41"/>
      <c r="D2" s="41"/>
      <c r="E2" s="41"/>
      <c r="F2" s="41"/>
      <c r="G2" s="41"/>
      <c r="H2" s="41"/>
      <c r="I2" s="41"/>
      <c r="J2" s="41"/>
    </row>
    <row r="3" spans="1:10" ht="19" x14ac:dyDescent="0.25">
      <c r="A3" s="1" t="s">
        <v>3</v>
      </c>
      <c r="B3" s="41" t="s">
        <v>4</v>
      </c>
      <c r="D3" s="41"/>
      <c r="E3" s="41"/>
      <c r="F3" s="41"/>
      <c r="G3" s="41"/>
      <c r="H3" s="41"/>
      <c r="I3" s="41"/>
      <c r="J3" s="41"/>
    </row>
    <row r="4" spans="1:10" ht="19" x14ac:dyDescent="0.25">
      <c r="A4" s="2" t="s">
        <v>5</v>
      </c>
      <c r="B4" s="2" t="s">
        <v>6</v>
      </c>
      <c r="C4" s="2" t="s">
        <v>14</v>
      </c>
      <c r="D4" s="2" t="s">
        <v>7</v>
      </c>
      <c r="E4" s="2" t="s">
        <v>8</v>
      </c>
      <c r="F4" s="2" t="s">
        <v>1</v>
      </c>
      <c r="G4" s="2" t="s">
        <v>10</v>
      </c>
      <c r="H4" s="2" t="s">
        <v>11</v>
      </c>
      <c r="I4" s="2" t="s">
        <v>12</v>
      </c>
      <c r="J4" s="2" t="s">
        <v>13</v>
      </c>
    </row>
    <row r="5" spans="1:10" ht="16" x14ac:dyDescent="0.2">
      <c r="A5" s="3" t="s">
        <v>21</v>
      </c>
      <c r="B5" s="3" t="s">
        <v>16</v>
      </c>
      <c r="C5" s="3" t="s">
        <v>79</v>
      </c>
      <c r="D5" s="3" t="s">
        <v>2</v>
      </c>
      <c r="E5" s="3"/>
      <c r="F5" s="3" t="s">
        <v>78</v>
      </c>
      <c r="G5" s="3" t="s">
        <v>15</v>
      </c>
      <c r="H5" s="3" t="s">
        <v>19</v>
      </c>
      <c r="I5" s="3" t="s">
        <v>2</v>
      </c>
      <c r="J5" s="3" t="s">
        <v>2</v>
      </c>
    </row>
    <row r="6" spans="1:10" ht="16" x14ac:dyDescent="0.2">
      <c r="A6" s="3" t="s">
        <v>21</v>
      </c>
      <c r="B6" s="3" t="s">
        <v>16</v>
      </c>
      <c r="C6" s="3" t="s">
        <v>81</v>
      </c>
      <c r="D6" s="3" t="s">
        <v>2</v>
      </c>
      <c r="E6" s="3"/>
      <c r="F6" s="3" t="s">
        <v>813</v>
      </c>
      <c r="G6" s="3" t="s">
        <v>15</v>
      </c>
      <c r="H6" s="3" t="s">
        <v>814</v>
      </c>
      <c r="I6" s="3" t="s">
        <v>2</v>
      </c>
      <c r="J6" s="3" t="s">
        <v>2</v>
      </c>
    </row>
    <row r="7" spans="1:10" ht="16" x14ac:dyDescent="0.2">
      <c r="A7" s="3" t="s">
        <v>21</v>
      </c>
      <c r="B7" s="3" t="s">
        <v>22</v>
      </c>
      <c r="C7" s="3" t="s">
        <v>1324</v>
      </c>
      <c r="D7" s="3" t="s">
        <v>1313</v>
      </c>
      <c r="E7" s="3"/>
      <c r="F7" s="3" t="s">
        <v>559</v>
      </c>
      <c r="G7" s="3" t="s">
        <v>15</v>
      </c>
      <c r="H7" s="3" t="s">
        <v>83</v>
      </c>
      <c r="I7" s="3" t="s">
        <v>2</v>
      </c>
      <c r="J7" s="3" t="s">
        <v>2</v>
      </c>
    </row>
    <row r="8" spans="1:10" ht="16" x14ac:dyDescent="0.2">
      <c r="A8" s="3" t="s">
        <v>15</v>
      </c>
      <c r="B8" t="s">
        <v>1178</v>
      </c>
      <c r="C8" s="3" t="s">
        <v>1930</v>
      </c>
      <c r="D8" s="3" t="s">
        <v>815</v>
      </c>
      <c r="E8" s="3" t="b">
        <f>EXACT(H7,"VCS v4.4")</f>
        <v>1</v>
      </c>
      <c r="F8" s="3" t="s">
        <v>815</v>
      </c>
      <c r="G8" s="3" t="s">
        <v>15</v>
      </c>
      <c r="H8" s="3" t="s">
        <v>2</v>
      </c>
      <c r="I8" s="3" t="s">
        <v>2</v>
      </c>
      <c r="J8" s="3" t="s">
        <v>2</v>
      </c>
    </row>
    <row r="9" spans="1:10" ht="16" outlineLevel="1" collapsed="1" x14ac:dyDescent="0.2">
      <c r="A9" s="4" t="s">
        <v>21</v>
      </c>
      <c r="B9" s="4" t="s">
        <v>16</v>
      </c>
      <c r="C9" s="4" t="s">
        <v>88</v>
      </c>
      <c r="D9" s="4" t="s">
        <v>2</v>
      </c>
      <c r="E9" s="4"/>
      <c r="F9" s="4" t="s">
        <v>816</v>
      </c>
      <c r="G9" s="4" t="s">
        <v>15</v>
      </c>
      <c r="H9" s="4" t="s">
        <v>816</v>
      </c>
      <c r="I9" s="4" t="s">
        <v>2</v>
      </c>
      <c r="J9" s="4" t="s">
        <v>2</v>
      </c>
    </row>
    <row r="10" spans="1:10" ht="16" outlineLevel="1" collapsed="1" x14ac:dyDescent="0.2">
      <c r="A10" s="4" t="s">
        <v>21</v>
      </c>
      <c r="B10" s="4" t="s">
        <v>16</v>
      </c>
      <c r="C10" s="4" t="s">
        <v>818</v>
      </c>
      <c r="D10" s="4" t="s">
        <v>2</v>
      </c>
      <c r="E10" s="4"/>
      <c r="F10" s="4" t="s">
        <v>817</v>
      </c>
      <c r="G10" s="4" t="s">
        <v>15</v>
      </c>
      <c r="H10" s="4" t="s">
        <v>817</v>
      </c>
      <c r="I10" s="4" t="s">
        <v>2</v>
      </c>
      <c r="J10" s="4" t="s">
        <v>2</v>
      </c>
    </row>
    <row r="11" spans="1:10" ht="16" outlineLevel="1" collapsed="1" x14ac:dyDescent="0.2">
      <c r="A11" s="4" t="s">
        <v>21</v>
      </c>
      <c r="B11" s="4" t="s">
        <v>16</v>
      </c>
      <c r="C11" s="4" t="s">
        <v>563</v>
      </c>
      <c r="D11" s="4" t="s">
        <v>2</v>
      </c>
      <c r="E11" s="4"/>
      <c r="F11" s="4" t="s">
        <v>562</v>
      </c>
      <c r="G11" s="4" t="s">
        <v>15</v>
      </c>
      <c r="H11" s="4" t="s">
        <v>562</v>
      </c>
      <c r="I11" s="4" t="s">
        <v>2</v>
      </c>
      <c r="J11" s="4" t="s">
        <v>2</v>
      </c>
    </row>
    <row r="12" spans="1:10" ht="16" outlineLevel="1" collapsed="1" x14ac:dyDescent="0.2">
      <c r="A12" s="4" t="s">
        <v>21</v>
      </c>
      <c r="B12" s="4" t="s">
        <v>16</v>
      </c>
      <c r="C12" s="4" t="s">
        <v>565</v>
      </c>
      <c r="D12" s="4" t="s">
        <v>2</v>
      </c>
      <c r="E12" s="4"/>
      <c r="F12" s="4" t="s">
        <v>564</v>
      </c>
      <c r="G12" s="4" t="s">
        <v>15</v>
      </c>
      <c r="H12" s="4" t="s">
        <v>564</v>
      </c>
      <c r="I12" s="4" t="s">
        <v>2</v>
      </c>
      <c r="J12" s="4" t="s">
        <v>2</v>
      </c>
    </row>
    <row r="13" spans="1:10" ht="16" outlineLevel="1" collapsed="1" x14ac:dyDescent="0.2">
      <c r="A13" s="4" t="s">
        <v>21</v>
      </c>
      <c r="B13" s="4" t="s">
        <v>16</v>
      </c>
      <c r="C13" s="4" t="s">
        <v>90</v>
      </c>
      <c r="D13" s="4" t="s">
        <v>2</v>
      </c>
      <c r="E13" s="4"/>
      <c r="F13" s="4" t="s">
        <v>89</v>
      </c>
      <c r="G13" s="4" t="s">
        <v>15</v>
      </c>
      <c r="H13" s="4" t="s">
        <v>89</v>
      </c>
      <c r="I13" s="4" t="s">
        <v>2</v>
      </c>
      <c r="J13" s="4" t="s">
        <v>2</v>
      </c>
    </row>
    <row r="14" spans="1:10" ht="16" outlineLevel="1" x14ac:dyDescent="0.2">
      <c r="A14" s="5" t="s">
        <v>21</v>
      </c>
      <c r="B14" t="s">
        <v>1178</v>
      </c>
      <c r="C14" s="5" t="s">
        <v>2030</v>
      </c>
      <c r="D14" s="5" t="s">
        <v>819</v>
      </c>
      <c r="E14" s="5"/>
      <c r="F14" s="5" t="s">
        <v>819</v>
      </c>
      <c r="G14" s="5" t="s">
        <v>15</v>
      </c>
      <c r="H14" s="5" t="s">
        <v>2</v>
      </c>
      <c r="I14" s="5" t="s">
        <v>2</v>
      </c>
      <c r="J14" s="5" t="s">
        <v>2</v>
      </c>
    </row>
    <row r="15" spans="1:10" ht="16" outlineLevel="2" collapsed="1" x14ac:dyDescent="0.2">
      <c r="A15" s="4" t="s">
        <v>21</v>
      </c>
      <c r="B15" s="4" t="s">
        <v>96</v>
      </c>
      <c r="C15" s="4" t="s">
        <v>99</v>
      </c>
      <c r="D15" s="4" t="s">
        <v>2</v>
      </c>
      <c r="E15" s="4"/>
      <c r="F15" s="4" t="s">
        <v>97</v>
      </c>
      <c r="G15" s="4" t="s">
        <v>15</v>
      </c>
      <c r="H15" s="4" t="s">
        <v>98</v>
      </c>
      <c r="I15" s="4" t="s">
        <v>2</v>
      </c>
      <c r="J15" s="4" t="s">
        <v>2</v>
      </c>
    </row>
    <row r="16" spans="1:10" ht="16" outlineLevel="2" collapsed="1" x14ac:dyDescent="0.2">
      <c r="A16" s="4" t="s">
        <v>21</v>
      </c>
      <c r="B16" s="4" t="s">
        <v>96</v>
      </c>
      <c r="C16" s="4" t="s">
        <v>101</v>
      </c>
      <c r="D16" s="4" t="s">
        <v>2</v>
      </c>
      <c r="E16" s="4"/>
      <c r="F16" s="4" t="s">
        <v>100</v>
      </c>
      <c r="G16" s="4" t="s">
        <v>15</v>
      </c>
      <c r="H16" s="4" t="s">
        <v>98</v>
      </c>
      <c r="I16" s="4" t="s">
        <v>2</v>
      </c>
      <c r="J16" s="4" t="s">
        <v>2</v>
      </c>
    </row>
    <row r="17" spans="1:10" ht="16" outlineLevel="1" collapsed="1" x14ac:dyDescent="0.2">
      <c r="A17" s="4" t="s">
        <v>21</v>
      </c>
      <c r="B17" s="4" t="s">
        <v>96</v>
      </c>
      <c r="C17" s="4" t="s">
        <v>1931</v>
      </c>
      <c r="D17" s="4" t="s">
        <v>2</v>
      </c>
      <c r="E17" s="4"/>
      <c r="F17" s="4" t="s">
        <v>102</v>
      </c>
      <c r="G17" s="4" t="s">
        <v>15</v>
      </c>
      <c r="H17" s="4" t="s">
        <v>98</v>
      </c>
      <c r="I17" s="4" t="s">
        <v>2</v>
      </c>
      <c r="J17" s="4" t="s">
        <v>2</v>
      </c>
    </row>
    <row r="18" spans="1:10" ht="16" outlineLevel="1" collapsed="1" x14ac:dyDescent="0.2">
      <c r="A18" s="4" t="s">
        <v>21</v>
      </c>
      <c r="B18" s="4" t="s">
        <v>96</v>
      </c>
      <c r="C18" s="4" t="s">
        <v>1932</v>
      </c>
      <c r="D18" s="4" t="s">
        <v>2</v>
      </c>
      <c r="E18" s="4"/>
      <c r="F18" s="4" t="s">
        <v>104</v>
      </c>
      <c r="G18" s="4" t="s">
        <v>15</v>
      </c>
      <c r="H18" s="4" t="s">
        <v>98</v>
      </c>
      <c r="I18" s="4" t="s">
        <v>2</v>
      </c>
      <c r="J18" s="4" t="s">
        <v>2</v>
      </c>
    </row>
    <row r="19" spans="1:10" ht="16" outlineLevel="1" collapsed="1" x14ac:dyDescent="0.2">
      <c r="A19" s="4" t="s">
        <v>21</v>
      </c>
      <c r="B19" s="4" t="s">
        <v>16</v>
      </c>
      <c r="C19" s="4" t="s">
        <v>108</v>
      </c>
      <c r="D19" s="4" t="s">
        <v>2</v>
      </c>
      <c r="E19" s="4"/>
      <c r="F19" s="4" t="s">
        <v>106</v>
      </c>
      <c r="G19" s="4" t="s">
        <v>15</v>
      </c>
      <c r="H19" s="4" t="s">
        <v>106</v>
      </c>
      <c r="I19" s="4" t="s">
        <v>2</v>
      </c>
      <c r="J19" s="4" t="s">
        <v>2</v>
      </c>
    </row>
    <row r="20" spans="1:10" ht="32" outlineLevel="1" collapsed="1" x14ac:dyDescent="0.2">
      <c r="A20" s="4" t="s">
        <v>21</v>
      </c>
      <c r="B20" s="4" t="s">
        <v>22</v>
      </c>
      <c r="C20" s="4" t="s">
        <v>1326</v>
      </c>
      <c r="D20" s="8" t="s">
        <v>567</v>
      </c>
      <c r="E20" s="4"/>
      <c r="F20" s="4" t="s">
        <v>567</v>
      </c>
      <c r="G20" s="4" t="s">
        <v>15</v>
      </c>
      <c r="H20" s="4" t="s">
        <v>820</v>
      </c>
      <c r="I20" s="4" t="s">
        <v>2</v>
      </c>
      <c r="J20" s="4" t="s">
        <v>2</v>
      </c>
    </row>
    <row r="21" spans="1:10" ht="16" outlineLevel="1" collapsed="1" x14ac:dyDescent="0.2">
      <c r="A21" s="4" t="s">
        <v>21</v>
      </c>
      <c r="B21" s="4" t="s">
        <v>16</v>
      </c>
      <c r="C21" s="4" t="s">
        <v>570</v>
      </c>
      <c r="D21" s="4" t="s">
        <v>2</v>
      </c>
      <c r="E21" s="4"/>
      <c r="F21" s="4" t="s">
        <v>569</v>
      </c>
      <c r="G21" s="4" t="s">
        <v>15</v>
      </c>
      <c r="H21" s="4" t="s">
        <v>569</v>
      </c>
      <c r="I21" s="4" t="s">
        <v>2</v>
      </c>
      <c r="J21" s="4" t="s">
        <v>2</v>
      </c>
    </row>
    <row r="22" spans="1:10" ht="16" outlineLevel="1" collapsed="1" x14ac:dyDescent="0.2">
      <c r="A22" s="4" t="s">
        <v>21</v>
      </c>
      <c r="B22" s="4" t="s">
        <v>16</v>
      </c>
      <c r="C22" s="4" t="s">
        <v>1933</v>
      </c>
      <c r="D22" s="4" t="s">
        <v>2</v>
      </c>
      <c r="E22" s="4"/>
      <c r="F22" s="4" t="s">
        <v>112</v>
      </c>
      <c r="G22" s="4" t="s">
        <v>15</v>
      </c>
      <c r="H22" s="4" t="s">
        <v>112</v>
      </c>
      <c r="I22" s="4" t="s">
        <v>2</v>
      </c>
      <c r="J22" s="4" t="s">
        <v>2</v>
      </c>
    </row>
    <row r="23" spans="1:10" ht="16" outlineLevel="1" collapsed="1" x14ac:dyDescent="0.2">
      <c r="A23" s="4" t="s">
        <v>21</v>
      </c>
      <c r="B23" s="4" t="s">
        <v>16</v>
      </c>
      <c r="C23" s="4" t="s">
        <v>1934</v>
      </c>
      <c r="D23" s="4" t="s">
        <v>2</v>
      </c>
      <c r="E23" s="4"/>
      <c r="F23" s="4" t="s">
        <v>571</v>
      </c>
      <c r="G23" s="4" t="s">
        <v>15</v>
      </c>
      <c r="H23" s="4" t="s">
        <v>571</v>
      </c>
      <c r="I23" s="4" t="s">
        <v>2</v>
      </c>
      <c r="J23" s="4" t="s">
        <v>2</v>
      </c>
    </row>
    <row r="24" spans="1:10" ht="16" outlineLevel="1" collapsed="1" x14ac:dyDescent="0.2">
      <c r="A24" s="4" t="s">
        <v>21</v>
      </c>
      <c r="B24" s="4" t="s">
        <v>16</v>
      </c>
      <c r="C24" s="4" t="s">
        <v>574</v>
      </c>
      <c r="D24" s="4" t="s">
        <v>2</v>
      </c>
      <c r="E24" s="4"/>
      <c r="F24" s="4" t="s">
        <v>573</v>
      </c>
      <c r="G24" s="4" t="s">
        <v>15</v>
      </c>
      <c r="H24" s="4" t="s">
        <v>573</v>
      </c>
      <c r="I24" s="4" t="s">
        <v>2</v>
      </c>
      <c r="J24" s="4" t="s">
        <v>2</v>
      </c>
    </row>
    <row r="25" spans="1:10" ht="16" outlineLevel="1" collapsed="1" x14ac:dyDescent="0.2">
      <c r="A25" s="4" t="s">
        <v>21</v>
      </c>
      <c r="B25" s="4" t="s">
        <v>16</v>
      </c>
      <c r="C25" s="4" t="s">
        <v>778</v>
      </c>
      <c r="D25" s="4" t="s">
        <v>2</v>
      </c>
      <c r="E25" s="4"/>
      <c r="F25" s="4" t="s">
        <v>575</v>
      </c>
      <c r="G25" s="4" t="s">
        <v>15</v>
      </c>
      <c r="H25" s="4" t="s">
        <v>575</v>
      </c>
      <c r="I25" s="4" t="s">
        <v>2</v>
      </c>
      <c r="J25" s="4" t="s">
        <v>2</v>
      </c>
    </row>
    <row r="26" spans="1:10" ht="25" outlineLevel="1" collapsed="1" x14ac:dyDescent="0.3">
      <c r="A26" s="4" t="s">
        <v>15</v>
      </c>
      <c r="B26" s="4" t="s">
        <v>25</v>
      </c>
      <c r="C26" s="4"/>
      <c r="D26" s="6" t="s">
        <v>365</v>
      </c>
      <c r="E26" s="4"/>
      <c r="F26" s="7" t="s">
        <v>576</v>
      </c>
      <c r="G26" s="4" t="s">
        <v>15</v>
      </c>
      <c r="H26" s="4" t="s">
        <v>2</v>
      </c>
      <c r="I26" s="4" t="s">
        <v>2</v>
      </c>
      <c r="J26" s="4" t="s">
        <v>2</v>
      </c>
    </row>
    <row r="27" spans="1:10" ht="16" outlineLevel="1" collapsed="1" x14ac:dyDescent="0.2">
      <c r="A27" s="4" t="s">
        <v>21</v>
      </c>
      <c r="B27" s="4" t="s">
        <v>16</v>
      </c>
      <c r="C27" s="4" t="s">
        <v>578</v>
      </c>
      <c r="D27" s="4" t="s">
        <v>2</v>
      </c>
      <c r="E27" s="4"/>
      <c r="F27" s="4" t="s">
        <v>577</v>
      </c>
      <c r="G27" s="4" t="s">
        <v>15</v>
      </c>
      <c r="H27" s="4" t="s">
        <v>577</v>
      </c>
      <c r="I27" s="4" t="s">
        <v>2</v>
      </c>
      <c r="J27" s="4" t="s">
        <v>2</v>
      </c>
    </row>
    <row r="28" spans="1:10" ht="16" outlineLevel="1" collapsed="1" x14ac:dyDescent="0.2">
      <c r="A28" s="4" t="s">
        <v>21</v>
      </c>
      <c r="B28" s="4" t="s">
        <v>16</v>
      </c>
      <c r="C28" s="4" t="s">
        <v>580</v>
      </c>
      <c r="D28" s="4" t="s">
        <v>2</v>
      </c>
      <c r="E28" s="4"/>
      <c r="F28" s="4" t="s">
        <v>579</v>
      </c>
      <c r="G28" s="4" t="s">
        <v>15</v>
      </c>
      <c r="H28" s="4" t="s">
        <v>579</v>
      </c>
      <c r="I28" s="4" t="s">
        <v>2</v>
      </c>
      <c r="J28" s="4" t="s">
        <v>2</v>
      </c>
    </row>
    <row r="29" spans="1:10" ht="16" outlineLevel="1" collapsed="1" x14ac:dyDescent="0.2">
      <c r="A29" s="4" t="s">
        <v>21</v>
      </c>
      <c r="B29" s="4" t="s">
        <v>16</v>
      </c>
      <c r="C29" s="4" t="s">
        <v>1935</v>
      </c>
      <c r="D29" s="4" t="s">
        <v>2</v>
      </c>
      <c r="E29" s="4"/>
      <c r="F29" s="4" t="s">
        <v>821</v>
      </c>
      <c r="G29" s="4" t="s">
        <v>15</v>
      </c>
      <c r="H29" s="4" t="s">
        <v>821</v>
      </c>
      <c r="I29" s="4" t="s">
        <v>2</v>
      </c>
      <c r="J29" s="4" t="s">
        <v>2</v>
      </c>
    </row>
    <row r="30" spans="1:10" ht="16" outlineLevel="1" collapsed="1" x14ac:dyDescent="0.2">
      <c r="A30" s="4" t="s">
        <v>21</v>
      </c>
      <c r="B30" s="4" t="s">
        <v>16</v>
      </c>
      <c r="C30" s="4" t="s">
        <v>119</v>
      </c>
      <c r="D30" s="4" t="s">
        <v>2</v>
      </c>
      <c r="E30" s="4"/>
      <c r="F30" s="4" t="s">
        <v>583</v>
      </c>
      <c r="G30" s="4" t="s">
        <v>15</v>
      </c>
      <c r="H30" s="4" t="s">
        <v>583</v>
      </c>
      <c r="I30" s="4" t="s">
        <v>2</v>
      </c>
      <c r="J30" s="4" t="s">
        <v>2</v>
      </c>
    </row>
    <row r="31" spans="1:10" ht="25" outlineLevel="1" collapsed="1" x14ac:dyDescent="0.3">
      <c r="A31" s="4" t="s">
        <v>15</v>
      </c>
      <c r="B31" s="4" t="s">
        <v>25</v>
      </c>
      <c r="C31" s="4"/>
      <c r="D31" s="6" t="s">
        <v>365</v>
      </c>
      <c r="E31" s="4"/>
      <c r="F31" s="7" t="s">
        <v>822</v>
      </c>
      <c r="G31" s="4" t="s">
        <v>15</v>
      </c>
      <c r="H31" s="4" t="s">
        <v>2</v>
      </c>
      <c r="I31" s="4" t="s">
        <v>2</v>
      </c>
      <c r="J31" s="4" t="s">
        <v>2</v>
      </c>
    </row>
    <row r="32" spans="1:10" ht="16" outlineLevel="1" collapsed="1" x14ac:dyDescent="0.2">
      <c r="A32" s="4" t="s">
        <v>21</v>
      </c>
      <c r="B32" s="4" t="s">
        <v>16</v>
      </c>
      <c r="C32" s="4" t="s">
        <v>1936</v>
      </c>
      <c r="D32" s="4" t="s">
        <v>2</v>
      </c>
      <c r="E32" s="4"/>
      <c r="F32" s="4" t="s">
        <v>585</v>
      </c>
      <c r="G32" s="4" t="s">
        <v>15</v>
      </c>
      <c r="H32" s="4" t="s">
        <v>585</v>
      </c>
      <c r="I32" s="4" t="s">
        <v>2</v>
      </c>
      <c r="J32" s="4" t="s">
        <v>2</v>
      </c>
    </row>
    <row r="33" spans="1:10" ht="16" outlineLevel="1" collapsed="1" x14ac:dyDescent="0.2">
      <c r="A33" s="4" t="s">
        <v>21</v>
      </c>
      <c r="B33" s="4" t="s">
        <v>16</v>
      </c>
      <c r="C33" s="4" t="s">
        <v>588</v>
      </c>
      <c r="D33" s="4" t="s">
        <v>2</v>
      </c>
      <c r="E33" s="4"/>
      <c r="F33" s="4" t="s">
        <v>587</v>
      </c>
      <c r="G33" s="4" t="s">
        <v>15</v>
      </c>
      <c r="H33" s="4" t="s">
        <v>587</v>
      </c>
      <c r="I33" s="4" t="s">
        <v>2</v>
      </c>
      <c r="J33" s="4" t="s">
        <v>2</v>
      </c>
    </row>
    <row r="34" spans="1:10" ht="16" outlineLevel="1" collapsed="1" x14ac:dyDescent="0.2">
      <c r="A34" s="4" t="s">
        <v>21</v>
      </c>
      <c r="B34" s="4" t="s">
        <v>16</v>
      </c>
      <c r="C34" s="4" t="s">
        <v>590</v>
      </c>
      <c r="D34" s="4" t="s">
        <v>2</v>
      </c>
      <c r="E34" s="4"/>
      <c r="F34" s="4" t="s">
        <v>589</v>
      </c>
      <c r="G34" s="4" t="s">
        <v>15</v>
      </c>
      <c r="H34" s="4" t="s">
        <v>589</v>
      </c>
      <c r="I34" s="4" t="s">
        <v>2</v>
      </c>
      <c r="J34" s="4" t="s">
        <v>2</v>
      </c>
    </row>
    <row r="35" spans="1:10" ht="16" outlineLevel="1" collapsed="1" x14ac:dyDescent="0.2">
      <c r="A35" s="4" t="s">
        <v>21</v>
      </c>
      <c r="B35" s="4" t="s">
        <v>16</v>
      </c>
      <c r="C35" s="4" t="s">
        <v>592</v>
      </c>
      <c r="D35" s="4" t="s">
        <v>2</v>
      </c>
      <c r="E35" s="4"/>
      <c r="F35" s="4" t="s">
        <v>591</v>
      </c>
      <c r="G35" s="4" t="s">
        <v>15</v>
      </c>
      <c r="H35" s="4" t="s">
        <v>591</v>
      </c>
      <c r="I35" s="4" t="s">
        <v>2</v>
      </c>
      <c r="J35" s="4" t="s">
        <v>2</v>
      </c>
    </row>
    <row r="36" spans="1:10" ht="16" outlineLevel="1" collapsed="1" x14ac:dyDescent="0.2">
      <c r="A36" s="4" t="s">
        <v>21</v>
      </c>
      <c r="B36" s="4" t="s">
        <v>16</v>
      </c>
      <c r="C36" s="4" t="s">
        <v>594</v>
      </c>
      <c r="D36" s="4" t="s">
        <v>2</v>
      </c>
      <c r="E36" s="4"/>
      <c r="F36" s="4" t="s">
        <v>593</v>
      </c>
      <c r="G36" s="4" t="s">
        <v>15</v>
      </c>
      <c r="H36" s="4" t="s">
        <v>593</v>
      </c>
      <c r="I36" s="4" t="s">
        <v>2</v>
      </c>
      <c r="J36" s="4" t="s">
        <v>2</v>
      </c>
    </row>
    <row r="37" spans="1:10" ht="16" outlineLevel="1" collapsed="1" x14ac:dyDescent="0.2">
      <c r="A37" s="4" t="s">
        <v>21</v>
      </c>
      <c r="B37" s="4" t="s">
        <v>16</v>
      </c>
      <c r="C37" s="4" t="s">
        <v>1937</v>
      </c>
      <c r="D37" s="4" t="s">
        <v>2</v>
      </c>
      <c r="E37" s="4"/>
      <c r="F37" s="4" t="s">
        <v>595</v>
      </c>
      <c r="G37" s="4" t="s">
        <v>15</v>
      </c>
      <c r="H37" s="4" t="s">
        <v>595</v>
      </c>
      <c r="I37" s="4" t="s">
        <v>2</v>
      </c>
      <c r="J37" s="4" t="s">
        <v>2</v>
      </c>
    </row>
    <row r="38" spans="1:10" ht="16" outlineLevel="1" collapsed="1" x14ac:dyDescent="0.2">
      <c r="A38" s="4" t="s">
        <v>21</v>
      </c>
      <c r="B38" s="4" t="s">
        <v>16</v>
      </c>
      <c r="C38" s="4" t="s">
        <v>1938</v>
      </c>
      <c r="D38" s="4" t="s">
        <v>2</v>
      </c>
      <c r="E38" s="4"/>
      <c r="F38" s="4" t="s">
        <v>824</v>
      </c>
      <c r="G38" s="4" t="s">
        <v>15</v>
      </c>
      <c r="H38" s="4" t="s">
        <v>824</v>
      </c>
      <c r="I38" s="4" t="s">
        <v>2</v>
      </c>
      <c r="J38" s="4" t="s">
        <v>2</v>
      </c>
    </row>
    <row r="39" spans="1:10" ht="25" outlineLevel="1" collapsed="1" x14ac:dyDescent="0.3">
      <c r="A39" s="4" t="s">
        <v>15</v>
      </c>
      <c r="B39" s="4" t="s">
        <v>25</v>
      </c>
      <c r="C39" s="4"/>
      <c r="D39" s="6" t="s">
        <v>365</v>
      </c>
      <c r="E39" s="4"/>
      <c r="F39" s="7" t="s">
        <v>597</v>
      </c>
      <c r="G39" s="4" t="s">
        <v>15</v>
      </c>
      <c r="H39" s="4" t="s">
        <v>2</v>
      </c>
      <c r="I39" s="4" t="s">
        <v>2</v>
      </c>
      <c r="J39" s="4" t="s">
        <v>2</v>
      </c>
    </row>
    <row r="40" spans="1:10" ht="16" outlineLevel="1" collapsed="1" x14ac:dyDescent="0.2">
      <c r="A40" s="4" t="s">
        <v>21</v>
      </c>
      <c r="B40" s="4" t="s">
        <v>16</v>
      </c>
      <c r="C40" s="4" t="s">
        <v>1939</v>
      </c>
      <c r="D40" s="4" t="s">
        <v>2</v>
      </c>
      <c r="E40" s="4"/>
      <c r="F40" s="4" t="s">
        <v>825</v>
      </c>
      <c r="G40" s="4" t="s">
        <v>15</v>
      </c>
      <c r="H40" s="4" t="s">
        <v>825</v>
      </c>
      <c r="I40" s="4" t="s">
        <v>2</v>
      </c>
      <c r="J40" s="4" t="s">
        <v>2</v>
      </c>
    </row>
    <row r="41" spans="1:10" ht="16" outlineLevel="1" collapsed="1" x14ac:dyDescent="0.2">
      <c r="A41" s="4" t="s">
        <v>21</v>
      </c>
      <c r="B41" s="4" t="s">
        <v>16</v>
      </c>
      <c r="C41" s="4" t="s">
        <v>1940</v>
      </c>
      <c r="D41" s="4" t="s">
        <v>2</v>
      </c>
      <c r="E41" s="4"/>
      <c r="F41" s="4" t="s">
        <v>826</v>
      </c>
      <c r="G41" s="4" t="s">
        <v>15</v>
      </c>
      <c r="H41" s="4" t="s">
        <v>826</v>
      </c>
      <c r="I41" s="4" t="s">
        <v>2</v>
      </c>
      <c r="J41" s="4" t="s">
        <v>2</v>
      </c>
    </row>
    <row r="42" spans="1:10" ht="16" outlineLevel="1" collapsed="1" x14ac:dyDescent="0.2">
      <c r="A42" s="4" t="s">
        <v>21</v>
      </c>
      <c r="B42" s="4" t="s">
        <v>16</v>
      </c>
      <c r="C42" s="4" t="s">
        <v>1941</v>
      </c>
      <c r="D42" s="4" t="s">
        <v>2</v>
      </c>
      <c r="E42" s="4"/>
      <c r="F42" s="4" t="s">
        <v>828</v>
      </c>
      <c r="G42" s="4" t="s">
        <v>15</v>
      </c>
      <c r="H42" s="4" t="s">
        <v>828</v>
      </c>
      <c r="I42" s="4" t="s">
        <v>2</v>
      </c>
      <c r="J42" s="4" t="s">
        <v>2</v>
      </c>
    </row>
    <row r="43" spans="1:10" ht="25" outlineLevel="1" collapsed="1" x14ac:dyDescent="0.3">
      <c r="A43" s="4" t="s">
        <v>15</v>
      </c>
      <c r="B43" s="4" t="s">
        <v>25</v>
      </c>
      <c r="C43" s="4"/>
      <c r="D43" s="6" t="s">
        <v>365</v>
      </c>
      <c r="E43" s="4"/>
      <c r="F43" s="7" t="s">
        <v>830</v>
      </c>
      <c r="G43" s="4" t="s">
        <v>15</v>
      </c>
      <c r="H43" s="4" t="s">
        <v>2</v>
      </c>
      <c r="I43" s="4" t="s">
        <v>2</v>
      </c>
      <c r="J43" s="4" t="s">
        <v>2</v>
      </c>
    </row>
    <row r="44" spans="1:10" ht="16" outlineLevel="1" collapsed="1" x14ac:dyDescent="0.2">
      <c r="A44" s="4" t="s">
        <v>21</v>
      </c>
      <c r="B44" s="4" t="s">
        <v>22</v>
      </c>
      <c r="C44" s="4" t="s">
        <v>2007</v>
      </c>
      <c r="D44" t="s">
        <v>171</v>
      </c>
      <c r="E44" s="4"/>
      <c r="F44" s="4" t="s">
        <v>470</v>
      </c>
      <c r="G44" s="4" t="s">
        <v>15</v>
      </c>
      <c r="H44" s="4" t="s">
        <v>21</v>
      </c>
      <c r="I44" s="4" t="s">
        <v>2</v>
      </c>
      <c r="J44" s="4" t="s">
        <v>2</v>
      </c>
    </row>
    <row r="45" spans="1:10" ht="409.6" outlineLevel="1" collapsed="1" x14ac:dyDescent="0.2">
      <c r="A45" s="4" t="s">
        <v>15</v>
      </c>
      <c r="B45" s="4" t="s">
        <v>16</v>
      </c>
      <c r="C45" s="4" t="s">
        <v>1942</v>
      </c>
      <c r="D45" s="4" t="s">
        <v>2</v>
      </c>
      <c r="E45" s="4" t="b">
        <f>EXACT(H44,"Yes")</f>
        <v>1</v>
      </c>
      <c r="F45" s="4" t="s">
        <v>831</v>
      </c>
      <c r="G45" s="4" t="s">
        <v>15</v>
      </c>
      <c r="H45" s="4" t="s">
        <v>831</v>
      </c>
      <c r="I45" s="4" t="s">
        <v>2</v>
      </c>
      <c r="J45" s="4" t="s">
        <v>2</v>
      </c>
    </row>
    <row r="46" spans="1:10" ht="25" outlineLevel="1" collapsed="1" x14ac:dyDescent="0.3">
      <c r="A46" s="4" t="s">
        <v>15</v>
      </c>
      <c r="B46" s="4" t="s">
        <v>25</v>
      </c>
      <c r="C46" s="4"/>
      <c r="D46" s="6" t="s">
        <v>365</v>
      </c>
      <c r="E46" s="4"/>
      <c r="F46" s="7" t="s">
        <v>833</v>
      </c>
      <c r="G46" s="4" t="s">
        <v>15</v>
      </c>
      <c r="H46" s="4" t="s">
        <v>2</v>
      </c>
      <c r="I46" s="4" t="s">
        <v>2</v>
      </c>
      <c r="J46" s="4" t="s">
        <v>2</v>
      </c>
    </row>
    <row r="47" spans="1:10" ht="25" outlineLevel="1" collapsed="1" x14ac:dyDescent="0.3">
      <c r="A47" s="4" t="s">
        <v>15</v>
      </c>
      <c r="B47" s="4" t="s">
        <v>25</v>
      </c>
      <c r="C47" s="4"/>
      <c r="D47" s="6" t="s">
        <v>365</v>
      </c>
      <c r="E47" s="4"/>
      <c r="F47" s="7" t="s">
        <v>835</v>
      </c>
      <c r="G47" s="4" t="s">
        <v>15</v>
      </c>
      <c r="H47" s="4" t="s">
        <v>2</v>
      </c>
      <c r="I47" s="4" t="s">
        <v>2</v>
      </c>
      <c r="J47" s="4" t="s">
        <v>2</v>
      </c>
    </row>
    <row r="48" spans="1:10" ht="16" outlineLevel="1" collapsed="1" x14ac:dyDescent="0.2">
      <c r="A48" s="4" t="s">
        <v>21</v>
      </c>
      <c r="B48" s="4" t="s">
        <v>16</v>
      </c>
      <c r="C48" s="4" t="s">
        <v>121</v>
      </c>
      <c r="D48" s="4" t="s">
        <v>2</v>
      </c>
      <c r="E48" s="4"/>
      <c r="F48" s="4" t="s">
        <v>599</v>
      </c>
      <c r="G48" s="4" t="s">
        <v>15</v>
      </c>
      <c r="H48" s="4" t="s">
        <v>599</v>
      </c>
      <c r="I48" s="4" t="s">
        <v>2</v>
      </c>
      <c r="J48" s="4" t="s">
        <v>2</v>
      </c>
    </row>
    <row r="49" spans="1:10" ht="16" outlineLevel="1" collapsed="1" x14ac:dyDescent="0.2">
      <c r="A49" s="4" t="s">
        <v>21</v>
      </c>
      <c r="B49" s="4" t="s">
        <v>16</v>
      </c>
      <c r="C49" s="4" t="s">
        <v>1943</v>
      </c>
      <c r="D49" s="4" t="s">
        <v>2</v>
      </c>
      <c r="E49" s="4"/>
      <c r="F49" s="4" t="s">
        <v>633</v>
      </c>
      <c r="G49" s="4" t="s">
        <v>15</v>
      </c>
      <c r="H49" s="4" t="s">
        <v>633</v>
      </c>
      <c r="I49" s="4" t="s">
        <v>2</v>
      </c>
      <c r="J49" s="4" t="s">
        <v>2</v>
      </c>
    </row>
    <row r="50" spans="1:10" ht="32" outlineLevel="1" collapsed="1" x14ac:dyDescent="0.2">
      <c r="A50" s="4" t="s">
        <v>21</v>
      </c>
      <c r="B50" s="4" t="s">
        <v>16</v>
      </c>
      <c r="C50" s="4" t="s">
        <v>1944</v>
      </c>
      <c r="D50" s="4" t="s">
        <v>2</v>
      </c>
      <c r="E50" s="4"/>
      <c r="F50" s="4" t="s">
        <v>635</v>
      </c>
      <c r="G50" s="4" t="s">
        <v>15</v>
      </c>
      <c r="H50" s="4" t="s">
        <v>635</v>
      </c>
      <c r="I50" s="4" t="s">
        <v>2</v>
      </c>
      <c r="J50" s="4" t="s">
        <v>2</v>
      </c>
    </row>
    <row r="51" spans="1:10" ht="16" outlineLevel="1" collapsed="1" x14ac:dyDescent="0.2">
      <c r="A51" s="4" t="s">
        <v>21</v>
      </c>
      <c r="B51" s="4" t="s">
        <v>16</v>
      </c>
      <c r="C51" s="4" t="s">
        <v>1945</v>
      </c>
      <c r="D51" s="4" t="s">
        <v>2</v>
      </c>
      <c r="E51" s="4"/>
      <c r="F51" s="4" t="s">
        <v>637</v>
      </c>
      <c r="G51" s="4" t="s">
        <v>15</v>
      </c>
      <c r="H51" s="4" t="s">
        <v>637</v>
      </c>
      <c r="I51" s="4" t="s">
        <v>2</v>
      </c>
      <c r="J51" s="4" t="s">
        <v>2</v>
      </c>
    </row>
    <row r="52" spans="1:10" ht="16" outlineLevel="1" collapsed="1" x14ac:dyDescent="0.2">
      <c r="A52" s="4" t="s">
        <v>21</v>
      </c>
      <c r="B52" s="4" t="s">
        <v>16</v>
      </c>
      <c r="C52" s="4" t="s">
        <v>1946</v>
      </c>
      <c r="D52" s="4" t="s">
        <v>2</v>
      </c>
      <c r="E52" s="4"/>
      <c r="F52" s="4" t="s">
        <v>639</v>
      </c>
      <c r="G52" s="4" t="s">
        <v>15</v>
      </c>
      <c r="H52" s="4" t="s">
        <v>639</v>
      </c>
      <c r="I52" s="4" t="s">
        <v>2</v>
      </c>
      <c r="J52" s="4" t="s">
        <v>2</v>
      </c>
    </row>
    <row r="53" spans="1:10" ht="16" outlineLevel="1" collapsed="1" x14ac:dyDescent="0.2">
      <c r="A53" s="4" t="s">
        <v>21</v>
      </c>
      <c r="B53" s="4" t="s">
        <v>16</v>
      </c>
      <c r="C53" s="4" t="s">
        <v>1947</v>
      </c>
      <c r="D53" s="4" t="s">
        <v>2</v>
      </c>
      <c r="E53" s="4"/>
      <c r="F53" s="4" t="s">
        <v>641</v>
      </c>
      <c r="G53" s="4" t="s">
        <v>15</v>
      </c>
      <c r="H53" s="4" t="s">
        <v>641</v>
      </c>
      <c r="I53" s="4" t="s">
        <v>2</v>
      </c>
      <c r="J53" s="4" t="s">
        <v>2</v>
      </c>
    </row>
    <row r="54" spans="1:10" ht="16" outlineLevel="1" collapsed="1" x14ac:dyDescent="0.2">
      <c r="A54" s="4" t="s">
        <v>21</v>
      </c>
      <c r="B54" s="4" t="s">
        <v>16</v>
      </c>
      <c r="C54" s="4" t="s">
        <v>1948</v>
      </c>
      <c r="D54" s="4" t="s">
        <v>2</v>
      </c>
      <c r="E54" s="4"/>
      <c r="F54" s="4" t="s">
        <v>642</v>
      </c>
      <c r="G54" s="4" t="s">
        <v>15</v>
      </c>
      <c r="H54" s="4" t="s">
        <v>642</v>
      </c>
      <c r="I54" s="4" t="s">
        <v>2</v>
      </c>
      <c r="J54" s="4" t="s">
        <v>2</v>
      </c>
    </row>
    <row r="55" spans="1:10" ht="25" outlineLevel="1" collapsed="1" x14ac:dyDescent="0.3">
      <c r="A55" s="4" t="s">
        <v>15</v>
      </c>
      <c r="B55" s="4" t="s">
        <v>25</v>
      </c>
      <c r="C55" s="4"/>
      <c r="D55" s="6" t="s">
        <v>365</v>
      </c>
      <c r="E55" s="4"/>
      <c r="F55" s="7" t="s">
        <v>839</v>
      </c>
      <c r="G55" s="4" t="s">
        <v>15</v>
      </c>
      <c r="H55" s="4" t="s">
        <v>2</v>
      </c>
      <c r="I55" s="4" t="s">
        <v>2</v>
      </c>
      <c r="J55" s="4" t="s">
        <v>2</v>
      </c>
    </row>
    <row r="56" spans="1:10" ht="25" outlineLevel="1" collapsed="1" x14ac:dyDescent="0.3">
      <c r="A56" s="4" t="s">
        <v>15</v>
      </c>
      <c r="B56" s="4" t="s">
        <v>25</v>
      </c>
      <c r="C56" s="4"/>
      <c r="D56" s="6" t="s">
        <v>365</v>
      </c>
      <c r="E56" s="4"/>
      <c r="F56" s="7" t="s">
        <v>841</v>
      </c>
      <c r="G56" s="4" t="s">
        <v>15</v>
      </c>
      <c r="H56" s="4" t="s">
        <v>2</v>
      </c>
      <c r="I56" s="4" t="s">
        <v>2</v>
      </c>
      <c r="J56" s="4" t="s">
        <v>2</v>
      </c>
    </row>
    <row r="57" spans="1:10" ht="16" outlineLevel="1" collapsed="1" x14ac:dyDescent="0.2">
      <c r="A57" s="4" t="s">
        <v>21</v>
      </c>
      <c r="B57" s="4" t="s">
        <v>16</v>
      </c>
      <c r="C57" s="4" t="s">
        <v>647</v>
      </c>
      <c r="D57" s="4" t="s">
        <v>2</v>
      </c>
      <c r="E57" s="4"/>
      <c r="F57" s="4" t="s">
        <v>842</v>
      </c>
      <c r="G57" s="4" t="s">
        <v>15</v>
      </c>
      <c r="H57" s="4" t="s">
        <v>842</v>
      </c>
      <c r="I57" s="4" t="s">
        <v>2</v>
      </c>
      <c r="J57" s="4" t="s">
        <v>2</v>
      </c>
    </row>
    <row r="58" spans="1:10" ht="16" outlineLevel="1" collapsed="1" x14ac:dyDescent="0.2">
      <c r="A58" s="4" t="s">
        <v>21</v>
      </c>
      <c r="B58" s="4" t="s">
        <v>16</v>
      </c>
      <c r="C58" s="4" t="s">
        <v>1949</v>
      </c>
      <c r="D58" s="4" t="s">
        <v>2</v>
      </c>
      <c r="E58" s="4"/>
      <c r="F58" s="4" t="s">
        <v>306</v>
      </c>
      <c r="G58" s="4" t="s">
        <v>15</v>
      </c>
      <c r="H58" s="4" t="s">
        <v>306</v>
      </c>
      <c r="I58" s="4" t="s">
        <v>2</v>
      </c>
      <c r="J58" s="4" t="s">
        <v>2</v>
      </c>
    </row>
    <row r="59" spans="1:10" ht="16" outlineLevel="1" collapsed="1" x14ac:dyDescent="0.2">
      <c r="A59" s="4" t="s">
        <v>21</v>
      </c>
      <c r="B59" s="4" t="s">
        <v>16</v>
      </c>
      <c r="C59" s="4" t="s">
        <v>1950</v>
      </c>
      <c r="D59" s="4" t="s">
        <v>2</v>
      </c>
      <c r="E59" s="4"/>
      <c r="F59" s="4" t="s">
        <v>844</v>
      </c>
      <c r="G59" s="4" t="s">
        <v>15</v>
      </c>
      <c r="H59" s="4" t="s">
        <v>844</v>
      </c>
      <c r="I59" s="4" t="s">
        <v>2</v>
      </c>
      <c r="J59" s="4" t="s">
        <v>2</v>
      </c>
    </row>
    <row r="60" spans="1:10" ht="16" outlineLevel="1" collapsed="1" x14ac:dyDescent="0.2">
      <c r="A60" s="4" t="s">
        <v>21</v>
      </c>
      <c r="B60" s="4" t="s">
        <v>16</v>
      </c>
      <c r="C60" s="4" t="s">
        <v>1951</v>
      </c>
      <c r="D60" s="4" t="s">
        <v>2</v>
      </c>
      <c r="E60" s="4"/>
      <c r="F60" s="4" t="s">
        <v>846</v>
      </c>
      <c r="G60" s="4" t="s">
        <v>15</v>
      </c>
      <c r="H60" s="4" t="s">
        <v>846</v>
      </c>
      <c r="I60" s="4" t="s">
        <v>2</v>
      </c>
      <c r="J60" s="4" t="s">
        <v>2</v>
      </c>
    </row>
    <row r="61" spans="1:10" ht="16" outlineLevel="1" collapsed="1" x14ac:dyDescent="0.2">
      <c r="A61" s="4" t="s">
        <v>21</v>
      </c>
      <c r="B61" s="4" t="s">
        <v>16</v>
      </c>
      <c r="C61" s="4" t="s">
        <v>651</v>
      </c>
      <c r="D61" s="4" t="s">
        <v>2</v>
      </c>
      <c r="E61" s="4"/>
      <c r="F61" s="4" t="s">
        <v>847</v>
      </c>
      <c r="G61" s="4" t="s">
        <v>15</v>
      </c>
      <c r="H61" s="4" t="s">
        <v>847</v>
      </c>
      <c r="I61" s="4" t="s">
        <v>2</v>
      </c>
      <c r="J61" s="4" t="s">
        <v>2</v>
      </c>
    </row>
    <row r="62" spans="1:10" ht="16" outlineLevel="1" collapsed="1" x14ac:dyDescent="0.2">
      <c r="A62" s="4" t="s">
        <v>21</v>
      </c>
      <c r="B62" s="4" t="s">
        <v>16</v>
      </c>
      <c r="C62" s="4" t="s">
        <v>652</v>
      </c>
      <c r="D62" s="4" t="s">
        <v>2</v>
      </c>
      <c r="E62" s="4"/>
      <c r="F62" s="4" t="s">
        <v>314</v>
      </c>
      <c r="G62" s="4" t="s">
        <v>15</v>
      </c>
      <c r="H62" s="4" t="s">
        <v>314</v>
      </c>
      <c r="I62" s="4" t="s">
        <v>2</v>
      </c>
      <c r="J62" s="4" t="s">
        <v>2</v>
      </c>
    </row>
    <row r="63" spans="1:10" ht="50" outlineLevel="1" collapsed="1" x14ac:dyDescent="0.3">
      <c r="A63" s="4" t="s">
        <v>15</v>
      </c>
      <c r="B63" s="4" t="s">
        <v>25</v>
      </c>
      <c r="C63" s="4"/>
      <c r="D63" s="6" t="s">
        <v>365</v>
      </c>
      <c r="E63" s="4"/>
      <c r="F63" s="7" t="s">
        <v>850</v>
      </c>
      <c r="G63" s="4" t="s">
        <v>15</v>
      </c>
      <c r="H63" s="4" t="s">
        <v>2</v>
      </c>
      <c r="I63" s="4" t="s">
        <v>2</v>
      </c>
      <c r="J63" s="4" t="s">
        <v>2</v>
      </c>
    </row>
    <row r="64" spans="1:10" ht="16" outlineLevel="1" collapsed="1" x14ac:dyDescent="0.2">
      <c r="A64" s="4" t="s">
        <v>21</v>
      </c>
      <c r="B64" s="4" t="s">
        <v>16</v>
      </c>
      <c r="C64" s="4" t="s">
        <v>1952</v>
      </c>
      <c r="D64" s="4" t="s">
        <v>2</v>
      </c>
      <c r="E64" s="4"/>
      <c r="F64" s="4" t="s">
        <v>318</v>
      </c>
      <c r="G64" s="4" t="s">
        <v>15</v>
      </c>
      <c r="H64" s="4" t="s">
        <v>318</v>
      </c>
      <c r="I64" s="4" t="s">
        <v>2</v>
      </c>
      <c r="J64" s="4" t="s">
        <v>2</v>
      </c>
    </row>
    <row r="65" spans="1:10" ht="16" outlineLevel="1" collapsed="1" x14ac:dyDescent="0.2">
      <c r="A65" s="4" t="s">
        <v>21</v>
      </c>
      <c r="B65" s="4" t="s">
        <v>16</v>
      </c>
      <c r="C65" s="4" t="s">
        <v>1953</v>
      </c>
      <c r="D65" s="4" t="s">
        <v>2</v>
      </c>
      <c r="E65" s="4"/>
      <c r="F65" s="4" t="s">
        <v>321</v>
      </c>
      <c r="G65" s="4" t="s">
        <v>15</v>
      </c>
      <c r="H65" s="4" t="s">
        <v>321</v>
      </c>
      <c r="I65" s="4" t="s">
        <v>2</v>
      </c>
      <c r="J65" s="4" t="s">
        <v>2</v>
      </c>
    </row>
    <row r="66" spans="1:10" ht="16" outlineLevel="1" collapsed="1" x14ac:dyDescent="0.2">
      <c r="A66" s="4" t="s">
        <v>21</v>
      </c>
      <c r="B66" s="4" t="s">
        <v>16</v>
      </c>
      <c r="C66" s="4" t="s">
        <v>1954</v>
      </c>
      <c r="D66" s="4" t="s">
        <v>2</v>
      </c>
      <c r="E66" s="4"/>
      <c r="F66" s="4" t="s">
        <v>323</v>
      </c>
      <c r="G66" s="4" t="s">
        <v>15</v>
      </c>
      <c r="H66" s="4" t="s">
        <v>323</v>
      </c>
      <c r="I66" s="4" t="s">
        <v>2</v>
      </c>
      <c r="J66" s="4" t="s">
        <v>2</v>
      </c>
    </row>
    <row r="67" spans="1:10" ht="16" outlineLevel="1" collapsed="1" x14ac:dyDescent="0.2">
      <c r="A67" s="4" t="s">
        <v>21</v>
      </c>
      <c r="B67" s="4" t="s">
        <v>16</v>
      </c>
      <c r="C67" s="4" t="s">
        <v>1955</v>
      </c>
      <c r="D67" s="4" t="s">
        <v>2</v>
      </c>
      <c r="E67" s="4"/>
      <c r="F67" s="4" t="s">
        <v>326</v>
      </c>
      <c r="G67" s="4" t="s">
        <v>15</v>
      </c>
      <c r="H67" s="4" t="s">
        <v>326</v>
      </c>
      <c r="I67" s="4" t="s">
        <v>2</v>
      </c>
      <c r="J67" s="4" t="s">
        <v>2</v>
      </c>
    </row>
    <row r="68" spans="1:10" ht="16" outlineLevel="1" collapsed="1" x14ac:dyDescent="0.2">
      <c r="A68" s="4" t="s">
        <v>21</v>
      </c>
      <c r="B68" s="4" t="s">
        <v>16</v>
      </c>
      <c r="C68" s="4" t="s">
        <v>661</v>
      </c>
      <c r="D68" s="4" t="s">
        <v>2</v>
      </c>
      <c r="E68" s="4"/>
      <c r="F68" s="4" t="s">
        <v>329</v>
      </c>
      <c r="G68" s="4" t="s">
        <v>15</v>
      </c>
      <c r="H68" s="4" t="s">
        <v>329</v>
      </c>
      <c r="I68" s="4" t="s">
        <v>2</v>
      </c>
      <c r="J68" s="4" t="s">
        <v>2</v>
      </c>
    </row>
    <row r="69" spans="1:10" ht="25" outlineLevel="1" collapsed="1" x14ac:dyDescent="0.3">
      <c r="A69" s="4" t="s">
        <v>15</v>
      </c>
      <c r="B69" s="4" t="s">
        <v>25</v>
      </c>
      <c r="C69" s="4"/>
      <c r="D69" s="6" t="s">
        <v>365</v>
      </c>
      <c r="E69" s="4"/>
      <c r="F69" s="7" t="s">
        <v>855</v>
      </c>
      <c r="G69" s="4" t="s">
        <v>15</v>
      </c>
      <c r="H69" s="4" t="s">
        <v>2</v>
      </c>
      <c r="I69" s="4" t="s">
        <v>2</v>
      </c>
      <c r="J69" s="4" t="s">
        <v>2</v>
      </c>
    </row>
    <row r="70" spans="1:10" ht="16" outlineLevel="1" collapsed="1" x14ac:dyDescent="0.2">
      <c r="A70" s="4" t="s">
        <v>21</v>
      </c>
      <c r="B70" s="4" t="s">
        <v>16</v>
      </c>
      <c r="C70" s="4" t="s">
        <v>664</v>
      </c>
      <c r="D70" s="4" t="s">
        <v>2</v>
      </c>
      <c r="E70" s="4"/>
      <c r="F70" s="4" t="s">
        <v>857</v>
      </c>
      <c r="G70" s="4" t="s">
        <v>15</v>
      </c>
      <c r="H70" s="4" t="s">
        <v>857</v>
      </c>
      <c r="I70" s="4" t="s">
        <v>2</v>
      </c>
      <c r="J70" s="4" t="s">
        <v>2</v>
      </c>
    </row>
    <row r="71" spans="1:10" ht="16" outlineLevel="1" collapsed="1" x14ac:dyDescent="0.2">
      <c r="A71" s="4" t="s">
        <v>21</v>
      </c>
      <c r="B71" s="4" t="s">
        <v>16</v>
      </c>
      <c r="C71" s="4" t="s">
        <v>1956</v>
      </c>
      <c r="D71" s="4" t="s">
        <v>2</v>
      </c>
      <c r="E71" s="4"/>
      <c r="F71" s="4" t="s">
        <v>665</v>
      </c>
      <c r="G71" s="4" t="s">
        <v>15</v>
      </c>
      <c r="H71" s="4" t="s">
        <v>665</v>
      </c>
      <c r="I71" s="4" t="s">
        <v>2</v>
      </c>
      <c r="J71" s="4" t="s">
        <v>2</v>
      </c>
    </row>
    <row r="72" spans="1:10" ht="25" outlineLevel="1" collapsed="1" x14ac:dyDescent="0.3">
      <c r="A72" s="4" t="s">
        <v>15</v>
      </c>
      <c r="B72" s="4" t="s">
        <v>25</v>
      </c>
      <c r="C72" s="4"/>
      <c r="D72" s="6" t="s">
        <v>365</v>
      </c>
      <c r="E72" s="4"/>
      <c r="F72" s="7" t="s">
        <v>860</v>
      </c>
      <c r="G72" s="4" t="s">
        <v>15</v>
      </c>
      <c r="H72" s="4" t="s">
        <v>2</v>
      </c>
      <c r="I72" s="4" t="s">
        <v>2</v>
      </c>
      <c r="J72" s="4" t="s">
        <v>2</v>
      </c>
    </row>
    <row r="73" spans="1:10" ht="32" outlineLevel="1" collapsed="1" x14ac:dyDescent="0.2">
      <c r="A73" s="4" t="s">
        <v>21</v>
      </c>
      <c r="B73" s="4" t="s">
        <v>16</v>
      </c>
      <c r="C73" s="4" t="s">
        <v>1957</v>
      </c>
      <c r="D73" s="4" t="s">
        <v>2</v>
      </c>
      <c r="E73" s="4"/>
      <c r="F73" s="4" t="s">
        <v>862</v>
      </c>
      <c r="G73" s="4" t="s">
        <v>15</v>
      </c>
      <c r="H73" s="4" t="s">
        <v>862</v>
      </c>
      <c r="I73" s="4" t="s">
        <v>2</v>
      </c>
      <c r="J73" s="4" t="s">
        <v>2</v>
      </c>
    </row>
    <row r="74" spans="1:10" ht="16" outlineLevel="1" collapsed="1" x14ac:dyDescent="0.2">
      <c r="A74" s="4" t="s">
        <v>21</v>
      </c>
      <c r="B74" s="4" t="s">
        <v>16</v>
      </c>
      <c r="C74" s="4" t="s">
        <v>1958</v>
      </c>
      <c r="D74" s="4" t="s">
        <v>2</v>
      </c>
      <c r="E74" s="4"/>
      <c r="F74" s="4" t="s">
        <v>670</v>
      </c>
      <c r="G74" s="4" t="s">
        <v>15</v>
      </c>
      <c r="H74" s="4" t="s">
        <v>670</v>
      </c>
      <c r="I74" s="4" t="s">
        <v>2</v>
      </c>
      <c r="J74" s="4" t="s">
        <v>2</v>
      </c>
    </row>
    <row r="75" spans="1:10" ht="16" outlineLevel="1" x14ac:dyDescent="0.2">
      <c r="A75" s="5" t="s">
        <v>21</v>
      </c>
      <c r="B75" t="s">
        <v>1178</v>
      </c>
      <c r="C75" s="5" t="s">
        <v>2029</v>
      </c>
      <c r="D75" s="5" t="s">
        <v>864</v>
      </c>
      <c r="E75" s="5"/>
      <c r="F75" s="5" t="s">
        <v>864</v>
      </c>
      <c r="G75" s="5" t="s">
        <v>21</v>
      </c>
      <c r="H75" s="5" t="s">
        <v>2</v>
      </c>
      <c r="I75" s="5" t="s">
        <v>2</v>
      </c>
      <c r="J75" s="5" t="s">
        <v>2</v>
      </c>
    </row>
    <row r="76" spans="1:10" ht="16" outlineLevel="2" collapsed="1" x14ac:dyDescent="0.2">
      <c r="A76" s="4" t="s">
        <v>21</v>
      </c>
      <c r="B76" s="4" t="s">
        <v>16</v>
      </c>
      <c r="C76" s="4" t="s">
        <v>1959</v>
      </c>
      <c r="D76" s="4" t="s">
        <v>2</v>
      </c>
      <c r="E76" s="4"/>
      <c r="F76" s="4" t="s">
        <v>676</v>
      </c>
      <c r="G76" s="4" t="s">
        <v>15</v>
      </c>
      <c r="H76" s="4" t="s">
        <v>676</v>
      </c>
      <c r="I76" s="4" t="s">
        <v>2</v>
      </c>
      <c r="J76" s="4" t="s">
        <v>2</v>
      </c>
    </row>
    <row r="77" spans="1:10" ht="16" outlineLevel="2" collapsed="1" x14ac:dyDescent="0.2">
      <c r="A77" s="4" t="s">
        <v>21</v>
      </c>
      <c r="B77" s="4" t="s">
        <v>16</v>
      </c>
      <c r="C77" s="4" t="s">
        <v>2008</v>
      </c>
      <c r="D77" s="4" t="s">
        <v>2</v>
      </c>
      <c r="E77" s="4"/>
      <c r="F77" s="4" t="s">
        <v>679</v>
      </c>
      <c r="G77" s="4" t="s">
        <v>15</v>
      </c>
      <c r="H77" s="4" t="s">
        <v>679</v>
      </c>
      <c r="I77" s="4" t="s">
        <v>2</v>
      </c>
      <c r="J77" s="4" t="s">
        <v>2</v>
      </c>
    </row>
    <row r="78" spans="1:10" ht="32" outlineLevel="2" collapsed="1" x14ac:dyDescent="0.2">
      <c r="A78" s="4" t="s">
        <v>21</v>
      </c>
      <c r="B78" s="4" t="s">
        <v>16</v>
      </c>
      <c r="C78" s="4" t="s">
        <v>2009</v>
      </c>
      <c r="D78" s="4" t="s">
        <v>2</v>
      </c>
      <c r="E78" s="4"/>
      <c r="F78" s="4" t="s">
        <v>682</v>
      </c>
      <c r="G78" s="4" t="s">
        <v>15</v>
      </c>
      <c r="H78" s="4" t="s">
        <v>682</v>
      </c>
      <c r="I78" s="4" t="s">
        <v>2</v>
      </c>
      <c r="J78" s="4" t="s">
        <v>2</v>
      </c>
    </row>
    <row r="79" spans="1:10" ht="25" outlineLevel="1" collapsed="1" x14ac:dyDescent="0.3">
      <c r="A79" s="4" t="s">
        <v>15</v>
      </c>
      <c r="B79" s="4" t="s">
        <v>25</v>
      </c>
      <c r="C79" s="4"/>
      <c r="D79" s="6" t="s">
        <v>365</v>
      </c>
      <c r="E79" s="4"/>
      <c r="F79" s="7" t="s">
        <v>866</v>
      </c>
      <c r="G79" s="4" t="s">
        <v>15</v>
      </c>
      <c r="H79" s="4" t="s">
        <v>2</v>
      </c>
      <c r="I79" s="4" t="s">
        <v>2</v>
      </c>
      <c r="J79" s="4" t="s">
        <v>2</v>
      </c>
    </row>
    <row r="80" spans="1:10" ht="16" outlineLevel="1" collapsed="1" x14ac:dyDescent="0.2">
      <c r="A80" s="4" t="s">
        <v>21</v>
      </c>
      <c r="B80" s="4" t="s">
        <v>16</v>
      </c>
      <c r="C80" s="4" t="s">
        <v>687</v>
      </c>
      <c r="D80" s="4" t="s">
        <v>2</v>
      </c>
      <c r="E80" s="4"/>
      <c r="F80" s="4" t="s">
        <v>867</v>
      </c>
      <c r="G80" s="4" t="s">
        <v>15</v>
      </c>
      <c r="H80" s="4" t="s">
        <v>867</v>
      </c>
      <c r="I80" s="4" t="s">
        <v>2</v>
      </c>
      <c r="J80" s="4" t="s">
        <v>2</v>
      </c>
    </row>
    <row r="81" spans="1:10" ht="25" outlineLevel="1" collapsed="1" x14ac:dyDescent="0.3">
      <c r="A81" s="4" t="s">
        <v>15</v>
      </c>
      <c r="B81" s="4" t="s">
        <v>25</v>
      </c>
      <c r="C81" s="4"/>
      <c r="D81" s="6" t="s">
        <v>365</v>
      </c>
      <c r="E81" s="4"/>
      <c r="F81" s="7" t="s">
        <v>868</v>
      </c>
      <c r="G81" s="4" t="s">
        <v>15</v>
      </c>
      <c r="H81" s="4" t="s">
        <v>2</v>
      </c>
      <c r="I81" s="4" t="s">
        <v>2</v>
      </c>
      <c r="J81" s="4" t="s">
        <v>2</v>
      </c>
    </row>
    <row r="82" spans="1:10" ht="16" outlineLevel="1" collapsed="1" x14ac:dyDescent="0.2">
      <c r="A82" s="4" t="s">
        <v>21</v>
      </c>
      <c r="B82" s="4" t="s">
        <v>16</v>
      </c>
      <c r="C82" s="4" t="s">
        <v>2034</v>
      </c>
      <c r="D82" s="4" t="s">
        <v>2</v>
      </c>
      <c r="E82" s="4"/>
      <c r="F82" s="4" t="s">
        <v>366</v>
      </c>
      <c r="G82" s="4" t="s">
        <v>15</v>
      </c>
      <c r="H82" s="4" t="s">
        <v>366</v>
      </c>
      <c r="I82" s="4" t="s">
        <v>2</v>
      </c>
      <c r="J82" s="4" t="s">
        <v>2</v>
      </c>
    </row>
    <row r="83" spans="1:10" ht="16" outlineLevel="1" collapsed="1" x14ac:dyDescent="0.2">
      <c r="A83" s="4" t="s">
        <v>21</v>
      </c>
      <c r="B83" s="4" t="s">
        <v>16</v>
      </c>
      <c r="C83" s="4" t="s">
        <v>1961</v>
      </c>
      <c r="D83" s="4" t="s">
        <v>2</v>
      </c>
      <c r="E83" s="4"/>
      <c r="F83" s="4" t="s">
        <v>369</v>
      </c>
      <c r="G83" s="4" t="s">
        <v>15</v>
      </c>
      <c r="H83" s="4" t="s">
        <v>369</v>
      </c>
      <c r="I83" s="4" t="s">
        <v>2</v>
      </c>
      <c r="J83" s="4" t="s">
        <v>2</v>
      </c>
    </row>
    <row r="84" spans="1:10" ht="16" outlineLevel="1" collapsed="1" x14ac:dyDescent="0.2">
      <c r="A84" s="4" t="s">
        <v>21</v>
      </c>
      <c r="B84" s="4" t="s">
        <v>16</v>
      </c>
      <c r="C84" s="4" t="s">
        <v>1962</v>
      </c>
      <c r="D84" s="4" t="s">
        <v>2</v>
      </c>
      <c r="E84" s="4"/>
      <c r="F84" s="4" t="s">
        <v>370</v>
      </c>
      <c r="G84" s="4" t="s">
        <v>15</v>
      </c>
      <c r="H84" s="4" t="s">
        <v>370</v>
      </c>
      <c r="I84" s="4" t="s">
        <v>2</v>
      </c>
      <c r="J84" s="4" t="s">
        <v>2</v>
      </c>
    </row>
    <row r="85" spans="1:10" ht="16" outlineLevel="1" collapsed="1" x14ac:dyDescent="0.2">
      <c r="A85" s="4" t="s">
        <v>21</v>
      </c>
      <c r="B85" s="4" t="s">
        <v>16</v>
      </c>
      <c r="C85" s="4" t="s">
        <v>1963</v>
      </c>
      <c r="D85" s="4" t="s">
        <v>2</v>
      </c>
      <c r="E85" s="4"/>
      <c r="F85" s="4" t="s">
        <v>371</v>
      </c>
      <c r="G85" s="4" t="s">
        <v>15</v>
      </c>
      <c r="H85" s="4" t="s">
        <v>371</v>
      </c>
      <c r="I85" s="4" t="s">
        <v>2</v>
      </c>
      <c r="J85" s="4" t="s">
        <v>2</v>
      </c>
    </row>
    <row r="86" spans="1:10" ht="16" outlineLevel="1" collapsed="1" x14ac:dyDescent="0.2">
      <c r="A86" s="4" t="s">
        <v>21</v>
      </c>
      <c r="B86" s="4" t="s">
        <v>16</v>
      </c>
      <c r="C86" s="4" t="s">
        <v>1964</v>
      </c>
      <c r="D86" s="4" t="s">
        <v>2</v>
      </c>
      <c r="E86" s="4"/>
      <c r="F86" s="4" t="s">
        <v>372</v>
      </c>
      <c r="G86" s="4" t="s">
        <v>15</v>
      </c>
      <c r="H86" s="4" t="s">
        <v>372</v>
      </c>
      <c r="I86" s="4" t="s">
        <v>2</v>
      </c>
      <c r="J86" s="4" t="s">
        <v>2</v>
      </c>
    </row>
    <row r="87" spans="1:10" ht="48" outlineLevel="1" collapsed="1" x14ac:dyDescent="0.2">
      <c r="A87" s="4" t="s">
        <v>21</v>
      </c>
      <c r="B87" s="4" t="s">
        <v>16</v>
      </c>
      <c r="C87" s="4" t="s">
        <v>1965</v>
      </c>
      <c r="D87" s="4" t="s">
        <v>2</v>
      </c>
      <c r="E87" s="4"/>
      <c r="F87" s="4" t="s">
        <v>695</v>
      </c>
      <c r="G87" s="4" t="s">
        <v>15</v>
      </c>
      <c r="H87" s="4" t="s">
        <v>695</v>
      </c>
      <c r="I87" s="4" t="s">
        <v>2</v>
      </c>
      <c r="J87" s="4" t="s">
        <v>2</v>
      </c>
    </row>
    <row r="88" spans="1:10" ht="25" outlineLevel="1" collapsed="1" x14ac:dyDescent="0.3">
      <c r="A88" s="4" t="s">
        <v>15</v>
      </c>
      <c r="B88" s="4" t="s">
        <v>25</v>
      </c>
      <c r="C88" s="4"/>
      <c r="D88" s="6" t="s">
        <v>365</v>
      </c>
      <c r="E88" s="4"/>
      <c r="F88" s="7" t="s">
        <v>869</v>
      </c>
      <c r="G88" s="4" t="s">
        <v>15</v>
      </c>
      <c r="H88" s="4" t="s">
        <v>2</v>
      </c>
      <c r="I88" s="4" t="s">
        <v>2</v>
      </c>
      <c r="J88" s="4" t="s">
        <v>2</v>
      </c>
    </row>
    <row r="89" spans="1:10" ht="25" outlineLevel="1" collapsed="1" x14ac:dyDescent="0.3">
      <c r="A89" s="4" t="s">
        <v>15</v>
      </c>
      <c r="B89" s="4" t="s">
        <v>25</v>
      </c>
      <c r="C89" s="4"/>
      <c r="D89" s="6" t="s">
        <v>365</v>
      </c>
      <c r="E89" s="4"/>
      <c r="F89" s="7" t="s">
        <v>870</v>
      </c>
      <c r="G89" s="4" t="s">
        <v>15</v>
      </c>
      <c r="H89" s="4" t="s">
        <v>2</v>
      </c>
      <c r="I89" s="4" t="s">
        <v>2</v>
      </c>
      <c r="J89" s="4" t="s">
        <v>2</v>
      </c>
    </row>
    <row r="90" spans="1:10" ht="16" outlineLevel="1" collapsed="1" x14ac:dyDescent="0.2">
      <c r="A90" s="4" t="s">
        <v>21</v>
      </c>
      <c r="B90" s="4" t="s">
        <v>16</v>
      </c>
      <c r="C90" s="4" t="s">
        <v>700</v>
      </c>
      <c r="D90" s="4" t="s">
        <v>2</v>
      </c>
      <c r="E90" s="4"/>
      <c r="F90" s="4" t="s">
        <v>379</v>
      </c>
      <c r="G90" s="4" t="s">
        <v>15</v>
      </c>
      <c r="H90" s="4" t="s">
        <v>379</v>
      </c>
      <c r="I90" s="4" t="s">
        <v>2</v>
      </c>
      <c r="J90" s="4" t="s">
        <v>2</v>
      </c>
    </row>
    <row r="91" spans="1:10" ht="16" outlineLevel="1" collapsed="1" x14ac:dyDescent="0.2">
      <c r="A91" s="4" t="s">
        <v>21</v>
      </c>
      <c r="B91" s="4" t="s">
        <v>16</v>
      </c>
      <c r="C91" s="4" t="s">
        <v>1966</v>
      </c>
      <c r="D91" s="4" t="s">
        <v>2</v>
      </c>
      <c r="E91" s="4"/>
      <c r="F91" s="4" t="s">
        <v>380</v>
      </c>
      <c r="G91" s="4" t="s">
        <v>15</v>
      </c>
      <c r="H91" s="4" t="s">
        <v>380</v>
      </c>
      <c r="I91" s="4" t="s">
        <v>2</v>
      </c>
      <c r="J91" s="4" t="s">
        <v>2</v>
      </c>
    </row>
    <row r="92" spans="1:10" ht="16" outlineLevel="1" collapsed="1" x14ac:dyDescent="0.2">
      <c r="A92" s="4" t="s">
        <v>21</v>
      </c>
      <c r="B92" s="4" t="s">
        <v>16</v>
      </c>
      <c r="C92" s="4" t="s">
        <v>1967</v>
      </c>
      <c r="D92" s="4" t="s">
        <v>2</v>
      </c>
      <c r="E92" s="4"/>
      <c r="F92" s="4" t="s">
        <v>381</v>
      </c>
      <c r="G92" s="4" t="s">
        <v>15</v>
      </c>
      <c r="H92" s="4" t="s">
        <v>381</v>
      </c>
      <c r="I92" s="4" t="s">
        <v>2</v>
      </c>
      <c r="J92" s="4" t="s">
        <v>2</v>
      </c>
    </row>
    <row r="93" spans="1:10" ht="16" outlineLevel="1" collapsed="1" x14ac:dyDescent="0.2">
      <c r="A93" s="4" t="s">
        <v>21</v>
      </c>
      <c r="B93" s="4" t="s">
        <v>16</v>
      </c>
      <c r="C93" s="4" t="s">
        <v>1968</v>
      </c>
      <c r="D93" s="4" t="s">
        <v>2</v>
      </c>
      <c r="E93" s="4"/>
      <c r="F93" s="4" t="s">
        <v>382</v>
      </c>
      <c r="G93" s="4" t="s">
        <v>15</v>
      </c>
      <c r="H93" s="4" t="s">
        <v>382</v>
      </c>
      <c r="I93" s="4" t="s">
        <v>2</v>
      </c>
      <c r="J93" s="4" t="s">
        <v>2</v>
      </c>
    </row>
    <row r="94" spans="1:10" ht="16" outlineLevel="1" collapsed="1" x14ac:dyDescent="0.2">
      <c r="A94" s="4" t="s">
        <v>21</v>
      </c>
      <c r="B94" s="4" t="s">
        <v>16</v>
      </c>
      <c r="C94" s="4" t="s">
        <v>704</v>
      </c>
      <c r="D94" s="4" t="s">
        <v>2</v>
      </c>
      <c r="E94" s="4"/>
      <c r="F94" s="4" t="s">
        <v>383</v>
      </c>
      <c r="G94" s="4" t="s">
        <v>15</v>
      </c>
      <c r="H94" s="4" t="s">
        <v>383</v>
      </c>
      <c r="I94" s="4" t="s">
        <v>2</v>
      </c>
      <c r="J94" s="4" t="s">
        <v>2</v>
      </c>
    </row>
    <row r="95" spans="1:10" ht="16" outlineLevel="1" collapsed="1" x14ac:dyDescent="0.2">
      <c r="A95" s="4" t="s">
        <v>21</v>
      </c>
      <c r="B95" s="4" t="s">
        <v>16</v>
      </c>
      <c r="C95" s="4" t="s">
        <v>705</v>
      </c>
      <c r="D95" s="4" t="s">
        <v>2</v>
      </c>
      <c r="E95" s="4"/>
      <c r="F95" s="4" t="s">
        <v>384</v>
      </c>
      <c r="G95" s="4" t="s">
        <v>15</v>
      </c>
      <c r="H95" s="4" t="s">
        <v>384</v>
      </c>
      <c r="I95" s="4" t="s">
        <v>2</v>
      </c>
      <c r="J95" s="4" t="s">
        <v>2</v>
      </c>
    </row>
    <row r="96" spans="1:10" ht="16" outlineLevel="1" collapsed="1" x14ac:dyDescent="0.2">
      <c r="A96" s="4" t="s">
        <v>21</v>
      </c>
      <c r="B96" s="4" t="s">
        <v>16</v>
      </c>
      <c r="C96" s="4" t="s">
        <v>706</v>
      </c>
      <c r="D96" s="4" t="s">
        <v>2</v>
      </c>
      <c r="E96" s="4"/>
      <c r="F96" s="4" t="s">
        <v>385</v>
      </c>
      <c r="G96" s="4" t="s">
        <v>15</v>
      </c>
      <c r="H96" s="4" t="s">
        <v>385</v>
      </c>
      <c r="I96" s="4" t="s">
        <v>2</v>
      </c>
      <c r="J96" s="4" t="s">
        <v>2</v>
      </c>
    </row>
    <row r="97" spans="1:10" ht="16" outlineLevel="1" x14ac:dyDescent="0.2">
      <c r="A97" s="5" t="s">
        <v>21</v>
      </c>
      <c r="B97" t="s">
        <v>1178</v>
      </c>
      <c r="C97" s="5" t="s">
        <v>2028</v>
      </c>
      <c r="D97" s="5" t="s">
        <v>872</v>
      </c>
      <c r="E97" s="5"/>
      <c r="F97" s="5" t="s">
        <v>872</v>
      </c>
      <c r="G97" s="5" t="s">
        <v>21</v>
      </c>
      <c r="H97" s="5" t="s">
        <v>2</v>
      </c>
      <c r="I97" s="5" t="s">
        <v>2</v>
      </c>
      <c r="J97" s="5" t="s">
        <v>2</v>
      </c>
    </row>
    <row r="98" spans="1:10" ht="16" outlineLevel="2" collapsed="1" x14ac:dyDescent="0.2">
      <c r="A98" s="4" t="s">
        <v>21</v>
      </c>
      <c r="B98" s="4" t="s">
        <v>16</v>
      </c>
      <c r="C98" s="4" t="s">
        <v>1969</v>
      </c>
      <c r="D98" s="4" t="s">
        <v>2</v>
      </c>
      <c r="E98" s="4"/>
      <c r="F98" s="4" t="s">
        <v>367</v>
      </c>
      <c r="G98" s="4" t="s">
        <v>15</v>
      </c>
      <c r="H98" s="4" t="s">
        <v>874</v>
      </c>
      <c r="I98" s="4" t="s">
        <v>2</v>
      </c>
      <c r="J98" s="4" t="s">
        <v>2</v>
      </c>
    </row>
    <row r="99" spans="1:10" ht="32" outlineLevel="2" collapsed="1" x14ac:dyDescent="0.2">
      <c r="A99" s="4" t="s">
        <v>21</v>
      </c>
      <c r="B99" s="4" t="s">
        <v>16</v>
      </c>
      <c r="C99" s="4" t="s">
        <v>1960</v>
      </c>
      <c r="D99" s="4" t="s">
        <v>2</v>
      </c>
      <c r="E99" s="4"/>
      <c r="F99" s="4" t="s">
        <v>400</v>
      </c>
      <c r="G99" s="4" t="s">
        <v>15</v>
      </c>
      <c r="H99" s="4" t="s">
        <v>875</v>
      </c>
      <c r="I99" s="4" t="s">
        <v>2</v>
      </c>
      <c r="J99" s="4" t="s">
        <v>2</v>
      </c>
    </row>
    <row r="100" spans="1:10" ht="48" outlineLevel="1" x14ac:dyDescent="0.2">
      <c r="A100" s="5" t="s">
        <v>21</v>
      </c>
      <c r="B100" t="s">
        <v>1178</v>
      </c>
      <c r="C100" s="5" t="s">
        <v>2027</v>
      </c>
      <c r="D100" s="5" t="s">
        <v>876</v>
      </c>
      <c r="E100" s="5"/>
      <c r="F100" s="5" t="s">
        <v>876</v>
      </c>
      <c r="G100" s="5" t="s">
        <v>21</v>
      </c>
      <c r="H100" s="5" t="s">
        <v>2</v>
      </c>
      <c r="I100" s="5" t="s">
        <v>2</v>
      </c>
      <c r="J100" s="5" t="s">
        <v>2</v>
      </c>
    </row>
    <row r="101" spans="1:10" ht="32" outlineLevel="2" collapsed="1" x14ac:dyDescent="0.2">
      <c r="A101" s="4" t="s">
        <v>21</v>
      </c>
      <c r="B101" s="4" t="s">
        <v>16</v>
      </c>
      <c r="C101" s="4" t="s">
        <v>1969</v>
      </c>
      <c r="D101" s="4" t="s">
        <v>2</v>
      </c>
      <c r="E101" s="4"/>
      <c r="F101" s="4" t="s">
        <v>367</v>
      </c>
      <c r="G101" s="4" t="s">
        <v>15</v>
      </c>
      <c r="H101" s="4" t="s">
        <v>878</v>
      </c>
      <c r="I101" s="4" t="s">
        <v>2</v>
      </c>
      <c r="J101" s="4" t="s">
        <v>2</v>
      </c>
    </row>
    <row r="102" spans="1:10" ht="48" outlineLevel="2" collapsed="1" x14ac:dyDescent="0.2">
      <c r="A102" s="4" t="s">
        <v>21</v>
      </c>
      <c r="B102" s="4" t="s">
        <v>16</v>
      </c>
      <c r="C102" s="4" t="s">
        <v>1960</v>
      </c>
      <c r="D102" s="4" t="s">
        <v>2</v>
      </c>
      <c r="E102" s="4"/>
      <c r="F102" s="4" t="s">
        <v>400</v>
      </c>
      <c r="G102" s="4" t="s">
        <v>15</v>
      </c>
      <c r="H102" s="4" t="s">
        <v>879</v>
      </c>
      <c r="I102" s="4" t="s">
        <v>2</v>
      </c>
      <c r="J102" s="4" t="s">
        <v>2</v>
      </c>
    </row>
    <row r="103" spans="1:10" ht="16" outlineLevel="1" x14ac:dyDescent="0.2">
      <c r="A103" s="5" t="s">
        <v>21</v>
      </c>
      <c r="B103" t="s">
        <v>1178</v>
      </c>
      <c r="C103" s="5" t="s">
        <v>2026</v>
      </c>
      <c r="D103" s="5" t="s">
        <v>880</v>
      </c>
      <c r="E103" s="5"/>
      <c r="F103" s="5" t="s">
        <v>880</v>
      </c>
      <c r="G103" s="5" t="s">
        <v>21</v>
      </c>
      <c r="H103" s="5" t="s">
        <v>2</v>
      </c>
      <c r="I103" s="5" t="s">
        <v>2</v>
      </c>
      <c r="J103" s="5" t="s">
        <v>2</v>
      </c>
    </row>
    <row r="104" spans="1:10" ht="16" outlineLevel="2" collapsed="1" x14ac:dyDescent="0.2">
      <c r="A104" s="4" t="s">
        <v>21</v>
      </c>
      <c r="B104" s="4" t="s">
        <v>16</v>
      </c>
      <c r="C104" s="4" t="s">
        <v>1969</v>
      </c>
      <c r="D104" s="4" t="s">
        <v>2</v>
      </c>
      <c r="E104" s="4"/>
      <c r="F104" s="4" t="s">
        <v>367</v>
      </c>
      <c r="G104" s="4" t="s">
        <v>15</v>
      </c>
      <c r="H104" s="4" t="s">
        <v>882</v>
      </c>
      <c r="I104" s="4" t="s">
        <v>2</v>
      </c>
      <c r="J104" s="4" t="s">
        <v>2</v>
      </c>
    </row>
    <row r="105" spans="1:10" ht="32" outlineLevel="2" collapsed="1" x14ac:dyDescent="0.2">
      <c r="A105" s="4" t="s">
        <v>21</v>
      </c>
      <c r="B105" s="4" t="s">
        <v>16</v>
      </c>
      <c r="C105" s="4" t="s">
        <v>1960</v>
      </c>
      <c r="D105" s="4" t="s">
        <v>2</v>
      </c>
      <c r="E105" s="4"/>
      <c r="F105" s="4" t="s">
        <v>400</v>
      </c>
      <c r="G105" s="4" t="s">
        <v>15</v>
      </c>
      <c r="H105" s="4" t="s">
        <v>883</v>
      </c>
      <c r="I105" s="4" t="s">
        <v>2</v>
      </c>
      <c r="J105" s="4" t="s">
        <v>2</v>
      </c>
    </row>
    <row r="106" spans="1:10" ht="16" outlineLevel="1" x14ac:dyDescent="0.2">
      <c r="A106" s="5" t="s">
        <v>21</v>
      </c>
      <c r="B106" t="s">
        <v>1178</v>
      </c>
      <c r="C106" s="5" t="s">
        <v>2025</v>
      </c>
      <c r="D106" s="5" t="s">
        <v>884</v>
      </c>
      <c r="E106" s="5"/>
      <c r="F106" s="5" t="s">
        <v>884</v>
      </c>
      <c r="G106" s="5" t="s">
        <v>15</v>
      </c>
      <c r="H106" s="5" t="s">
        <v>2</v>
      </c>
      <c r="I106" s="5" t="s">
        <v>2</v>
      </c>
      <c r="J106" s="5" t="s">
        <v>2</v>
      </c>
    </row>
    <row r="107" spans="1:10" ht="16" outlineLevel="2" collapsed="1" x14ac:dyDescent="0.2">
      <c r="A107" s="4" t="s">
        <v>21</v>
      </c>
      <c r="B107" s="4" t="s">
        <v>16</v>
      </c>
      <c r="C107" s="4" t="s">
        <v>1971</v>
      </c>
      <c r="D107" s="4" t="s">
        <v>2</v>
      </c>
      <c r="E107" s="4"/>
      <c r="F107" s="4" t="s">
        <v>404</v>
      </c>
      <c r="G107" s="4" t="s">
        <v>15</v>
      </c>
      <c r="H107" s="4" t="s">
        <v>886</v>
      </c>
      <c r="I107" s="4" t="s">
        <v>2</v>
      </c>
      <c r="J107" s="4" t="s">
        <v>2</v>
      </c>
    </row>
    <row r="108" spans="1:10" ht="32" outlineLevel="2" collapsed="1" x14ac:dyDescent="0.2">
      <c r="A108" s="4" t="s">
        <v>21</v>
      </c>
      <c r="B108" s="4" t="s">
        <v>16</v>
      </c>
      <c r="C108" s="4" t="s">
        <v>1972</v>
      </c>
      <c r="D108" s="4" t="s">
        <v>2</v>
      </c>
      <c r="E108" s="4"/>
      <c r="F108" s="4" t="s">
        <v>406</v>
      </c>
      <c r="G108" s="4" t="s">
        <v>15</v>
      </c>
      <c r="H108" s="4" t="s">
        <v>887</v>
      </c>
      <c r="I108" s="4" t="s">
        <v>2</v>
      </c>
      <c r="J108" s="4" t="s">
        <v>2</v>
      </c>
    </row>
    <row r="109" spans="1:10" ht="16" outlineLevel="1" x14ac:dyDescent="0.2">
      <c r="A109" s="5" t="s">
        <v>21</v>
      </c>
      <c r="B109" t="s">
        <v>1178</v>
      </c>
      <c r="C109" s="5" t="s">
        <v>2024</v>
      </c>
      <c r="D109" s="5" t="s">
        <v>888</v>
      </c>
      <c r="E109" s="5"/>
      <c r="F109" s="5" t="s">
        <v>888</v>
      </c>
      <c r="G109" s="5" t="s">
        <v>21</v>
      </c>
      <c r="H109" s="5" t="s">
        <v>2</v>
      </c>
      <c r="I109" s="5" t="s">
        <v>2</v>
      </c>
      <c r="J109" s="5" t="s">
        <v>2</v>
      </c>
    </row>
    <row r="110" spans="1:10" ht="16" outlineLevel="2" collapsed="1" x14ac:dyDescent="0.2">
      <c r="A110" s="4" t="s">
        <v>21</v>
      </c>
      <c r="B110" s="4" t="s">
        <v>16</v>
      </c>
      <c r="C110" s="4" t="s">
        <v>1974</v>
      </c>
      <c r="D110" s="4" t="s">
        <v>2</v>
      </c>
      <c r="E110" s="4"/>
      <c r="F110" s="4" t="s">
        <v>416</v>
      </c>
      <c r="G110" s="4" t="s">
        <v>15</v>
      </c>
      <c r="H110" s="4" t="s">
        <v>410</v>
      </c>
      <c r="I110" s="4" t="s">
        <v>2</v>
      </c>
      <c r="J110" s="4" t="s">
        <v>2</v>
      </c>
    </row>
    <row r="111" spans="1:10" ht="16" outlineLevel="2" collapsed="1" x14ac:dyDescent="0.2">
      <c r="A111" s="4" t="s">
        <v>21</v>
      </c>
      <c r="B111" s="4" t="s">
        <v>16</v>
      </c>
      <c r="C111" s="4" t="s">
        <v>1960</v>
      </c>
      <c r="D111" s="4" t="s">
        <v>2</v>
      </c>
      <c r="E111" s="4"/>
      <c r="F111" s="4" t="s">
        <v>391</v>
      </c>
      <c r="G111" s="4" t="s">
        <v>15</v>
      </c>
      <c r="H111" s="4" t="s">
        <v>413</v>
      </c>
      <c r="I111" s="4" t="s">
        <v>2</v>
      </c>
      <c r="J111" s="4" t="s">
        <v>2</v>
      </c>
    </row>
    <row r="112" spans="1:10" ht="25" outlineLevel="1" collapsed="1" x14ac:dyDescent="0.3">
      <c r="A112" s="4" t="s">
        <v>15</v>
      </c>
      <c r="B112" s="4" t="s">
        <v>25</v>
      </c>
      <c r="C112" s="4"/>
      <c r="D112" s="6" t="s">
        <v>365</v>
      </c>
      <c r="E112" s="4"/>
      <c r="F112" s="7" t="s">
        <v>889</v>
      </c>
      <c r="G112" s="4" t="s">
        <v>15</v>
      </c>
      <c r="H112" s="4" t="s">
        <v>2</v>
      </c>
      <c r="I112" s="4" t="s">
        <v>2</v>
      </c>
      <c r="J112" s="4" t="s">
        <v>2</v>
      </c>
    </row>
    <row r="113" spans="1:10" ht="32" outlineLevel="1" x14ac:dyDescent="0.2">
      <c r="A113" s="5" t="s">
        <v>21</v>
      </c>
      <c r="B113" t="s">
        <v>1178</v>
      </c>
      <c r="C113" s="5" t="s">
        <v>2023</v>
      </c>
      <c r="D113" s="5" t="s">
        <v>2332</v>
      </c>
      <c r="E113" s="5"/>
      <c r="F113" s="5" t="s">
        <v>420</v>
      </c>
      <c r="G113" s="5" t="s">
        <v>21</v>
      </c>
      <c r="H113" s="5" t="s">
        <v>2</v>
      </c>
      <c r="I113" s="5" t="s">
        <v>2</v>
      </c>
      <c r="J113" s="5" t="s">
        <v>2</v>
      </c>
    </row>
    <row r="114" spans="1:10" ht="16" outlineLevel="2" collapsed="1" x14ac:dyDescent="0.2">
      <c r="A114" s="4" t="s">
        <v>21</v>
      </c>
      <c r="B114" s="4" t="s">
        <v>16</v>
      </c>
      <c r="C114" s="4" t="s">
        <v>1976</v>
      </c>
      <c r="D114" s="4" t="s">
        <v>2</v>
      </c>
      <c r="E114" s="4"/>
      <c r="F114" s="4" t="s">
        <v>422</v>
      </c>
      <c r="G114" s="4" t="s">
        <v>15</v>
      </c>
      <c r="H114" s="4" t="s">
        <v>422</v>
      </c>
      <c r="I114" s="4" t="s">
        <v>2</v>
      </c>
      <c r="J114" s="4" t="s">
        <v>2</v>
      </c>
    </row>
    <row r="115" spans="1:10" ht="16" outlineLevel="2" collapsed="1" x14ac:dyDescent="0.2">
      <c r="A115" s="4" t="s">
        <v>21</v>
      </c>
      <c r="B115" s="4" t="s">
        <v>16</v>
      </c>
      <c r="C115" s="4" t="s">
        <v>1977</v>
      </c>
      <c r="D115" s="4" t="s">
        <v>2</v>
      </c>
      <c r="E115" s="4"/>
      <c r="F115" s="4" t="s">
        <v>424</v>
      </c>
      <c r="G115" s="4" t="s">
        <v>15</v>
      </c>
      <c r="H115" s="4" t="s">
        <v>424</v>
      </c>
      <c r="I115" s="4" t="s">
        <v>2</v>
      </c>
      <c r="J115" s="4" t="s">
        <v>2</v>
      </c>
    </row>
    <row r="116" spans="1:10" ht="48" outlineLevel="1" x14ac:dyDescent="0.2">
      <c r="A116" s="5" t="s">
        <v>21</v>
      </c>
      <c r="B116" t="s">
        <v>1178</v>
      </c>
      <c r="C116" s="5" t="s">
        <v>2022</v>
      </c>
      <c r="D116" s="5" t="s">
        <v>2333</v>
      </c>
      <c r="E116" s="5"/>
      <c r="F116" s="5" t="s">
        <v>426</v>
      </c>
      <c r="G116" s="5" t="s">
        <v>15</v>
      </c>
      <c r="H116" s="5" t="s">
        <v>2</v>
      </c>
      <c r="I116" s="5" t="s">
        <v>2</v>
      </c>
      <c r="J116" s="5" t="s">
        <v>2</v>
      </c>
    </row>
    <row r="117" spans="1:10" ht="16" outlineLevel="2" collapsed="1" x14ac:dyDescent="0.2">
      <c r="A117" s="4" t="s">
        <v>21</v>
      </c>
      <c r="B117" s="4" t="s">
        <v>16</v>
      </c>
      <c r="C117" s="4" t="s">
        <v>1978</v>
      </c>
      <c r="D117" s="4" t="s">
        <v>2</v>
      </c>
      <c r="E117" s="4"/>
      <c r="F117" s="4" t="s">
        <v>428</v>
      </c>
      <c r="G117" s="4" t="s">
        <v>15</v>
      </c>
      <c r="H117" s="4" t="s">
        <v>428</v>
      </c>
      <c r="I117" s="4" t="s">
        <v>2</v>
      </c>
      <c r="J117" s="4" t="s">
        <v>2</v>
      </c>
    </row>
    <row r="118" spans="1:10" ht="16" outlineLevel="2" collapsed="1" x14ac:dyDescent="0.2">
      <c r="A118" s="4" t="s">
        <v>21</v>
      </c>
      <c r="B118" s="4" t="s">
        <v>16</v>
      </c>
      <c r="C118" s="4" t="s">
        <v>1979</v>
      </c>
      <c r="D118" s="4" t="s">
        <v>2</v>
      </c>
      <c r="E118" s="4"/>
      <c r="F118" s="4" t="s">
        <v>429</v>
      </c>
      <c r="G118" s="4" t="s">
        <v>15</v>
      </c>
      <c r="H118" s="4" t="s">
        <v>429</v>
      </c>
      <c r="I118" s="4" t="s">
        <v>2</v>
      </c>
      <c r="J118" s="4" t="s">
        <v>2</v>
      </c>
    </row>
    <row r="119" spans="1:10" ht="48" outlineLevel="2" x14ac:dyDescent="0.2">
      <c r="A119" s="5" t="s">
        <v>15</v>
      </c>
      <c r="B119" t="s">
        <v>1178</v>
      </c>
      <c r="C119" s="5" t="s">
        <v>2021</v>
      </c>
      <c r="D119" s="5" t="s">
        <v>2334</v>
      </c>
      <c r="E119" s="5"/>
      <c r="F119" s="5" t="s">
        <v>430</v>
      </c>
      <c r="G119" s="5" t="s">
        <v>21</v>
      </c>
      <c r="H119" s="5" t="s">
        <v>2</v>
      </c>
      <c r="I119" s="5" t="s">
        <v>2</v>
      </c>
      <c r="J119" s="5" t="s">
        <v>2</v>
      </c>
    </row>
    <row r="120" spans="1:10" ht="16" outlineLevel="3" collapsed="1" x14ac:dyDescent="0.2">
      <c r="A120" s="4" t="s">
        <v>21</v>
      </c>
      <c r="B120" s="4" t="s">
        <v>16</v>
      </c>
      <c r="C120" s="4" t="s">
        <v>1969</v>
      </c>
      <c r="D120" s="4" t="s">
        <v>2</v>
      </c>
      <c r="E120" s="4"/>
      <c r="F120" s="4" t="s">
        <v>367</v>
      </c>
      <c r="G120" s="4" t="s">
        <v>15</v>
      </c>
      <c r="H120" s="4" t="s">
        <v>19</v>
      </c>
      <c r="I120" s="4" t="s">
        <v>2</v>
      </c>
      <c r="J120" s="4" t="s">
        <v>2</v>
      </c>
    </row>
    <row r="121" spans="1:10" ht="32" outlineLevel="3" collapsed="1" x14ac:dyDescent="0.2">
      <c r="A121" s="4" t="s">
        <v>21</v>
      </c>
      <c r="B121" s="4" t="s">
        <v>16</v>
      </c>
      <c r="C121" s="4" t="s">
        <v>1960</v>
      </c>
      <c r="D121" s="4" t="s">
        <v>2</v>
      </c>
      <c r="E121" s="4"/>
      <c r="F121" s="4" t="s">
        <v>400</v>
      </c>
      <c r="G121" s="4" t="s">
        <v>15</v>
      </c>
      <c r="H121" s="4" t="s">
        <v>19</v>
      </c>
      <c r="I121" s="4" t="s">
        <v>2</v>
      </c>
      <c r="J121" s="4" t="s">
        <v>2</v>
      </c>
    </row>
    <row r="122" spans="1:10" ht="25" outlineLevel="1" collapsed="1" x14ac:dyDescent="0.3">
      <c r="A122" s="4" t="s">
        <v>15</v>
      </c>
      <c r="B122" s="4" t="s">
        <v>25</v>
      </c>
      <c r="C122" s="4"/>
      <c r="D122" s="6" t="s">
        <v>365</v>
      </c>
      <c r="E122" s="4"/>
      <c r="F122" s="7" t="s">
        <v>891</v>
      </c>
      <c r="G122" s="4" t="s">
        <v>15</v>
      </c>
      <c r="H122" s="4" t="s">
        <v>2</v>
      </c>
      <c r="I122" s="4" t="s">
        <v>2</v>
      </c>
      <c r="J122" s="4" t="s">
        <v>2</v>
      </c>
    </row>
    <row r="123" spans="1:10" ht="32" outlineLevel="1" x14ac:dyDescent="0.2">
      <c r="A123" s="5" t="s">
        <v>21</v>
      </c>
      <c r="B123" t="s">
        <v>1178</v>
      </c>
      <c r="C123" s="5" t="s">
        <v>2010</v>
      </c>
      <c r="D123" s="5" t="s">
        <v>2335</v>
      </c>
      <c r="E123" s="5"/>
      <c r="F123" s="5" t="s">
        <v>433</v>
      </c>
      <c r="G123" s="5" t="s">
        <v>21</v>
      </c>
      <c r="H123" s="5" t="s">
        <v>2</v>
      </c>
      <c r="I123" s="5" t="s">
        <v>2</v>
      </c>
      <c r="J123" s="5" t="s">
        <v>2</v>
      </c>
    </row>
    <row r="124" spans="1:10" ht="16" outlineLevel="2" collapsed="1" x14ac:dyDescent="0.2">
      <c r="A124" s="4" t="s">
        <v>21</v>
      </c>
      <c r="B124" s="4" t="s">
        <v>16</v>
      </c>
      <c r="C124" s="4" t="s">
        <v>737</v>
      </c>
      <c r="D124" s="4" t="s">
        <v>2</v>
      </c>
      <c r="E124" s="4"/>
      <c r="F124" s="4" t="s">
        <v>433</v>
      </c>
      <c r="G124" s="4" t="s">
        <v>15</v>
      </c>
      <c r="H124" s="4" t="s">
        <v>433</v>
      </c>
      <c r="I124" s="4" t="s">
        <v>2</v>
      </c>
      <c r="J124" s="4" t="s">
        <v>2</v>
      </c>
    </row>
    <row r="125" spans="1:10" ht="32" outlineLevel="2" collapsed="1" x14ac:dyDescent="0.2">
      <c r="A125" s="4" t="s">
        <v>21</v>
      </c>
      <c r="B125" s="4" t="s">
        <v>16</v>
      </c>
      <c r="C125" s="4" t="s">
        <v>1960</v>
      </c>
      <c r="D125" s="4" t="s">
        <v>2</v>
      </c>
      <c r="E125" s="4"/>
      <c r="F125" s="4" t="s">
        <v>391</v>
      </c>
      <c r="G125" s="4" t="s">
        <v>15</v>
      </c>
      <c r="H125" s="4" t="s">
        <v>391</v>
      </c>
      <c r="I125" s="4" t="s">
        <v>2</v>
      </c>
      <c r="J125" s="4" t="s">
        <v>2</v>
      </c>
    </row>
    <row r="126" spans="1:10" ht="32" outlineLevel="1" x14ac:dyDescent="0.2">
      <c r="A126" s="5" t="s">
        <v>21</v>
      </c>
      <c r="B126" t="s">
        <v>1178</v>
      </c>
      <c r="C126" s="5" t="s">
        <v>2011</v>
      </c>
      <c r="D126" s="5" t="s">
        <v>2336</v>
      </c>
      <c r="E126" s="5"/>
      <c r="F126" s="5" t="s">
        <v>442</v>
      </c>
      <c r="G126" s="5" t="s">
        <v>21</v>
      </c>
      <c r="H126" s="5" t="s">
        <v>2</v>
      </c>
      <c r="I126" s="5" t="s">
        <v>2</v>
      </c>
      <c r="J126" s="5" t="s">
        <v>2</v>
      </c>
    </row>
    <row r="127" spans="1:10" ht="16" outlineLevel="2" collapsed="1" x14ac:dyDescent="0.2">
      <c r="A127" s="4" t="s">
        <v>21</v>
      </c>
      <c r="B127" s="4" t="s">
        <v>16</v>
      </c>
      <c r="C127" s="4" t="s">
        <v>738</v>
      </c>
      <c r="D127" s="4" t="s">
        <v>2</v>
      </c>
      <c r="E127" s="4"/>
      <c r="F127" s="4" t="s">
        <v>442</v>
      </c>
      <c r="G127" s="4" t="s">
        <v>15</v>
      </c>
      <c r="H127" s="4" t="s">
        <v>442</v>
      </c>
      <c r="I127" s="4" t="s">
        <v>2</v>
      </c>
      <c r="J127" s="4" t="s">
        <v>2</v>
      </c>
    </row>
    <row r="128" spans="1:10" ht="32" outlineLevel="2" collapsed="1" x14ac:dyDescent="0.2">
      <c r="A128" s="4" t="s">
        <v>21</v>
      </c>
      <c r="B128" s="4" t="s">
        <v>16</v>
      </c>
      <c r="C128" s="4" t="s">
        <v>1960</v>
      </c>
      <c r="D128" s="4" t="s">
        <v>2</v>
      </c>
      <c r="E128" s="4"/>
      <c r="F128" s="4" t="s">
        <v>391</v>
      </c>
      <c r="G128" s="4" t="s">
        <v>15</v>
      </c>
      <c r="H128" s="4" t="s">
        <v>391</v>
      </c>
      <c r="I128" s="4" t="s">
        <v>2</v>
      </c>
      <c r="J128" s="4" t="s">
        <v>2</v>
      </c>
    </row>
    <row r="129" spans="1:10" ht="32" outlineLevel="1" x14ac:dyDescent="0.2">
      <c r="A129" s="5" t="s">
        <v>21</v>
      </c>
      <c r="B129" t="s">
        <v>1178</v>
      </c>
      <c r="C129" s="5" t="s">
        <v>2012</v>
      </c>
      <c r="D129" s="5" t="s">
        <v>2337</v>
      </c>
      <c r="E129" s="5"/>
      <c r="F129" s="5" t="s">
        <v>447</v>
      </c>
      <c r="G129" s="5" t="s">
        <v>21</v>
      </c>
      <c r="H129" s="5" t="s">
        <v>2</v>
      </c>
      <c r="I129" s="5" t="s">
        <v>2</v>
      </c>
      <c r="J129" s="5" t="s">
        <v>2</v>
      </c>
    </row>
    <row r="130" spans="1:10" ht="16" outlineLevel="2" collapsed="1" x14ac:dyDescent="0.2">
      <c r="A130" s="4" t="s">
        <v>21</v>
      </c>
      <c r="B130" s="4" t="s">
        <v>16</v>
      </c>
      <c r="C130" s="4" t="s">
        <v>739</v>
      </c>
      <c r="D130" s="4" t="s">
        <v>2</v>
      </c>
      <c r="E130" s="4"/>
      <c r="F130" s="4" t="s">
        <v>447</v>
      </c>
      <c r="G130" s="4" t="s">
        <v>15</v>
      </c>
      <c r="H130" s="4" t="s">
        <v>447</v>
      </c>
      <c r="I130" s="4" t="s">
        <v>2</v>
      </c>
      <c r="J130" s="4" t="s">
        <v>2</v>
      </c>
    </row>
    <row r="131" spans="1:10" ht="32" outlineLevel="2" collapsed="1" x14ac:dyDescent="0.2">
      <c r="A131" s="4" t="s">
        <v>21</v>
      </c>
      <c r="B131" s="4" t="s">
        <v>16</v>
      </c>
      <c r="C131" s="4" t="s">
        <v>1960</v>
      </c>
      <c r="D131" s="4" t="s">
        <v>2</v>
      </c>
      <c r="E131" s="4"/>
      <c r="F131" s="4" t="s">
        <v>391</v>
      </c>
      <c r="G131" s="4" t="s">
        <v>15</v>
      </c>
      <c r="H131" s="4" t="s">
        <v>391</v>
      </c>
      <c r="I131" s="4" t="s">
        <v>2</v>
      </c>
      <c r="J131" s="4" t="s">
        <v>2</v>
      </c>
    </row>
    <row r="132" spans="1:10" ht="32" outlineLevel="1" x14ac:dyDescent="0.2">
      <c r="A132" s="5" t="s">
        <v>21</v>
      </c>
      <c r="B132" t="s">
        <v>1178</v>
      </c>
      <c r="C132" s="5" t="s">
        <v>2013</v>
      </c>
      <c r="D132" s="5" t="s">
        <v>893</v>
      </c>
      <c r="E132" s="5"/>
      <c r="F132" s="5" t="s">
        <v>893</v>
      </c>
      <c r="G132" s="5" t="s">
        <v>15</v>
      </c>
      <c r="H132" s="5" t="s">
        <v>2</v>
      </c>
      <c r="I132" s="5" t="s">
        <v>2</v>
      </c>
      <c r="J132" s="5" t="s">
        <v>2</v>
      </c>
    </row>
    <row r="133" spans="1:10" ht="16" outlineLevel="2" collapsed="1" x14ac:dyDescent="0.2">
      <c r="A133" s="4" t="s">
        <v>15</v>
      </c>
      <c r="B133" s="4" t="s">
        <v>25</v>
      </c>
      <c r="C133" s="4"/>
      <c r="D133" s="4" t="s">
        <v>2</v>
      </c>
      <c r="E133" s="4"/>
      <c r="F133" s="4" t="s">
        <v>451</v>
      </c>
      <c r="G133" s="4" t="s">
        <v>15</v>
      </c>
      <c r="H133" s="4" t="s">
        <v>2</v>
      </c>
      <c r="I133" s="4" t="s">
        <v>2</v>
      </c>
      <c r="J133" s="4" t="s">
        <v>2</v>
      </c>
    </row>
    <row r="134" spans="1:10" ht="16" outlineLevel="2" collapsed="1" x14ac:dyDescent="0.2">
      <c r="A134" s="4" t="s">
        <v>21</v>
      </c>
      <c r="B134" s="4" t="s">
        <v>16</v>
      </c>
      <c r="C134" s="4" t="s">
        <v>1960</v>
      </c>
      <c r="D134" s="4" t="s">
        <v>2</v>
      </c>
      <c r="E134" s="4"/>
      <c r="F134" s="4" t="s">
        <v>742</v>
      </c>
      <c r="G134" s="4" t="s">
        <v>15</v>
      </c>
      <c r="H134" s="4" t="s">
        <v>742</v>
      </c>
      <c r="I134" s="4" t="s">
        <v>2</v>
      </c>
      <c r="J134" s="4" t="s">
        <v>2</v>
      </c>
    </row>
    <row r="135" spans="1:10" ht="16" outlineLevel="1" collapsed="1" x14ac:dyDescent="0.2">
      <c r="A135" s="4" t="s">
        <v>21</v>
      </c>
      <c r="B135" s="4" t="s">
        <v>16</v>
      </c>
      <c r="C135" s="4" t="s">
        <v>1980</v>
      </c>
      <c r="D135" s="4" t="s">
        <v>2</v>
      </c>
      <c r="E135" s="4"/>
      <c r="F135" s="4" t="s">
        <v>895</v>
      </c>
      <c r="G135" s="4" t="s">
        <v>15</v>
      </c>
      <c r="H135" s="4" t="s">
        <v>895</v>
      </c>
      <c r="I135" s="4" t="s">
        <v>2</v>
      </c>
      <c r="J135" s="4" t="s">
        <v>2</v>
      </c>
    </row>
    <row r="136" spans="1:10" ht="16" outlineLevel="1" collapsed="1" x14ac:dyDescent="0.2">
      <c r="A136" s="4" t="s">
        <v>21</v>
      </c>
      <c r="B136" s="4" t="s">
        <v>16</v>
      </c>
      <c r="C136" s="4" t="s">
        <v>1981</v>
      </c>
      <c r="D136" s="4" t="s">
        <v>2</v>
      </c>
      <c r="E136" s="4"/>
      <c r="F136" s="4" t="s">
        <v>896</v>
      </c>
      <c r="G136" s="4" t="s">
        <v>15</v>
      </c>
      <c r="H136" s="4" t="s">
        <v>896</v>
      </c>
      <c r="I136" s="4" t="s">
        <v>2</v>
      </c>
      <c r="J136" s="4" t="s">
        <v>2</v>
      </c>
    </row>
    <row r="137" spans="1:10" ht="16" outlineLevel="1" collapsed="1" x14ac:dyDescent="0.2">
      <c r="A137" s="4" t="s">
        <v>21</v>
      </c>
      <c r="B137" s="4" t="s">
        <v>16</v>
      </c>
      <c r="C137" s="4" t="s">
        <v>1982</v>
      </c>
      <c r="D137" s="4" t="s">
        <v>2</v>
      </c>
      <c r="E137" s="4"/>
      <c r="F137" s="4" t="s">
        <v>898</v>
      </c>
      <c r="G137" s="4" t="s">
        <v>15</v>
      </c>
      <c r="H137" s="4" t="s">
        <v>898</v>
      </c>
      <c r="I137" s="4" t="s">
        <v>2</v>
      </c>
      <c r="J137" s="4" t="s">
        <v>2</v>
      </c>
    </row>
    <row r="138" spans="1:10" ht="25" outlineLevel="1" collapsed="1" x14ac:dyDescent="0.3">
      <c r="A138" s="4" t="s">
        <v>15</v>
      </c>
      <c r="B138" s="4" t="s">
        <v>25</v>
      </c>
      <c r="C138" s="4"/>
      <c r="D138" s="6" t="s">
        <v>365</v>
      </c>
      <c r="E138" s="4"/>
      <c r="F138" s="7" t="s">
        <v>900</v>
      </c>
      <c r="G138" s="4" t="s">
        <v>15</v>
      </c>
      <c r="H138" s="4" t="s">
        <v>2</v>
      </c>
      <c r="I138" s="4" t="s">
        <v>2</v>
      </c>
      <c r="J138" s="4" t="s">
        <v>2</v>
      </c>
    </row>
    <row r="139" spans="1:10" ht="16" outlineLevel="1" collapsed="1" x14ac:dyDescent="0.2">
      <c r="A139" s="4" t="s">
        <v>21</v>
      </c>
      <c r="B139" s="4" t="s">
        <v>16</v>
      </c>
      <c r="C139" s="4" t="s">
        <v>1983</v>
      </c>
      <c r="D139" s="4" t="s">
        <v>2</v>
      </c>
      <c r="E139" s="4"/>
      <c r="F139" s="4" t="s">
        <v>902</v>
      </c>
      <c r="G139" s="4" t="s">
        <v>15</v>
      </c>
      <c r="H139" s="4" t="s">
        <v>902</v>
      </c>
      <c r="I139" s="4" t="s">
        <v>2</v>
      </c>
      <c r="J139" s="4" t="s">
        <v>2</v>
      </c>
    </row>
    <row r="140" spans="1:10" ht="16" outlineLevel="1" collapsed="1" x14ac:dyDescent="0.2">
      <c r="A140" s="4" t="s">
        <v>21</v>
      </c>
      <c r="B140" s="4" t="s">
        <v>16</v>
      </c>
      <c r="C140" s="4" t="s">
        <v>1984</v>
      </c>
      <c r="D140" s="4" t="s">
        <v>2</v>
      </c>
      <c r="E140" s="4"/>
      <c r="F140" s="4" t="s">
        <v>904</v>
      </c>
      <c r="G140" s="4" t="s">
        <v>15</v>
      </c>
      <c r="H140" s="4" t="s">
        <v>904</v>
      </c>
      <c r="I140" s="4" t="s">
        <v>2</v>
      </c>
      <c r="J140" s="4" t="s">
        <v>2</v>
      </c>
    </row>
    <row r="141" spans="1:10" ht="16" outlineLevel="1" x14ac:dyDescent="0.2">
      <c r="A141" s="5" t="s">
        <v>21</v>
      </c>
      <c r="B141" t="s">
        <v>1178</v>
      </c>
      <c r="C141" s="5" t="s">
        <v>2014</v>
      </c>
      <c r="D141" s="5" t="s">
        <v>819</v>
      </c>
      <c r="E141" s="5"/>
      <c r="F141" s="5" t="s">
        <v>819</v>
      </c>
      <c r="G141" s="5" t="s">
        <v>15</v>
      </c>
      <c r="H141" s="5" t="s">
        <v>2</v>
      </c>
      <c r="I141" s="5" t="s">
        <v>2</v>
      </c>
      <c r="J141" s="5" t="s">
        <v>2</v>
      </c>
    </row>
    <row r="142" spans="1:10" ht="16" outlineLevel="2" collapsed="1" x14ac:dyDescent="0.2">
      <c r="A142" s="4" t="s">
        <v>21</v>
      </c>
      <c r="B142" s="4" t="s">
        <v>96</v>
      </c>
      <c r="C142" s="4" t="s">
        <v>99</v>
      </c>
      <c r="D142" s="4" t="s">
        <v>2</v>
      </c>
      <c r="E142" s="4"/>
      <c r="F142" s="4" t="s">
        <v>97</v>
      </c>
      <c r="G142" s="4" t="s">
        <v>15</v>
      </c>
      <c r="H142" s="4" t="s">
        <v>98</v>
      </c>
      <c r="I142" s="4" t="s">
        <v>2</v>
      </c>
      <c r="J142" s="4" t="s">
        <v>2</v>
      </c>
    </row>
    <row r="143" spans="1:10" ht="16" outlineLevel="2" collapsed="1" x14ac:dyDescent="0.2">
      <c r="A143" s="4" t="s">
        <v>21</v>
      </c>
      <c r="B143" s="4" t="s">
        <v>96</v>
      </c>
      <c r="C143" s="4" t="s">
        <v>101</v>
      </c>
      <c r="D143" s="4" t="s">
        <v>2</v>
      </c>
      <c r="E143" s="4"/>
      <c r="F143" s="4" t="s">
        <v>100</v>
      </c>
      <c r="G143" s="4" t="s">
        <v>15</v>
      </c>
      <c r="H143" s="4" t="s">
        <v>98</v>
      </c>
      <c r="I143" s="4" t="s">
        <v>2</v>
      </c>
      <c r="J143" s="4" t="s">
        <v>2</v>
      </c>
    </row>
    <row r="144" spans="1:10" ht="50" outlineLevel="1" collapsed="1" x14ac:dyDescent="0.3">
      <c r="A144" s="4" t="s">
        <v>15</v>
      </c>
      <c r="B144" s="4" t="s">
        <v>25</v>
      </c>
      <c r="C144" s="4"/>
      <c r="D144" s="6" t="s">
        <v>365</v>
      </c>
      <c r="E144" s="4"/>
      <c r="F144" s="7" t="s">
        <v>905</v>
      </c>
      <c r="G144" s="4" t="s">
        <v>15</v>
      </c>
      <c r="H144" s="4" t="s">
        <v>2</v>
      </c>
      <c r="I144" s="4" t="s">
        <v>2</v>
      </c>
      <c r="J144" s="4" t="s">
        <v>2</v>
      </c>
    </row>
    <row r="145" spans="1:10" ht="50" outlineLevel="1" collapsed="1" x14ac:dyDescent="0.3">
      <c r="A145" s="4" t="s">
        <v>15</v>
      </c>
      <c r="B145" s="4" t="s">
        <v>25</v>
      </c>
      <c r="C145" s="4"/>
      <c r="D145" s="6" t="s">
        <v>365</v>
      </c>
      <c r="E145" s="4"/>
      <c r="F145" s="7" t="s">
        <v>906</v>
      </c>
      <c r="G145" s="4" t="s">
        <v>15</v>
      </c>
      <c r="H145" s="4" t="s">
        <v>2</v>
      </c>
      <c r="I145" s="4" t="s">
        <v>2</v>
      </c>
      <c r="J145" s="4" t="s">
        <v>2</v>
      </c>
    </row>
    <row r="146" spans="1:10" ht="16" outlineLevel="1" x14ac:dyDescent="0.2">
      <c r="A146" s="5" t="s">
        <v>15</v>
      </c>
      <c r="B146" t="s">
        <v>1178</v>
      </c>
      <c r="C146" s="5" t="s">
        <v>2015</v>
      </c>
      <c r="D146" s="5" t="s">
        <v>907</v>
      </c>
      <c r="E146" s="5"/>
      <c r="F146" s="5" t="s">
        <v>907</v>
      </c>
      <c r="G146" s="5" t="s">
        <v>21</v>
      </c>
      <c r="H146" s="5" t="s">
        <v>2</v>
      </c>
      <c r="I146" s="5" t="s">
        <v>2</v>
      </c>
      <c r="J146" s="5" t="s">
        <v>2</v>
      </c>
    </row>
    <row r="147" spans="1:10" ht="16" outlineLevel="2" x14ac:dyDescent="0.2">
      <c r="A147" s="5" t="s">
        <v>21</v>
      </c>
      <c r="B147" t="s">
        <v>1178</v>
      </c>
      <c r="C147" s="5" t="s">
        <v>2016</v>
      </c>
      <c r="D147" s="5" t="s">
        <v>2338</v>
      </c>
      <c r="E147" s="5"/>
      <c r="F147" s="5" t="s">
        <v>789</v>
      </c>
      <c r="G147" s="5" t="s">
        <v>15</v>
      </c>
      <c r="H147" s="5" t="s">
        <v>2</v>
      </c>
      <c r="I147" s="5" t="s">
        <v>2</v>
      </c>
      <c r="J147" s="5" t="s">
        <v>2</v>
      </c>
    </row>
    <row r="148" spans="1:10" ht="16" outlineLevel="3" collapsed="1" x14ac:dyDescent="0.2">
      <c r="A148" s="4" t="s">
        <v>21</v>
      </c>
      <c r="B148" s="4" t="s">
        <v>96</v>
      </c>
      <c r="C148" s="4" t="s">
        <v>99</v>
      </c>
      <c r="D148" s="4" t="s">
        <v>2</v>
      </c>
      <c r="E148" s="4"/>
      <c r="F148" s="4" t="s">
        <v>97</v>
      </c>
      <c r="G148" s="4" t="s">
        <v>15</v>
      </c>
      <c r="H148" s="4" t="s">
        <v>98</v>
      </c>
      <c r="I148" s="4" t="s">
        <v>2</v>
      </c>
      <c r="J148" s="4" t="s">
        <v>2</v>
      </c>
    </row>
    <row r="149" spans="1:10" ht="16" outlineLevel="3" collapsed="1" x14ac:dyDescent="0.2">
      <c r="A149" s="4" t="s">
        <v>21</v>
      </c>
      <c r="B149" s="4" t="s">
        <v>96</v>
      </c>
      <c r="C149" s="4" t="s">
        <v>101</v>
      </c>
      <c r="D149" s="4" t="s">
        <v>2</v>
      </c>
      <c r="E149" s="4"/>
      <c r="F149" s="4" t="s">
        <v>100</v>
      </c>
      <c r="G149" s="4" t="s">
        <v>15</v>
      </c>
      <c r="H149" s="4" t="s">
        <v>98</v>
      </c>
      <c r="I149" s="4" t="s">
        <v>2</v>
      </c>
      <c r="J149" s="4" t="s">
        <v>2</v>
      </c>
    </row>
    <row r="150" spans="1:10" ht="16" outlineLevel="2" collapsed="1" x14ac:dyDescent="0.2">
      <c r="A150" s="4" t="s">
        <v>21</v>
      </c>
      <c r="B150" s="4" t="s">
        <v>138</v>
      </c>
      <c r="C150" s="4" t="s">
        <v>1985</v>
      </c>
      <c r="D150" s="4" t="s">
        <v>2</v>
      </c>
      <c r="E150" s="4"/>
      <c r="F150" s="4" t="s">
        <v>908</v>
      </c>
      <c r="G150" s="4" t="s">
        <v>15</v>
      </c>
      <c r="H150" s="4">
        <v>1</v>
      </c>
      <c r="I150" s="4" t="s">
        <v>2</v>
      </c>
      <c r="J150" s="4" t="s">
        <v>2</v>
      </c>
    </row>
    <row r="151" spans="1:10" ht="16" outlineLevel="2" collapsed="1" x14ac:dyDescent="0.2">
      <c r="A151" s="4" t="s">
        <v>21</v>
      </c>
      <c r="B151" s="4" t="s">
        <v>138</v>
      </c>
      <c r="C151" s="4" t="s">
        <v>1986</v>
      </c>
      <c r="D151" s="4" t="s">
        <v>2</v>
      </c>
      <c r="E151" s="4"/>
      <c r="F151" s="4" t="s">
        <v>909</v>
      </c>
      <c r="G151" s="4" t="s">
        <v>15</v>
      </c>
      <c r="H151" s="4">
        <v>2</v>
      </c>
      <c r="I151" s="4" t="s">
        <v>2</v>
      </c>
      <c r="J151" s="4" t="s">
        <v>2</v>
      </c>
    </row>
    <row r="152" spans="1:10" ht="16" outlineLevel="2" collapsed="1" x14ac:dyDescent="0.2">
      <c r="A152" s="4" t="s">
        <v>21</v>
      </c>
      <c r="B152" s="4" t="s">
        <v>138</v>
      </c>
      <c r="C152" s="4" t="s">
        <v>1987</v>
      </c>
      <c r="D152" s="4" t="s">
        <v>2</v>
      </c>
      <c r="E152" s="4"/>
      <c r="F152" s="4" t="s">
        <v>910</v>
      </c>
      <c r="G152" s="4" t="s">
        <v>15</v>
      </c>
      <c r="H152" s="4">
        <v>3</v>
      </c>
      <c r="I152" s="4" t="s">
        <v>2</v>
      </c>
      <c r="J152" s="4" t="s">
        <v>2</v>
      </c>
    </row>
    <row r="153" spans="1:10" ht="16" outlineLevel="2" collapsed="1" x14ac:dyDescent="0.2">
      <c r="A153" s="4" t="s">
        <v>21</v>
      </c>
      <c r="B153" s="4" t="s">
        <v>138</v>
      </c>
      <c r="C153" s="4" t="s">
        <v>1988</v>
      </c>
      <c r="D153" s="4" t="s">
        <v>2</v>
      </c>
      <c r="E153" s="4"/>
      <c r="F153" s="4" t="s">
        <v>911</v>
      </c>
      <c r="G153" s="4" t="s">
        <v>15</v>
      </c>
      <c r="H153" s="4">
        <v>4</v>
      </c>
      <c r="I153" s="4" t="s">
        <v>2</v>
      </c>
      <c r="J153" s="4" t="s">
        <v>2</v>
      </c>
    </row>
    <row r="154" spans="1:10" ht="16" outlineLevel="2" collapsed="1" x14ac:dyDescent="0.2">
      <c r="A154" s="4" t="s">
        <v>21</v>
      </c>
      <c r="B154" s="4" t="s">
        <v>138</v>
      </c>
      <c r="C154" s="4" t="s">
        <v>1989</v>
      </c>
      <c r="D154" s="4" t="s">
        <v>2</v>
      </c>
      <c r="E154" s="4"/>
      <c r="F154" s="4" t="s">
        <v>912</v>
      </c>
      <c r="G154" s="4" t="s">
        <v>15</v>
      </c>
      <c r="H154" s="4">
        <v>5</v>
      </c>
      <c r="I154" s="4" t="s">
        <v>2</v>
      </c>
      <c r="J154" s="4" t="s">
        <v>2</v>
      </c>
    </row>
    <row r="155" spans="1:10" ht="16" outlineLevel="2" collapsed="1" x14ac:dyDescent="0.2">
      <c r="A155" s="4" t="s">
        <v>21</v>
      </c>
      <c r="B155" s="4" t="s">
        <v>138</v>
      </c>
      <c r="C155" s="4" t="s">
        <v>1990</v>
      </c>
      <c r="D155" s="4" t="s">
        <v>2</v>
      </c>
      <c r="E155" s="4"/>
      <c r="F155" s="4" t="s">
        <v>913</v>
      </c>
      <c r="G155" s="4" t="s">
        <v>15</v>
      </c>
      <c r="H155" s="4">
        <v>6</v>
      </c>
      <c r="I155" s="4" t="s">
        <v>2</v>
      </c>
      <c r="J155" s="4" t="s">
        <v>2</v>
      </c>
    </row>
    <row r="156" spans="1:10" ht="25" outlineLevel="1" collapsed="1" x14ac:dyDescent="0.3">
      <c r="A156" s="4" t="s">
        <v>15</v>
      </c>
      <c r="B156" s="4" t="s">
        <v>25</v>
      </c>
      <c r="C156" s="4"/>
      <c r="D156" s="6" t="s">
        <v>365</v>
      </c>
      <c r="E156" s="4"/>
      <c r="F156" s="7" t="s">
        <v>797</v>
      </c>
      <c r="G156" s="4" t="s">
        <v>15</v>
      </c>
      <c r="H156" s="4" t="s">
        <v>2</v>
      </c>
      <c r="I156" s="4" t="s">
        <v>2</v>
      </c>
      <c r="J156" s="4" t="s">
        <v>2</v>
      </c>
    </row>
    <row r="157" spans="1:10" ht="25" outlineLevel="1" collapsed="1" x14ac:dyDescent="0.3">
      <c r="A157" s="4" t="s">
        <v>15</v>
      </c>
      <c r="B157" s="4" t="s">
        <v>25</v>
      </c>
      <c r="C157" s="4"/>
      <c r="D157" s="6" t="s">
        <v>365</v>
      </c>
      <c r="E157" s="4"/>
      <c r="F157" s="7" t="s">
        <v>798</v>
      </c>
      <c r="G157" s="4" t="s">
        <v>15</v>
      </c>
      <c r="H157" s="4" t="s">
        <v>2</v>
      </c>
      <c r="I157" s="4" t="s">
        <v>2</v>
      </c>
      <c r="J157" s="4" t="s">
        <v>2</v>
      </c>
    </row>
    <row r="158" spans="1:10" ht="16" outlineLevel="1" collapsed="1" x14ac:dyDescent="0.2">
      <c r="A158" s="4" t="s">
        <v>15</v>
      </c>
      <c r="B158" s="4" t="s">
        <v>16</v>
      </c>
      <c r="C158" s="4" t="s">
        <v>1991</v>
      </c>
      <c r="D158" s="4" t="s">
        <v>2</v>
      </c>
      <c r="E158" s="4"/>
      <c r="F158" s="4" t="s">
        <v>799</v>
      </c>
      <c r="G158" s="4" t="s">
        <v>15</v>
      </c>
      <c r="H158" s="4" t="s">
        <v>799</v>
      </c>
      <c r="I158" s="4" t="s">
        <v>2</v>
      </c>
      <c r="J158" s="4" t="s">
        <v>2</v>
      </c>
    </row>
    <row r="159" spans="1:10" ht="32" outlineLevel="1" collapsed="1" x14ac:dyDescent="0.2">
      <c r="A159" s="4" t="s">
        <v>15</v>
      </c>
      <c r="B159" s="4" t="s">
        <v>16</v>
      </c>
      <c r="C159" s="4" t="s">
        <v>1992</v>
      </c>
      <c r="D159" s="4" t="s">
        <v>2</v>
      </c>
      <c r="E159" s="4"/>
      <c r="F159" s="4" t="s">
        <v>801</v>
      </c>
      <c r="G159" s="4" t="s">
        <v>15</v>
      </c>
      <c r="H159" s="4" t="s">
        <v>801</v>
      </c>
      <c r="I159" s="4" t="s">
        <v>2</v>
      </c>
      <c r="J159" s="4" t="s">
        <v>2</v>
      </c>
    </row>
    <row r="160" spans="1:10" ht="32" outlineLevel="1" collapsed="1" x14ac:dyDescent="0.2">
      <c r="A160" s="4" t="s">
        <v>15</v>
      </c>
      <c r="B160" s="4" t="s">
        <v>16</v>
      </c>
      <c r="C160" s="4" t="s">
        <v>1993</v>
      </c>
      <c r="D160" s="4" t="s">
        <v>2</v>
      </c>
      <c r="E160" s="4"/>
      <c r="F160" s="4" t="s">
        <v>914</v>
      </c>
      <c r="G160" s="4" t="s">
        <v>15</v>
      </c>
      <c r="H160" s="4" t="s">
        <v>914</v>
      </c>
      <c r="I160" s="4" t="s">
        <v>2</v>
      </c>
      <c r="J160" s="4" t="s">
        <v>2</v>
      </c>
    </row>
    <row r="161" spans="1:10" ht="50" outlineLevel="1" collapsed="1" x14ac:dyDescent="0.3">
      <c r="A161" s="4" t="s">
        <v>15</v>
      </c>
      <c r="B161" s="4" t="s">
        <v>25</v>
      </c>
      <c r="C161" s="4"/>
      <c r="D161" s="6" t="s">
        <v>365</v>
      </c>
      <c r="E161" s="4"/>
      <c r="F161" s="7" t="s">
        <v>803</v>
      </c>
      <c r="G161" s="4" t="s">
        <v>15</v>
      </c>
      <c r="H161" s="4" t="s">
        <v>2</v>
      </c>
      <c r="I161" s="4" t="s">
        <v>2</v>
      </c>
      <c r="J161" s="4" t="s">
        <v>2</v>
      </c>
    </row>
    <row r="162" spans="1:10" ht="32" outlineLevel="1" x14ac:dyDescent="0.2">
      <c r="A162" s="5" t="s">
        <v>15</v>
      </c>
      <c r="B162" t="s">
        <v>1178</v>
      </c>
      <c r="C162" s="5" t="s">
        <v>2017</v>
      </c>
      <c r="D162" s="5" t="s">
        <v>915</v>
      </c>
      <c r="E162" s="5"/>
      <c r="F162" s="5" t="s">
        <v>915</v>
      </c>
      <c r="G162" s="5" t="s">
        <v>21</v>
      </c>
      <c r="H162" s="5" t="s">
        <v>2</v>
      </c>
      <c r="I162" s="5" t="s">
        <v>2</v>
      </c>
      <c r="J162" s="5" t="s">
        <v>2</v>
      </c>
    </row>
    <row r="163" spans="1:10" ht="16" outlineLevel="2" x14ac:dyDescent="0.2">
      <c r="A163" s="5" t="s">
        <v>21</v>
      </c>
      <c r="B163" t="s">
        <v>1178</v>
      </c>
      <c r="C163" s="5" t="s">
        <v>2016</v>
      </c>
      <c r="D163" s="5" t="s">
        <v>2339</v>
      </c>
      <c r="E163" s="5"/>
      <c r="F163" s="5" t="s">
        <v>789</v>
      </c>
      <c r="G163" s="5" t="s">
        <v>15</v>
      </c>
      <c r="H163" s="5" t="s">
        <v>2</v>
      </c>
      <c r="I163" s="5" t="s">
        <v>2</v>
      </c>
      <c r="J163" s="5" t="s">
        <v>2</v>
      </c>
    </row>
    <row r="164" spans="1:10" ht="16" outlineLevel="3" collapsed="1" x14ac:dyDescent="0.2">
      <c r="A164" s="4" t="s">
        <v>21</v>
      </c>
      <c r="B164" s="4" t="s">
        <v>96</v>
      </c>
      <c r="C164" s="4" t="s">
        <v>99</v>
      </c>
      <c r="D164" s="4" t="s">
        <v>2</v>
      </c>
      <c r="E164" s="4"/>
      <c r="F164" s="4" t="s">
        <v>97</v>
      </c>
      <c r="G164" s="4" t="s">
        <v>15</v>
      </c>
      <c r="H164" s="4" t="s">
        <v>98</v>
      </c>
      <c r="I164" s="4" t="s">
        <v>2</v>
      </c>
      <c r="J164" s="4" t="s">
        <v>2</v>
      </c>
    </row>
    <row r="165" spans="1:10" ht="16" outlineLevel="3" collapsed="1" x14ac:dyDescent="0.2">
      <c r="A165" s="4" t="s">
        <v>21</v>
      </c>
      <c r="B165" s="4" t="s">
        <v>96</v>
      </c>
      <c r="C165" s="4" t="s">
        <v>101</v>
      </c>
      <c r="D165" s="4" t="s">
        <v>2</v>
      </c>
      <c r="E165" s="4"/>
      <c r="F165" s="4" t="s">
        <v>100</v>
      </c>
      <c r="G165" s="4" t="s">
        <v>15</v>
      </c>
      <c r="H165" s="4" t="s">
        <v>98</v>
      </c>
      <c r="I165" s="4" t="s">
        <v>2</v>
      </c>
      <c r="J165" s="4" t="s">
        <v>2</v>
      </c>
    </row>
    <row r="166" spans="1:10" ht="16" outlineLevel="2" collapsed="1" x14ac:dyDescent="0.2">
      <c r="A166" s="4" t="s">
        <v>21</v>
      </c>
      <c r="B166" s="4" t="s">
        <v>138</v>
      </c>
      <c r="C166" s="4" t="s">
        <v>1985</v>
      </c>
      <c r="D166" s="4" t="s">
        <v>2</v>
      </c>
      <c r="E166" s="4"/>
      <c r="F166" s="4" t="s">
        <v>908</v>
      </c>
      <c r="G166" s="4" t="s">
        <v>15</v>
      </c>
      <c r="H166" s="4">
        <v>1</v>
      </c>
      <c r="I166" s="4" t="s">
        <v>2</v>
      </c>
      <c r="J166" s="4" t="s">
        <v>2</v>
      </c>
    </row>
    <row r="167" spans="1:10" ht="16" outlineLevel="2" collapsed="1" x14ac:dyDescent="0.2">
      <c r="A167" s="4" t="s">
        <v>21</v>
      </c>
      <c r="B167" s="4" t="s">
        <v>138</v>
      </c>
      <c r="C167" s="4" t="s">
        <v>1986</v>
      </c>
      <c r="D167" s="4" t="s">
        <v>2</v>
      </c>
      <c r="E167" s="4"/>
      <c r="F167" s="4" t="s">
        <v>909</v>
      </c>
      <c r="G167" s="4" t="s">
        <v>15</v>
      </c>
      <c r="H167" s="4">
        <v>2</v>
      </c>
      <c r="I167" s="4" t="s">
        <v>2</v>
      </c>
      <c r="J167" s="4" t="s">
        <v>2</v>
      </c>
    </row>
    <row r="168" spans="1:10" ht="16" outlineLevel="2" collapsed="1" x14ac:dyDescent="0.2">
      <c r="A168" s="4" t="s">
        <v>21</v>
      </c>
      <c r="B168" s="4" t="s">
        <v>138</v>
      </c>
      <c r="C168" s="4" t="s">
        <v>1987</v>
      </c>
      <c r="D168" s="4" t="s">
        <v>2</v>
      </c>
      <c r="E168" s="4"/>
      <c r="F168" s="4" t="s">
        <v>910</v>
      </c>
      <c r="G168" s="4" t="s">
        <v>15</v>
      </c>
      <c r="H168" s="4">
        <v>3</v>
      </c>
      <c r="I168" s="4" t="s">
        <v>2</v>
      </c>
      <c r="J168" s="4" t="s">
        <v>2</v>
      </c>
    </row>
    <row r="169" spans="1:10" ht="16" outlineLevel="2" collapsed="1" x14ac:dyDescent="0.2">
      <c r="A169" s="4" t="s">
        <v>21</v>
      </c>
      <c r="B169" s="4" t="s">
        <v>138</v>
      </c>
      <c r="C169" s="4" t="s">
        <v>1994</v>
      </c>
      <c r="D169" s="4" t="s">
        <v>2</v>
      </c>
      <c r="E169" s="4"/>
      <c r="F169" s="4" t="s">
        <v>916</v>
      </c>
      <c r="G169" s="4" t="s">
        <v>15</v>
      </c>
      <c r="H169" s="4">
        <v>4</v>
      </c>
      <c r="I169" s="4" t="s">
        <v>2</v>
      </c>
      <c r="J169" s="4" t="s">
        <v>2</v>
      </c>
    </row>
    <row r="170" spans="1:10" ht="16" outlineLevel="2" collapsed="1" x14ac:dyDescent="0.2">
      <c r="A170" s="4" t="s">
        <v>21</v>
      </c>
      <c r="B170" s="4" t="s">
        <v>138</v>
      </c>
      <c r="C170" s="4" t="s">
        <v>1988</v>
      </c>
      <c r="D170" s="4" t="s">
        <v>2</v>
      </c>
      <c r="E170" s="4"/>
      <c r="F170" s="4" t="s">
        <v>911</v>
      </c>
      <c r="G170" s="4" t="s">
        <v>15</v>
      </c>
      <c r="H170" s="4">
        <v>5</v>
      </c>
      <c r="I170" s="4" t="s">
        <v>2</v>
      </c>
      <c r="J170" s="4" t="s">
        <v>2</v>
      </c>
    </row>
    <row r="171" spans="1:10" ht="16" outlineLevel="2" collapsed="1" x14ac:dyDescent="0.2">
      <c r="A171" s="4" t="s">
        <v>21</v>
      </c>
      <c r="B171" s="4" t="s">
        <v>138</v>
      </c>
      <c r="C171" s="4" t="s">
        <v>1989</v>
      </c>
      <c r="D171" s="4" t="s">
        <v>2</v>
      </c>
      <c r="E171" s="4"/>
      <c r="F171" s="4" t="s">
        <v>912</v>
      </c>
      <c r="G171" s="4" t="s">
        <v>15</v>
      </c>
      <c r="H171" s="4">
        <v>6</v>
      </c>
      <c r="I171" s="4" t="s">
        <v>2</v>
      </c>
      <c r="J171" s="4" t="s">
        <v>2</v>
      </c>
    </row>
    <row r="172" spans="1:10" ht="16" outlineLevel="2" collapsed="1" x14ac:dyDescent="0.2">
      <c r="A172" s="4" t="s">
        <v>21</v>
      </c>
      <c r="B172" s="4" t="s">
        <v>138</v>
      </c>
      <c r="C172" s="4" t="s">
        <v>1990</v>
      </c>
      <c r="D172" s="4" t="s">
        <v>2</v>
      </c>
      <c r="E172" s="4"/>
      <c r="F172" s="4" t="s">
        <v>913</v>
      </c>
      <c r="G172" s="4" t="s">
        <v>15</v>
      </c>
      <c r="H172" s="4">
        <v>7</v>
      </c>
      <c r="I172" s="4" t="s">
        <v>2</v>
      </c>
      <c r="J172" s="4" t="s">
        <v>2</v>
      </c>
    </row>
    <row r="173" spans="1:10" ht="16" outlineLevel="1" collapsed="1" x14ac:dyDescent="0.2">
      <c r="A173" s="4" t="s">
        <v>21</v>
      </c>
      <c r="B173" s="4" t="s">
        <v>16</v>
      </c>
      <c r="C173" s="4" t="s">
        <v>1995</v>
      </c>
      <c r="D173" s="4" t="s">
        <v>2</v>
      </c>
      <c r="E173" s="4"/>
      <c r="F173" s="4" t="s">
        <v>917</v>
      </c>
      <c r="G173" s="4" t="s">
        <v>15</v>
      </c>
      <c r="H173" s="4" t="s">
        <v>917</v>
      </c>
      <c r="I173" s="4" t="s">
        <v>2</v>
      </c>
      <c r="J173" s="4" t="s">
        <v>2</v>
      </c>
    </row>
    <row r="174" spans="1:10" ht="32" outlineLevel="1" x14ac:dyDescent="0.2">
      <c r="A174" s="5" t="s">
        <v>21</v>
      </c>
      <c r="B174" t="s">
        <v>1178</v>
      </c>
      <c r="C174" s="5" t="s">
        <v>2018</v>
      </c>
      <c r="D174" s="5" t="s">
        <v>918</v>
      </c>
      <c r="E174" s="5"/>
      <c r="F174" s="5" t="s">
        <v>918</v>
      </c>
      <c r="G174" s="5" t="s">
        <v>21</v>
      </c>
      <c r="H174" s="5" t="s">
        <v>2</v>
      </c>
      <c r="I174" s="5" t="s">
        <v>2</v>
      </c>
      <c r="J174" s="5" t="s">
        <v>2</v>
      </c>
    </row>
    <row r="175" spans="1:10" ht="16" outlineLevel="2" x14ac:dyDescent="0.2">
      <c r="A175" s="5" t="s">
        <v>21</v>
      </c>
      <c r="B175" t="s">
        <v>1178</v>
      </c>
      <c r="C175" s="5" t="s">
        <v>2016</v>
      </c>
      <c r="D175" s="5" t="s">
        <v>2340</v>
      </c>
      <c r="E175" s="5"/>
      <c r="F175" s="5" t="s">
        <v>789</v>
      </c>
      <c r="G175" s="5" t="s">
        <v>15</v>
      </c>
      <c r="H175" s="5" t="s">
        <v>2</v>
      </c>
      <c r="I175" s="5" t="s">
        <v>2</v>
      </c>
      <c r="J175" s="5" t="s">
        <v>2</v>
      </c>
    </row>
    <row r="176" spans="1:10" ht="16" outlineLevel="3" collapsed="1" x14ac:dyDescent="0.2">
      <c r="A176" s="4" t="s">
        <v>21</v>
      </c>
      <c r="B176" s="4" t="s">
        <v>96</v>
      </c>
      <c r="C176" s="4" t="s">
        <v>99</v>
      </c>
      <c r="D176" s="4" t="s">
        <v>2</v>
      </c>
      <c r="E176" s="4"/>
      <c r="F176" s="4" t="s">
        <v>97</v>
      </c>
      <c r="G176" s="4" t="s">
        <v>15</v>
      </c>
      <c r="H176" s="4" t="s">
        <v>98</v>
      </c>
      <c r="I176" s="4" t="s">
        <v>2</v>
      </c>
      <c r="J176" s="4" t="s">
        <v>2</v>
      </c>
    </row>
    <row r="177" spans="1:10" ht="16" outlineLevel="3" collapsed="1" x14ac:dyDescent="0.2">
      <c r="A177" s="4" t="s">
        <v>21</v>
      </c>
      <c r="B177" s="4" t="s">
        <v>96</v>
      </c>
      <c r="C177" s="4" t="s">
        <v>101</v>
      </c>
      <c r="D177" s="4" t="s">
        <v>2</v>
      </c>
      <c r="E177" s="4"/>
      <c r="F177" s="4" t="s">
        <v>100</v>
      </c>
      <c r="G177" s="4" t="s">
        <v>15</v>
      </c>
      <c r="H177" s="4" t="s">
        <v>98</v>
      </c>
      <c r="I177" s="4" t="s">
        <v>2</v>
      </c>
      <c r="J177" s="4" t="s">
        <v>2</v>
      </c>
    </row>
    <row r="178" spans="1:10" ht="16" outlineLevel="2" collapsed="1" x14ac:dyDescent="0.2">
      <c r="A178" s="4" t="s">
        <v>21</v>
      </c>
      <c r="B178" s="4" t="s">
        <v>138</v>
      </c>
      <c r="C178" s="4" t="s">
        <v>1996</v>
      </c>
      <c r="D178" s="4" t="s">
        <v>2</v>
      </c>
      <c r="E178" s="4"/>
      <c r="F178" s="4" t="s">
        <v>919</v>
      </c>
      <c r="G178" s="4" t="s">
        <v>15</v>
      </c>
      <c r="H178" s="4">
        <v>1</v>
      </c>
      <c r="I178" s="4" t="s">
        <v>2</v>
      </c>
      <c r="J178" s="4" t="s">
        <v>2</v>
      </c>
    </row>
    <row r="179" spans="1:10" ht="16" outlineLevel="2" collapsed="1" x14ac:dyDescent="0.2">
      <c r="A179" s="4" t="s">
        <v>21</v>
      </c>
      <c r="B179" s="4" t="s">
        <v>138</v>
      </c>
      <c r="C179" s="4" t="s">
        <v>1997</v>
      </c>
      <c r="D179" s="4" t="s">
        <v>2</v>
      </c>
      <c r="E179" s="4"/>
      <c r="F179" s="4" t="s">
        <v>920</v>
      </c>
      <c r="G179" s="4" t="s">
        <v>15</v>
      </c>
      <c r="H179" s="4">
        <v>2</v>
      </c>
      <c r="I179" s="4" t="s">
        <v>2</v>
      </c>
      <c r="J179" s="4" t="s">
        <v>2</v>
      </c>
    </row>
    <row r="180" spans="1:10" ht="16" outlineLevel="2" collapsed="1" x14ac:dyDescent="0.2">
      <c r="A180" s="4" t="s">
        <v>21</v>
      </c>
      <c r="B180" s="4" t="s">
        <v>16</v>
      </c>
      <c r="C180" s="4" t="s">
        <v>1998</v>
      </c>
      <c r="D180" s="4" t="s">
        <v>2</v>
      </c>
      <c r="E180" s="4"/>
      <c r="F180" s="4" t="s">
        <v>921</v>
      </c>
      <c r="G180" s="4" t="s">
        <v>15</v>
      </c>
      <c r="H180" s="4" t="s">
        <v>921</v>
      </c>
      <c r="I180" s="4" t="s">
        <v>2</v>
      </c>
      <c r="J180" s="4" t="s">
        <v>2</v>
      </c>
    </row>
    <row r="181" spans="1:10" ht="16" outlineLevel="2" collapsed="1" x14ac:dyDescent="0.2">
      <c r="A181" s="4" t="s">
        <v>21</v>
      </c>
      <c r="B181" s="4" t="s">
        <v>16</v>
      </c>
      <c r="C181" s="4" t="s">
        <v>1999</v>
      </c>
      <c r="D181" s="4" t="s">
        <v>2</v>
      </c>
      <c r="E181" s="4"/>
      <c r="F181" s="4" t="s">
        <v>922</v>
      </c>
      <c r="G181" s="4" t="s">
        <v>15</v>
      </c>
      <c r="H181" s="4" t="s">
        <v>922</v>
      </c>
      <c r="I181" s="4" t="s">
        <v>2</v>
      </c>
      <c r="J181" s="4" t="s">
        <v>2</v>
      </c>
    </row>
    <row r="182" spans="1:10" ht="48" outlineLevel="1" x14ac:dyDescent="0.2">
      <c r="A182" s="5" t="s">
        <v>15</v>
      </c>
      <c r="B182" t="s">
        <v>1178</v>
      </c>
      <c r="C182" s="5" t="s">
        <v>2019</v>
      </c>
      <c r="D182" s="5" t="s">
        <v>923</v>
      </c>
      <c r="E182" s="5"/>
      <c r="F182" s="5" t="s">
        <v>923</v>
      </c>
      <c r="G182" s="5" t="s">
        <v>21</v>
      </c>
      <c r="H182" s="5" t="s">
        <v>2</v>
      </c>
      <c r="I182" s="5" t="s">
        <v>2</v>
      </c>
      <c r="J182" s="5" t="s">
        <v>2</v>
      </c>
    </row>
    <row r="183" spans="1:10" ht="16" outlineLevel="2" collapsed="1" x14ac:dyDescent="0.2">
      <c r="A183" s="4" t="s">
        <v>21</v>
      </c>
      <c r="B183" s="4" t="s">
        <v>16</v>
      </c>
      <c r="C183" s="4" t="s">
        <v>2000</v>
      </c>
      <c r="D183" s="4" t="s">
        <v>2</v>
      </c>
      <c r="E183" s="4"/>
      <c r="F183" s="4" t="s">
        <v>528</v>
      </c>
      <c r="G183" s="4" t="s">
        <v>15</v>
      </c>
      <c r="H183" s="4" t="s">
        <v>924</v>
      </c>
      <c r="I183" s="4" t="s">
        <v>2</v>
      </c>
      <c r="J183" s="4" t="s">
        <v>2</v>
      </c>
    </row>
    <row r="184" spans="1:10" ht="16" outlineLevel="2" collapsed="1" x14ac:dyDescent="0.2">
      <c r="A184" s="4" t="s">
        <v>21</v>
      </c>
      <c r="B184" s="4" t="s">
        <v>16</v>
      </c>
      <c r="C184" s="4" t="s">
        <v>2001</v>
      </c>
      <c r="D184" s="4" t="s">
        <v>2</v>
      </c>
      <c r="E184" s="4"/>
      <c r="F184" s="4" t="s">
        <v>529</v>
      </c>
      <c r="G184" s="4" t="s">
        <v>15</v>
      </c>
      <c r="H184" s="4" t="s">
        <v>925</v>
      </c>
      <c r="I184" s="4" t="s">
        <v>2</v>
      </c>
      <c r="J184" s="4" t="s">
        <v>2</v>
      </c>
    </row>
    <row r="185" spans="1:10" ht="16" outlineLevel="2" collapsed="1" x14ac:dyDescent="0.2">
      <c r="A185" s="4" t="s">
        <v>21</v>
      </c>
      <c r="B185" s="4" t="s">
        <v>16</v>
      </c>
      <c r="C185" s="4" t="s">
        <v>963</v>
      </c>
      <c r="D185" s="4" t="s">
        <v>2</v>
      </c>
      <c r="E185" s="4"/>
      <c r="F185" s="4" t="s">
        <v>183</v>
      </c>
      <c r="G185" s="4" t="s">
        <v>15</v>
      </c>
      <c r="H185" s="4" t="s">
        <v>926</v>
      </c>
      <c r="I185" s="4" t="s">
        <v>2</v>
      </c>
      <c r="J185" s="4" t="s">
        <v>2</v>
      </c>
    </row>
    <row r="186" spans="1:10" ht="16" outlineLevel="2" collapsed="1" x14ac:dyDescent="0.2">
      <c r="A186" s="4" t="s">
        <v>21</v>
      </c>
      <c r="B186" s="4" t="s">
        <v>16</v>
      </c>
      <c r="C186" s="4" t="s">
        <v>2002</v>
      </c>
      <c r="D186" s="4" t="s">
        <v>2</v>
      </c>
      <c r="E186" s="4"/>
      <c r="F186" s="4" t="s">
        <v>807</v>
      </c>
      <c r="G186" s="4" t="s">
        <v>15</v>
      </c>
      <c r="H186" s="4" t="s">
        <v>927</v>
      </c>
      <c r="I186" s="4" t="s">
        <v>2</v>
      </c>
      <c r="J186" s="4" t="s">
        <v>2</v>
      </c>
    </row>
    <row r="187" spans="1:10" ht="32" outlineLevel="1" x14ac:dyDescent="0.2">
      <c r="A187" s="5" t="s">
        <v>15</v>
      </c>
      <c r="B187" t="s">
        <v>1178</v>
      </c>
      <c r="C187" s="5" t="s">
        <v>2020</v>
      </c>
      <c r="D187" s="5" t="s">
        <v>2341</v>
      </c>
      <c r="E187" s="5"/>
      <c r="F187" s="5" t="s">
        <v>540</v>
      </c>
      <c r="G187" s="5" t="s">
        <v>21</v>
      </c>
      <c r="H187" s="5" t="s">
        <v>2</v>
      </c>
      <c r="I187" s="5" t="s">
        <v>2</v>
      </c>
      <c r="J187" s="5" t="s">
        <v>2</v>
      </c>
    </row>
    <row r="188" spans="1:10" ht="16" outlineLevel="2" collapsed="1" x14ac:dyDescent="0.2">
      <c r="A188" s="4" t="s">
        <v>15</v>
      </c>
      <c r="B188" s="4" t="s">
        <v>16</v>
      </c>
      <c r="C188" s="4" t="s">
        <v>2003</v>
      </c>
      <c r="D188" s="4" t="s">
        <v>2</v>
      </c>
      <c r="E188" s="4"/>
      <c r="F188" s="4" t="s">
        <v>809</v>
      </c>
      <c r="G188" s="4" t="s">
        <v>15</v>
      </c>
      <c r="H188" s="4" t="s">
        <v>809</v>
      </c>
      <c r="I188" s="4" t="s">
        <v>2</v>
      </c>
      <c r="J188" s="4" t="s">
        <v>2</v>
      </c>
    </row>
    <row r="189" spans="1:10" ht="16" outlineLevel="2" collapsed="1" x14ac:dyDescent="0.2">
      <c r="A189" s="4" t="s">
        <v>15</v>
      </c>
      <c r="B189" s="4" t="s">
        <v>16</v>
      </c>
      <c r="C189" s="4" t="s">
        <v>2004</v>
      </c>
      <c r="D189" s="4" t="s">
        <v>2</v>
      </c>
      <c r="E189" s="4"/>
      <c r="F189" s="4" t="s">
        <v>810</v>
      </c>
      <c r="G189" s="4" t="s">
        <v>15</v>
      </c>
      <c r="H189" s="4" t="s">
        <v>810</v>
      </c>
      <c r="I189" s="4" t="s">
        <v>2</v>
      </c>
      <c r="J189" s="4" t="s">
        <v>2</v>
      </c>
    </row>
    <row r="190" spans="1:10" ht="25" outlineLevel="1" collapsed="1" x14ac:dyDescent="0.3">
      <c r="A190" s="4" t="s">
        <v>15</v>
      </c>
      <c r="B190" s="4" t="s">
        <v>25</v>
      </c>
      <c r="C190" s="4"/>
      <c r="D190" s="6" t="s">
        <v>365</v>
      </c>
      <c r="E190" s="4"/>
      <c r="F190" s="7" t="s">
        <v>811</v>
      </c>
      <c r="G190" s="4" t="s">
        <v>15</v>
      </c>
      <c r="H190" s="4" t="s">
        <v>2</v>
      </c>
      <c r="I190" s="4" t="s">
        <v>2</v>
      </c>
      <c r="J190" s="4" t="s">
        <v>2</v>
      </c>
    </row>
    <row r="191" spans="1:10" ht="16" outlineLevel="1" collapsed="1" x14ac:dyDescent="0.2">
      <c r="A191" s="4" t="s">
        <v>21</v>
      </c>
      <c r="B191" s="4" t="s">
        <v>96</v>
      </c>
      <c r="C191" s="4" t="s">
        <v>2005</v>
      </c>
      <c r="D191" s="4" t="s">
        <v>2</v>
      </c>
      <c r="E191" s="4"/>
      <c r="F191" s="4" t="s">
        <v>546</v>
      </c>
      <c r="G191" s="4" t="s">
        <v>15</v>
      </c>
      <c r="H191" s="4" t="s">
        <v>98</v>
      </c>
      <c r="I191" s="4" t="s">
        <v>2</v>
      </c>
      <c r="J191" s="4" t="s">
        <v>2</v>
      </c>
    </row>
    <row r="192" spans="1:10" ht="16" outlineLevel="1" collapsed="1" x14ac:dyDescent="0.2">
      <c r="A192" s="4" t="s">
        <v>21</v>
      </c>
      <c r="B192" s="4" t="s">
        <v>96</v>
      </c>
      <c r="C192" s="4" t="s">
        <v>2006</v>
      </c>
      <c r="D192" s="4" t="s">
        <v>2</v>
      </c>
      <c r="E192" s="4"/>
      <c r="F192" s="4" t="s">
        <v>547</v>
      </c>
      <c r="G192" s="4" t="s">
        <v>15</v>
      </c>
      <c r="H192" s="4" t="s">
        <v>98</v>
      </c>
      <c r="I192" s="4" t="s">
        <v>2</v>
      </c>
      <c r="J192" s="4" t="s">
        <v>2</v>
      </c>
    </row>
  </sheetData>
  <dataValidations count="1">
    <dataValidation type="list" allowBlank="1" sqref="H20:J20 H44:J44 H7:J7" xr:uid="{00000000-0002-0000-0400-000000000000}">
      <formula1>#REF!</formula1>
    </dataValidation>
  </dataValidation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163"/>
  <sheetViews>
    <sheetView topLeftCell="A148" workbookViewId="0">
      <selection activeCell="C159" sqref="C159"/>
    </sheetView>
  </sheetViews>
  <sheetFormatPr baseColWidth="10" defaultColWidth="8.83203125" defaultRowHeight="15" outlineLevelRow="4" x14ac:dyDescent="0.2"/>
  <cols>
    <col min="1" max="1" width="16.83203125" customWidth="1"/>
    <col min="2" max="2" width="22.5" customWidth="1"/>
    <col min="3" max="3" width="35.1640625" customWidth="1"/>
    <col min="4" max="4" width="29.1640625" bestFit="1" customWidth="1"/>
    <col min="5" max="5" width="20" customWidth="1"/>
    <col min="6" max="6" width="35.5" customWidth="1"/>
    <col min="7" max="7" width="30" customWidth="1"/>
    <col min="8" max="10" width="50" customWidth="1"/>
  </cols>
  <sheetData>
    <row r="1" spans="1:10" ht="19" x14ac:dyDescent="0.25">
      <c r="A1" s="40" t="s">
        <v>1740</v>
      </c>
      <c r="B1" s="40"/>
      <c r="C1" s="40"/>
      <c r="D1" s="40"/>
      <c r="E1" s="40"/>
      <c r="F1" s="40"/>
      <c r="G1" s="40"/>
      <c r="H1" s="40"/>
      <c r="I1" s="40"/>
      <c r="J1" s="40"/>
    </row>
    <row r="2" spans="1:10" ht="19" x14ac:dyDescent="0.25">
      <c r="A2" s="1" t="s">
        <v>1</v>
      </c>
      <c r="B2" s="41" t="s">
        <v>2</v>
      </c>
      <c r="C2" s="41"/>
      <c r="D2" s="41"/>
      <c r="E2" s="41"/>
      <c r="F2" s="41"/>
      <c r="G2" s="41"/>
      <c r="H2" s="41"/>
      <c r="I2" s="41"/>
      <c r="J2" s="41"/>
    </row>
    <row r="3" spans="1:10" ht="19" x14ac:dyDescent="0.25">
      <c r="A3" s="1" t="s">
        <v>3</v>
      </c>
      <c r="B3" s="41" t="s">
        <v>4</v>
      </c>
      <c r="C3" s="41"/>
      <c r="D3" s="41"/>
      <c r="E3" s="41"/>
      <c r="F3" s="41"/>
      <c r="G3" s="41"/>
      <c r="H3" s="41"/>
      <c r="I3" s="41"/>
      <c r="J3" s="41"/>
    </row>
    <row r="4" spans="1:10" ht="19" x14ac:dyDescent="0.25">
      <c r="A4" s="2" t="s">
        <v>5</v>
      </c>
      <c r="B4" s="2" t="s">
        <v>6</v>
      </c>
      <c r="C4" s="2" t="s">
        <v>14</v>
      </c>
      <c r="D4" s="2" t="s">
        <v>7</v>
      </c>
      <c r="E4" s="2" t="s">
        <v>8</v>
      </c>
      <c r="F4" s="2" t="s">
        <v>1</v>
      </c>
      <c r="G4" s="2" t="s">
        <v>10</v>
      </c>
      <c r="H4" s="2" t="s">
        <v>11</v>
      </c>
      <c r="I4" s="2" t="s">
        <v>12</v>
      </c>
      <c r="J4" s="2" t="s">
        <v>13</v>
      </c>
    </row>
    <row r="5" spans="1:10" ht="16" x14ac:dyDescent="0.2">
      <c r="A5" s="3" t="s">
        <v>21</v>
      </c>
      <c r="B5" s="3" t="s">
        <v>16</v>
      </c>
      <c r="C5" s="3" t="s">
        <v>79</v>
      </c>
      <c r="D5" s="3" t="s">
        <v>2</v>
      </c>
      <c r="E5" s="3"/>
      <c r="F5" s="3" t="s">
        <v>78</v>
      </c>
      <c r="G5" s="3" t="s">
        <v>15</v>
      </c>
      <c r="H5" s="3" t="s">
        <v>19</v>
      </c>
      <c r="I5" s="3" t="s">
        <v>2</v>
      </c>
      <c r="J5" s="3" t="s">
        <v>2</v>
      </c>
    </row>
    <row r="6" spans="1:10" ht="16" x14ac:dyDescent="0.2">
      <c r="A6" s="3" t="s">
        <v>21</v>
      </c>
      <c r="B6" s="3" t="s">
        <v>16</v>
      </c>
      <c r="C6" s="3" t="s">
        <v>84</v>
      </c>
      <c r="D6" s="3" t="s">
        <v>2</v>
      </c>
      <c r="E6" s="3"/>
      <c r="F6" s="3" t="s">
        <v>1177</v>
      </c>
      <c r="G6" s="3" t="s">
        <v>15</v>
      </c>
      <c r="H6" s="3" t="s">
        <v>19</v>
      </c>
      <c r="I6" s="3" t="s">
        <v>2</v>
      </c>
      <c r="J6" s="3" t="s">
        <v>2</v>
      </c>
    </row>
    <row r="7" spans="1:10" ht="16" x14ac:dyDescent="0.2">
      <c r="A7" s="3" t="s">
        <v>15</v>
      </c>
      <c r="B7" t="s">
        <v>1178</v>
      </c>
      <c r="C7" s="3" t="s">
        <v>1745</v>
      </c>
      <c r="D7" s="3" t="s">
        <v>1746</v>
      </c>
      <c r="E7" s="3"/>
      <c r="F7" s="67" t="s">
        <v>1746</v>
      </c>
      <c r="G7" s="3" t="s">
        <v>21</v>
      </c>
      <c r="H7" s="3" t="s">
        <v>2</v>
      </c>
      <c r="I7" s="3" t="s">
        <v>2</v>
      </c>
      <c r="J7" s="3" t="s">
        <v>2</v>
      </c>
    </row>
    <row r="8" spans="1:10" ht="16" outlineLevel="1" x14ac:dyDescent="0.2">
      <c r="A8" s="5" t="s">
        <v>15</v>
      </c>
      <c r="B8" s="5" t="s">
        <v>1178</v>
      </c>
      <c r="C8" s="5" t="s">
        <v>1747</v>
      </c>
      <c r="D8" s="5" t="s">
        <v>1741</v>
      </c>
      <c r="E8" s="5" t="s">
        <v>17</v>
      </c>
      <c r="F8" s="5" t="s">
        <v>1741</v>
      </c>
      <c r="G8" s="5" t="s">
        <v>21</v>
      </c>
      <c r="H8" s="5" t="s">
        <v>2</v>
      </c>
      <c r="I8" s="5" t="s">
        <v>2</v>
      </c>
      <c r="J8" s="5" t="s">
        <v>2</v>
      </c>
    </row>
    <row r="9" spans="1:10" ht="16" outlineLevel="2" x14ac:dyDescent="0.2">
      <c r="A9" s="4" t="s">
        <v>15</v>
      </c>
      <c r="B9" s="4" t="s">
        <v>1178</v>
      </c>
      <c r="C9" s="4" t="s">
        <v>2279</v>
      </c>
      <c r="D9" s="4" t="s">
        <v>2285</v>
      </c>
      <c r="E9" s="4" t="s">
        <v>17</v>
      </c>
      <c r="F9" s="4" t="s">
        <v>1929</v>
      </c>
      <c r="G9" s="4" t="s">
        <v>15</v>
      </c>
      <c r="H9" s="4"/>
      <c r="I9" s="4"/>
      <c r="J9" s="4"/>
    </row>
    <row r="10" spans="1:10" ht="16" outlineLevel="3" x14ac:dyDescent="0.2">
      <c r="A10" s="4" t="s">
        <v>15</v>
      </c>
      <c r="B10" s="4" t="s">
        <v>1178</v>
      </c>
      <c r="C10" s="4" t="s">
        <v>1751</v>
      </c>
      <c r="D10" s="4" t="s">
        <v>1748</v>
      </c>
      <c r="E10" s="4" t="s">
        <v>17</v>
      </c>
      <c r="F10" s="4" t="s">
        <v>1748</v>
      </c>
      <c r="G10" s="4" t="s">
        <v>21</v>
      </c>
      <c r="H10" s="4">
        <v>1</v>
      </c>
      <c r="I10" s="4" t="s">
        <v>2</v>
      </c>
      <c r="J10" s="4" t="s">
        <v>2</v>
      </c>
    </row>
    <row r="11" spans="1:10" ht="16" outlineLevel="4" collapsed="1" x14ac:dyDescent="0.2">
      <c r="A11" s="4" t="s">
        <v>15</v>
      </c>
      <c r="B11" s="4" t="s">
        <v>138</v>
      </c>
      <c r="C11" s="4" t="s">
        <v>1752</v>
      </c>
      <c r="D11" s="4" t="s">
        <v>1303</v>
      </c>
      <c r="E11" s="4" t="s">
        <v>17</v>
      </c>
      <c r="F11" s="4" t="s">
        <v>1303</v>
      </c>
      <c r="G11" s="4" t="s">
        <v>15</v>
      </c>
      <c r="H11" s="4" t="s">
        <v>19</v>
      </c>
      <c r="I11" s="4" t="s">
        <v>2</v>
      </c>
      <c r="J11" s="4" t="s">
        <v>2</v>
      </c>
    </row>
    <row r="12" spans="1:10" ht="16" outlineLevel="4" x14ac:dyDescent="0.2">
      <c r="A12" s="4" t="s">
        <v>15</v>
      </c>
      <c r="B12" s="4" t="s">
        <v>138</v>
      </c>
      <c r="C12" s="4" t="s">
        <v>1753</v>
      </c>
      <c r="D12" s="4" t="s">
        <v>1749</v>
      </c>
      <c r="E12" s="4" t="s">
        <v>17</v>
      </c>
      <c r="F12" s="4" t="s">
        <v>1750</v>
      </c>
      <c r="G12" s="4" t="s">
        <v>15</v>
      </c>
      <c r="H12" s="4" t="s">
        <v>19</v>
      </c>
      <c r="I12" s="4" t="s">
        <v>2</v>
      </c>
      <c r="J12" s="4" t="s">
        <v>2</v>
      </c>
    </row>
    <row r="13" spans="1:10" ht="16" outlineLevel="2" x14ac:dyDescent="0.2">
      <c r="A13" s="4" t="s">
        <v>15</v>
      </c>
      <c r="B13" s="4" t="s">
        <v>1178</v>
      </c>
      <c r="C13" s="4" t="s">
        <v>1928</v>
      </c>
      <c r="D13" s="4" t="s">
        <v>1927</v>
      </c>
      <c r="E13" s="4" t="s">
        <v>17</v>
      </c>
      <c r="F13" s="4" t="s">
        <v>1927</v>
      </c>
      <c r="G13" s="4" t="s">
        <v>15</v>
      </c>
      <c r="H13" s="4"/>
      <c r="I13" s="4"/>
      <c r="J13" s="4"/>
    </row>
    <row r="14" spans="1:10" ht="32" outlineLevel="3" x14ac:dyDescent="0.2">
      <c r="A14" s="4" t="s">
        <v>15</v>
      </c>
      <c r="B14" s="4" t="s">
        <v>1178</v>
      </c>
      <c r="C14" s="4" t="s">
        <v>1756</v>
      </c>
      <c r="D14" s="4" t="s">
        <v>1898</v>
      </c>
      <c r="E14" s="4" t="s">
        <v>17</v>
      </c>
      <c r="F14" s="4" t="s">
        <v>1898</v>
      </c>
      <c r="G14" s="4" t="s">
        <v>21</v>
      </c>
      <c r="H14" s="4"/>
      <c r="I14" s="4"/>
      <c r="J14" s="4"/>
    </row>
    <row r="15" spans="1:10" ht="16" outlineLevel="4" x14ac:dyDescent="0.2">
      <c r="A15" s="4" t="s">
        <v>15</v>
      </c>
      <c r="B15" s="4" t="s">
        <v>138</v>
      </c>
      <c r="C15" s="4" t="s">
        <v>1754</v>
      </c>
      <c r="D15" s="4" t="s">
        <v>1303</v>
      </c>
      <c r="E15" s="4" t="s">
        <v>17</v>
      </c>
      <c r="F15" s="4"/>
      <c r="G15" s="4" t="s">
        <v>15</v>
      </c>
      <c r="H15" s="4"/>
      <c r="I15" s="4"/>
      <c r="J15" s="4"/>
    </row>
    <row r="16" spans="1:10" ht="18" outlineLevel="4" x14ac:dyDescent="0.25">
      <c r="A16" s="4" t="s">
        <v>15</v>
      </c>
      <c r="B16" s="4" t="s">
        <v>138</v>
      </c>
      <c r="C16" s="4" t="s">
        <v>1755</v>
      </c>
      <c r="D16" s="4" t="s">
        <v>1909</v>
      </c>
      <c r="E16" s="4" t="s">
        <v>17</v>
      </c>
      <c r="F16" s="4" t="s">
        <v>1917</v>
      </c>
      <c r="G16" s="4" t="s">
        <v>15</v>
      </c>
      <c r="H16" s="4"/>
      <c r="I16" s="4"/>
      <c r="J16" s="4"/>
    </row>
    <row r="17" spans="1:10" ht="18" outlineLevel="4" x14ac:dyDescent="0.25">
      <c r="A17" s="4" t="s">
        <v>15</v>
      </c>
      <c r="B17" s="4" t="s">
        <v>138</v>
      </c>
      <c r="C17" s="4" t="s">
        <v>1766</v>
      </c>
      <c r="D17" s="4" t="s">
        <v>1910</v>
      </c>
      <c r="E17" s="4" t="s">
        <v>17</v>
      </c>
      <c r="F17" s="4" t="s">
        <v>1918</v>
      </c>
      <c r="G17" s="4" t="s">
        <v>15</v>
      </c>
      <c r="H17" s="4"/>
      <c r="I17" s="4"/>
      <c r="J17" s="4"/>
    </row>
    <row r="18" spans="1:10" ht="18" outlineLevel="4" x14ac:dyDescent="0.25">
      <c r="A18" s="4" t="s">
        <v>15</v>
      </c>
      <c r="B18" s="4" t="s">
        <v>138</v>
      </c>
      <c r="C18" s="4" t="s">
        <v>1767</v>
      </c>
      <c r="D18" s="4" t="s">
        <v>1911</v>
      </c>
      <c r="E18" s="4" t="s">
        <v>17</v>
      </c>
      <c r="F18" s="4" t="s">
        <v>1919</v>
      </c>
      <c r="G18" s="4" t="s">
        <v>15</v>
      </c>
      <c r="H18" s="4"/>
      <c r="I18" s="4"/>
      <c r="J18" s="4"/>
    </row>
    <row r="19" spans="1:10" ht="64" outlineLevel="3" x14ac:dyDescent="0.2">
      <c r="A19" s="4" t="s">
        <v>15</v>
      </c>
      <c r="B19" s="4" t="s">
        <v>1178</v>
      </c>
      <c r="C19" s="4" t="s">
        <v>1757</v>
      </c>
      <c r="D19" s="4" t="s">
        <v>1926</v>
      </c>
      <c r="E19" s="4" t="s">
        <v>17</v>
      </c>
      <c r="F19" s="4" t="s">
        <v>1926</v>
      </c>
      <c r="G19" s="4" t="s">
        <v>21</v>
      </c>
      <c r="H19" s="4"/>
      <c r="I19" s="4"/>
      <c r="J19" s="4"/>
    </row>
    <row r="20" spans="1:10" ht="18" customHeight="1" outlineLevel="4" x14ac:dyDescent="0.2">
      <c r="A20" s="4" t="s">
        <v>15</v>
      </c>
      <c r="B20" s="4" t="s">
        <v>138</v>
      </c>
      <c r="C20" s="4" t="s">
        <v>1758</v>
      </c>
      <c r="D20" s="4" t="s">
        <v>1303</v>
      </c>
      <c r="E20" s="4" t="s">
        <v>17</v>
      </c>
      <c r="F20" s="4"/>
      <c r="G20" s="4" t="s">
        <v>15</v>
      </c>
      <c r="H20" s="4"/>
      <c r="I20" s="4"/>
      <c r="J20" s="4"/>
    </row>
    <row r="21" spans="1:10" ht="18" customHeight="1" outlineLevel="4" x14ac:dyDescent="0.2">
      <c r="A21" s="4" t="s">
        <v>15</v>
      </c>
      <c r="B21" s="4" t="s">
        <v>16</v>
      </c>
      <c r="C21" s="4" t="s">
        <v>1759</v>
      </c>
      <c r="D21" s="4" t="s">
        <v>1724</v>
      </c>
      <c r="E21" s="4" t="s">
        <v>17</v>
      </c>
      <c r="F21" s="4"/>
      <c r="G21" s="4" t="s">
        <v>15</v>
      </c>
      <c r="H21" s="4"/>
      <c r="I21" s="4"/>
      <c r="J21" s="4"/>
    </row>
    <row r="22" spans="1:10" ht="18" customHeight="1" outlineLevel="4" x14ac:dyDescent="0.2">
      <c r="A22" s="4" t="s">
        <v>15</v>
      </c>
      <c r="B22" s="4" t="s">
        <v>16</v>
      </c>
      <c r="C22" s="4" t="s">
        <v>1760</v>
      </c>
      <c r="D22" s="4" t="s">
        <v>1912</v>
      </c>
      <c r="E22" s="4" t="s">
        <v>17</v>
      </c>
      <c r="F22" s="4"/>
      <c r="G22" s="4" t="s">
        <v>15</v>
      </c>
      <c r="H22" s="4"/>
      <c r="I22" s="4"/>
      <c r="J22" s="4"/>
    </row>
    <row r="23" spans="1:10" ht="18" customHeight="1" outlineLevel="4" x14ac:dyDescent="0.2">
      <c r="A23" s="4" t="s">
        <v>15</v>
      </c>
      <c r="B23" s="4" t="s">
        <v>16</v>
      </c>
      <c r="C23" s="4" t="s">
        <v>1761</v>
      </c>
      <c r="D23" s="4" t="s">
        <v>1725</v>
      </c>
      <c r="E23" s="4" t="s">
        <v>17</v>
      </c>
      <c r="F23" s="4"/>
      <c r="G23" s="4" t="s">
        <v>15</v>
      </c>
      <c r="H23" s="4"/>
      <c r="I23" s="4"/>
      <c r="J23" s="4"/>
    </row>
    <row r="24" spans="1:10" ht="18" customHeight="1" outlineLevel="4" x14ac:dyDescent="0.25">
      <c r="A24" s="4" t="s">
        <v>15</v>
      </c>
      <c r="B24" s="51" t="s">
        <v>138</v>
      </c>
      <c r="C24" s="4" t="s">
        <v>1762</v>
      </c>
      <c r="D24" s="4" t="s">
        <v>1913</v>
      </c>
      <c r="E24" s="4" t="s">
        <v>17</v>
      </c>
      <c r="F24" s="4"/>
      <c r="G24" s="4" t="s">
        <v>15</v>
      </c>
      <c r="H24" s="4"/>
      <c r="I24" s="4"/>
      <c r="J24" s="4"/>
    </row>
    <row r="25" spans="1:10" ht="18" customHeight="1" outlineLevel="4" x14ac:dyDescent="0.25">
      <c r="A25" s="4" t="s">
        <v>15</v>
      </c>
      <c r="B25" s="51" t="s">
        <v>138</v>
      </c>
      <c r="C25" s="4" t="s">
        <v>1763</v>
      </c>
      <c r="D25" s="4" t="s">
        <v>1914</v>
      </c>
      <c r="E25" s="4" t="s">
        <v>17</v>
      </c>
      <c r="F25" s="4"/>
      <c r="G25" s="4" t="s">
        <v>15</v>
      </c>
      <c r="H25" s="4"/>
      <c r="I25" s="4"/>
      <c r="J25" s="4"/>
    </row>
    <row r="26" spans="1:10" ht="20" customHeight="1" outlineLevel="4" x14ac:dyDescent="0.25">
      <c r="A26" s="4" t="s">
        <v>15</v>
      </c>
      <c r="B26" s="51" t="s">
        <v>138</v>
      </c>
      <c r="C26" s="4" t="s">
        <v>1764</v>
      </c>
      <c r="D26" s="4" t="s">
        <v>1915</v>
      </c>
      <c r="E26" s="4" t="s">
        <v>17</v>
      </c>
      <c r="F26" s="4"/>
      <c r="G26" s="4" t="s">
        <v>15</v>
      </c>
      <c r="H26" s="4"/>
      <c r="I26" s="4"/>
      <c r="J26" s="4"/>
    </row>
    <row r="27" spans="1:10" ht="18" outlineLevel="4" collapsed="1" x14ac:dyDescent="0.25">
      <c r="A27" s="4" t="s">
        <v>15</v>
      </c>
      <c r="B27" s="51" t="s">
        <v>138</v>
      </c>
      <c r="C27" s="4" t="s">
        <v>1765</v>
      </c>
      <c r="D27" s="4" t="s">
        <v>1909</v>
      </c>
      <c r="E27" s="4" t="s">
        <v>17</v>
      </c>
      <c r="F27" s="4"/>
      <c r="G27" s="4" t="s">
        <v>15</v>
      </c>
      <c r="H27" s="4"/>
      <c r="I27" s="4"/>
      <c r="J27" s="4"/>
    </row>
    <row r="28" spans="1:10" ht="48" outlineLevel="3" x14ac:dyDescent="0.2">
      <c r="A28" s="4" t="s">
        <v>15</v>
      </c>
      <c r="B28" s="35" t="s">
        <v>1178</v>
      </c>
      <c r="C28" s="4" t="s">
        <v>1768</v>
      </c>
      <c r="D28" s="4" t="s">
        <v>1916</v>
      </c>
      <c r="E28" s="4" t="s">
        <v>17</v>
      </c>
      <c r="F28" s="4" t="s">
        <v>1916</v>
      </c>
      <c r="G28" s="4" t="s">
        <v>21</v>
      </c>
    </row>
    <row r="29" spans="1:10" ht="16" outlineLevel="4" x14ac:dyDescent="0.2">
      <c r="A29" s="4" t="s">
        <v>15</v>
      </c>
      <c r="B29" s="51" t="s">
        <v>138</v>
      </c>
      <c r="C29" s="4" t="s">
        <v>1769</v>
      </c>
      <c r="D29" s="4" t="s">
        <v>1303</v>
      </c>
      <c r="E29" s="4" t="s">
        <v>17</v>
      </c>
      <c r="F29" s="4"/>
      <c r="G29" s="4" t="s">
        <v>15</v>
      </c>
    </row>
    <row r="30" spans="1:10" ht="16" outlineLevel="4" x14ac:dyDescent="0.2">
      <c r="A30" s="4" t="s">
        <v>15</v>
      </c>
      <c r="B30" s="51" t="s">
        <v>138</v>
      </c>
      <c r="C30" s="4" t="s">
        <v>1770</v>
      </c>
      <c r="D30" s="4"/>
      <c r="E30" s="4" t="s">
        <v>17</v>
      </c>
      <c r="F30" s="4"/>
      <c r="G30" s="4" t="s">
        <v>15</v>
      </c>
    </row>
    <row r="31" spans="1:10" ht="16" outlineLevel="4" x14ac:dyDescent="0.2">
      <c r="A31" s="4" t="s">
        <v>15</v>
      </c>
      <c r="B31" s="51" t="s">
        <v>138</v>
      </c>
      <c r="C31" s="4" t="s">
        <v>1771</v>
      </c>
      <c r="D31" s="4"/>
      <c r="E31" s="4" t="s">
        <v>17</v>
      </c>
      <c r="F31" s="4"/>
      <c r="G31" s="4" t="s">
        <v>15</v>
      </c>
    </row>
    <row r="32" spans="1:10" ht="16" outlineLevel="4" x14ac:dyDescent="0.2">
      <c r="A32" s="4" t="s">
        <v>15</v>
      </c>
      <c r="B32" s="51" t="s">
        <v>138</v>
      </c>
      <c r="C32" s="4" t="s">
        <v>1772</v>
      </c>
      <c r="D32" s="4"/>
      <c r="E32" s="4" t="s">
        <v>17</v>
      </c>
      <c r="F32" s="4"/>
      <c r="G32" s="4" t="s">
        <v>15</v>
      </c>
    </row>
    <row r="33" spans="1:7" ht="16" outlineLevel="4" x14ac:dyDescent="0.2">
      <c r="A33" s="4" t="s">
        <v>15</v>
      </c>
      <c r="B33" s="51" t="s">
        <v>138</v>
      </c>
      <c r="C33" s="4" t="s">
        <v>1773</v>
      </c>
      <c r="D33" s="4"/>
      <c r="E33" s="4" t="s">
        <v>17</v>
      </c>
      <c r="F33" s="4"/>
      <c r="G33" s="4" t="s">
        <v>15</v>
      </c>
    </row>
    <row r="34" spans="1:7" ht="16" outlineLevel="4" x14ac:dyDescent="0.2">
      <c r="A34" s="4" t="s">
        <v>15</v>
      </c>
      <c r="B34" s="51" t="s">
        <v>138</v>
      </c>
      <c r="C34" s="4" t="s">
        <v>1774</v>
      </c>
      <c r="D34" s="4"/>
      <c r="E34" s="4" t="s">
        <v>17</v>
      </c>
      <c r="F34" s="4"/>
      <c r="G34" s="4" t="s">
        <v>15</v>
      </c>
    </row>
    <row r="35" spans="1:7" ht="16" outlineLevel="4" x14ac:dyDescent="0.2">
      <c r="A35" s="4" t="s">
        <v>15</v>
      </c>
      <c r="B35" s="51" t="s">
        <v>138</v>
      </c>
      <c r="C35" s="4" t="s">
        <v>1775</v>
      </c>
      <c r="D35" s="4"/>
      <c r="E35" s="4" t="s">
        <v>17</v>
      </c>
      <c r="F35" s="4"/>
      <c r="G35" s="4" t="s">
        <v>15</v>
      </c>
    </row>
    <row r="36" spans="1:7" ht="64" outlineLevel="3" x14ac:dyDescent="0.2">
      <c r="A36" s="4" t="s">
        <v>15</v>
      </c>
      <c r="B36" s="35" t="s">
        <v>1178</v>
      </c>
      <c r="C36" s="4" t="s">
        <v>1776</v>
      </c>
      <c r="D36" s="4" t="s">
        <v>1925</v>
      </c>
      <c r="E36" s="4" t="s">
        <v>17</v>
      </c>
      <c r="F36" s="4" t="s">
        <v>1925</v>
      </c>
      <c r="G36" s="4" t="s">
        <v>21</v>
      </c>
    </row>
    <row r="37" spans="1:7" ht="16" outlineLevel="4" x14ac:dyDescent="0.2">
      <c r="A37" s="4" t="s">
        <v>15</v>
      </c>
      <c r="B37" s="51" t="s">
        <v>138</v>
      </c>
      <c r="C37" s="4" t="s">
        <v>1777</v>
      </c>
      <c r="D37" s="4" t="s">
        <v>1303</v>
      </c>
      <c r="E37" s="4" t="s">
        <v>17</v>
      </c>
      <c r="F37" s="4"/>
      <c r="G37" s="4" t="s">
        <v>15</v>
      </c>
    </row>
    <row r="38" spans="1:7" ht="16" outlineLevel="4" x14ac:dyDescent="0.2">
      <c r="A38" s="4" t="s">
        <v>15</v>
      </c>
      <c r="B38" s="51" t="s">
        <v>138</v>
      </c>
      <c r="C38" s="4" t="s">
        <v>1778</v>
      </c>
      <c r="D38" s="4"/>
      <c r="E38" s="4" t="s">
        <v>17</v>
      </c>
      <c r="F38" s="4"/>
      <c r="G38" s="4" t="s">
        <v>15</v>
      </c>
    </row>
    <row r="39" spans="1:7" ht="16" outlineLevel="4" x14ac:dyDescent="0.2">
      <c r="A39" s="4" t="s">
        <v>15</v>
      </c>
      <c r="B39" s="51" t="s">
        <v>138</v>
      </c>
      <c r="C39" s="4" t="s">
        <v>1779</v>
      </c>
      <c r="D39" s="4"/>
      <c r="E39" s="4" t="s">
        <v>17</v>
      </c>
      <c r="F39" s="4"/>
      <c r="G39" s="4" t="s">
        <v>15</v>
      </c>
    </row>
    <row r="40" spans="1:7" ht="16" outlineLevel="4" x14ac:dyDescent="0.2">
      <c r="A40" s="4" t="s">
        <v>15</v>
      </c>
      <c r="B40" s="51" t="s">
        <v>138</v>
      </c>
      <c r="C40" s="4" t="s">
        <v>1780</v>
      </c>
      <c r="D40" s="4"/>
      <c r="E40" s="4" t="s">
        <v>17</v>
      </c>
      <c r="F40" s="4"/>
      <c r="G40" s="4" t="s">
        <v>15</v>
      </c>
    </row>
    <row r="41" spans="1:7" ht="59" customHeight="1" outlineLevel="3" x14ac:dyDescent="0.2">
      <c r="A41" s="4" t="s">
        <v>15</v>
      </c>
      <c r="B41" s="35" t="s">
        <v>1178</v>
      </c>
      <c r="C41" s="4" t="s">
        <v>1781</v>
      </c>
      <c r="D41" s="4" t="s">
        <v>1924</v>
      </c>
      <c r="E41" s="4" t="s">
        <v>17</v>
      </c>
      <c r="F41" s="4" t="s">
        <v>1924</v>
      </c>
      <c r="G41" s="4" t="s">
        <v>21</v>
      </c>
    </row>
    <row r="42" spans="1:7" ht="16" outlineLevel="4" x14ac:dyDescent="0.2">
      <c r="A42" s="4" t="s">
        <v>15</v>
      </c>
      <c r="B42" s="51" t="s">
        <v>138</v>
      </c>
      <c r="C42" s="4" t="s">
        <v>1782</v>
      </c>
      <c r="D42" s="4" t="s">
        <v>1303</v>
      </c>
      <c r="E42" s="4" t="s">
        <v>17</v>
      </c>
      <c r="F42" s="4"/>
      <c r="G42" s="4" t="s">
        <v>15</v>
      </c>
    </row>
    <row r="43" spans="1:7" ht="16" outlineLevel="4" x14ac:dyDescent="0.2">
      <c r="A43" s="4" t="s">
        <v>15</v>
      </c>
      <c r="B43" s="51" t="s">
        <v>138</v>
      </c>
      <c r="C43" s="4" t="s">
        <v>1783</v>
      </c>
      <c r="D43" s="4"/>
      <c r="E43" s="4" t="s">
        <v>17</v>
      </c>
      <c r="F43" s="4"/>
      <c r="G43" s="4" t="s">
        <v>15</v>
      </c>
    </row>
    <row r="44" spans="1:7" ht="64" outlineLevel="3" x14ac:dyDescent="0.2">
      <c r="A44" s="4" t="s">
        <v>15</v>
      </c>
      <c r="B44" s="35" t="s">
        <v>1178</v>
      </c>
      <c r="C44" s="4" t="s">
        <v>1784</v>
      </c>
      <c r="D44" s="4" t="s">
        <v>1923</v>
      </c>
      <c r="E44" s="4" t="s">
        <v>17</v>
      </c>
      <c r="F44" s="4" t="s">
        <v>1923</v>
      </c>
      <c r="G44" s="4" t="s">
        <v>21</v>
      </c>
    </row>
    <row r="45" spans="1:7" ht="16" outlineLevel="4" x14ac:dyDescent="0.2">
      <c r="A45" s="4" t="s">
        <v>15</v>
      </c>
      <c r="B45" s="51" t="s">
        <v>138</v>
      </c>
      <c r="C45" s="4" t="s">
        <v>1785</v>
      </c>
      <c r="D45" s="4" t="s">
        <v>1303</v>
      </c>
      <c r="E45" s="4" t="s">
        <v>17</v>
      </c>
      <c r="F45" s="4"/>
      <c r="G45" s="4" t="s">
        <v>15</v>
      </c>
    </row>
    <row r="46" spans="1:7" ht="16" outlineLevel="4" x14ac:dyDescent="0.2">
      <c r="A46" s="4" t="s">
        <v>15</v>
      </c>
      <c r="B46" s="51" t="s">
        <v>138</v>
      </c>
      <c r="C46" s="4" t="s">
        <v>1786</v>
      </c>
      <c r="D46" s="4"/>
      <c r="E46" s="4" t="s">
        <v>17</v>
      </c>
      <c r="F46" s="4"/>
      <c r="G46" s="4" t="s">
        <v>15</v>
      </c>
    </row>
    <row r="47" spans="1:7" ht="16" outlineLevel="4" x14ac:dyDescent="0.2">
      <c r="A47" s="4" t="s">
        <v>15</v>
      </c>
      <c r="B47" s="51" t="s">
        <v>138</v>
      </c>
      <c r="C47" s="4" t="s">
        <v>1787</v>
      </c>
      <c r="D47" s="4"/>
      <c r="E47" s="4" t="s">
        <v>17</v>
      </c>
      <c r="F47" s="4"/>
      <c r="G47" s="4" t="s">
        <v>15</v>
      </c>
    </row>
    <row r="48" spans="1:7" ht="16" outlineLevel="4" x14ac:dyDescent="0.2">
      <c r="A48" s="4" t="s">
        <v>15</v>
      </c>
      <c r="B48" s="51" t="s">
        <v>138</v>
      </c>
      <c r="C48" s="4" t="s">
        <v>1788</v>
      </c>
      <c r="D48" s="4"/>
      <c r="E48" s="4" t="s">
        <v>17</v>
      </c>
      <c r="F48" s="4"/>
      <c r="G48" s="4" t="s">
        <v>15</v>
      </c>
    </row>
    <row r="49" spans="1:7" ht="32" outlineLevel="3" x14ac:dyDescent="0.2">
      <c r="A49" s="4" t="s">
        <v>15</v>
      </c>
      <c r="B49" s="35" t="s">
        <v>1178</v>
      </c>
      <c r="C49" s="4" t="s">
        <v>1789</v>
      </c>
      <c r="D49" s="4" t="s">
        <v>2299</v>
      </c>
      <c r="E49" s="4" t="s">
        <v>17</v>
      </c>
      <c r="F49" s="4" t="s">
        <v>2299</v>
      </c>
      <c r="G49" s="4" t="s">
        <v>21</v>
      </c>
    </row>
    <row r="50" spans="1:7" ht="16" outlineLevel="4" x14ac:dyDescent="0.2">
      <c r="A50" s="4" t="s">
        <v>15</v>
      </c>
      <c r="B50" s="51" t="s">
        <v>138</v>
      </c>
      <c r="C50" s="4" t="s">
        <v>1790</v>
      </c>
      <c r="D50" s="4" t="s">
        <v>1303</v>
      </c>
      <c r="E50" s="4" t="s">
        <v>17</v>
      </c>
      <c r="F50" s="4"/>
      <c r="G50" s="4" t="s">
        <v>15</v>
      </c>
    </row>
    <row r="51" spans="1:7" ht="16" outlineLevel="4" x14ac:dyDescent="0.2">
      <c r="A51" s="4" t="s">
        <v>15</v>
      </c>
      <c r="B51" s="51" t="s">
        <v>138</v>
      </c>
      <c r="C51" s="4" t="s">
        <v>1791</v>
      </c>
      <c r="D51" s="4"/>
      <c r="E51" s="4" t="s">
        <v>17</v>
      </c>
      <c r="F51" s="4"/>
      <c r="G51" s="4" t="s">
        <v>15</v>
      </c>
    </row>
    <row r="52" spans="1:7" ht="17" customHeight="1" outlineLevel="4" x14ac:dyDescent="0.2">
      <c r="A52" s="4" t="s">
        <v>15</v>
      </c>
      <c r="B52" s="51" t="s">
        <v>138</v>
      </c>
      <c r="C52" s="4" t="s">
        <v>1792</v>
      </c>
      <c r="D52" s="4"/>
      <c r="E52" s="4" t="s">
        <v>17</v>
      </c>
      <c r="F52" s="4"/>
      <c r="G52" s="4" t="s">
        <v>15</v>
      </c>
    </row>
    <row r="53" spans="1:7" ht="16" outlineLevel="4" x14ac:dyDescent="0.2">
      <c r="A53" s="4" t="s">
        <v>15</v>
      </c>
      <c r="B53" s="51" t="s">
        <v>138</v>
      </c>
      <c r="C53" s="4" t="s">
        <v>1793</v>
      </c>
      <c r="D53" s="4"/>
      <c r="E53" s="4" t="s">
        <v>17</v>
      </c>
      <c r="F53" s="4"/>
      <c r="G53" s="4" t="s">
        <v>15</v>
      </c>
    </row>
    <row r="54" spans="1:7" ht="48" outlineLevel="3" x14ac:dyDescent="0.2">
      <c r="A54" s="4" t="s">
        <v>15</v>
      </c>
      <c r="B54" s="35" t="s">
        <v>1178</v>
      </c>
      <c r="C54" s="4" t="s">
        <v>1794</v>
      </c>
      <c r="D54" s="4" t="s">
        <v>1904</v>
      </c>
      <c r="E54" s="4" t="s">
        <v>17</v>
      </c>
      <c r="F54" s="4" t="s">
        <v>1904</v>
      </c>
      <c r="G54" s="4" t="s">
        <v>21</v>
      </c>
    </row>
    <row r="55" spans="1:7" ht="16" outlineLevel="4" x14ac:dyDescent="0.2">
      <c r="A55" s="4" t="s">
        <v>15</v>
      </c>
      <c r="B55" s="51" t="s">
        <v>138</v>
      </c>
      <c r="C55" s="4" t="s">
        <v>1795</v>
      </c>
      <c r="D55" s="4" t="s">
        <v>1303</v>
      </c>
      <c r="E55" s="4" t="s">
        <v>17</v>
      </c>
      <c r="F55" s="4"/>
      <c r="G55" s="4" t="s">
        <v>15</v>
      </c>
    </row>
    <row r="56" spans="1:7" ht="16" outlineLevel="4" x14ac:dyDescent="0.2">
      <c r="A56" s="4" t="s">
        <v>15</v>
      </c>
      <c r="B56" s="51" t="s">
        <v>138</v>
      </c>
      <c r="C56" s="4" t="s">
        <v>1796</v>
      </c>
      <c r="D56" s="4"/>
      <c r="E56" s="4" t="s">
        <v>17</v>
      </c>
      <c r="F56" s="4"/>
      <c r="G56" s="4" t="s">
        <v>15</v>
      </c>
    </row>
    <row r="57" spans="1:7" ht="16" outlineLevel="4" x14ac:dyDescent="0.2">
      <c r="A57" s="4" t="s">
        <v>15</v>
      </c>
      <c r="B57" s="51" t="s">
        <v>138</v>
      </c>
      <c r="C57" s="4" t="s">
        <v>1797</v>
      </c>
      <c r="D57" s="4"/>
      <c r="E57" s="4" t="s">
        <v>17</v>
      </c>
      <c r="F57" s="4"/>
      <c r="G57" s="4" t="s">
        <v>15</v>
      </c>
    </row>
    <row r="58" spans="1:7" ht="16" outlineLevel="4" x14ac:dyDescent="0.2">
      <c r="A58" s="4" t="s">
        <v>15</v>
      </c>
      <c r="B58" s="51" t="s">
        <v>138</v>
      </c>
      <c r="C58" s="4" t="s">
        <v>1798</v>
      </c>
      <c r="D58" s="4"/>
      <c r="E58" s="4" t="s">
        <v>17</v>
      </c>
      <c r="F58" s="4"/>
      <c r="G58" s="4" t="s">
        <v>15</v>
      </c>
    </row>
    <row r="59" spans="1:7" ht="48" outlineLevel="3" x14ac:dyDescent="0.2">
      <c r="A59" s="4" t="s">
        <v>15</v>
      </c>
      <c r="B59" s="35" t="s">
        <v>1178</v>
      </c>
      <c r="C59" s="4" t="s">
        <v>1799</v>
      </c>
      <c r="D59" s="4" t="s">
        <v>1922</v>
      </c>
      <c r="E59" s="4" t="s">
        <v>17</v>
      </c>
      <c r="F59" s="4" t="s">
        <v>1922</v>
      </c>
      <c r="G59" s="4" t="s">
        <v>21</v>
      </c>
    </row>
    <row r="60" spans="1:7" ht="16" outlineLevel="4" x14ac:dyDescent="0.2">
      <c r="A60" s="4" t="s">
        <v>15</v>
      </c>
      <c r="B60" s="51" t="s">
        <v>138</v>
      </c>
      <c r="C60" s="4" t="s">
        <v>1800</v>
      </c>
      <c r="D60" s="4" t="s">
        <v>1303</v>
      </c>
      <c r="E60" s="4" t="s">
        <v>17</v>
      </c>
      <c r="F60" s="4"/>
      <c r="G60" s="4" t="s">
        <v>15</v>
      </c>
    </row>
    <row r="61" spans="1:7" ht="16" outlineLevel="4" x14ac:dyDescent="0.2">
      <c r="A61" s="4" t="s">
        <v>15</v>
      </c>
      <c r="B61" s="51" t="s">
        <v>138</v>
      </c>
      <c r="C61" s="4" t="s">
        <v>1801</v>
      </c>
      <c r="D61" s="4"/>
      <c r="E61" s="4" t="s">
        <v>17</v>
      </c>
      <c r="F61" s="4"/>
      <c r="G61" s="4" t="s">
        <v>15</v>
      </c>
    </row>
    <row r="62" spans="1:7" ht="32" outlineLevel="2" x14ac:dyDescent="0.2">
      <c r="A62" s="4" t="s">
        <v>15</v>
      </c>
      <c r="B62" s="51" t="s">
        <v>1178</v>
      </c>
      <c r="C62" s="4" t="s">
        <v>2278</v>
      </c>
      <c r="D62" s="4" t="s">
        <v>2292</v>
      </c>
      <c r="E62" s="4" t="s">
        <v>17</v>
      </c>
      <c r="F62" s="4" t="s">
        <v>2292</v>
      </c>
      <c r="G62" s="4" t="s">
        <v>15</v>
      </c>
    </row>
    <row r="63" spans="1:7" ht="16" outlineLevel="3" x14ac:dyDescent="0.2">
      <c r="A63" s="4" t="s">
        <v>15</v>
      </c>
      <c r="B63" s="35" t="s">
        <v>1178</v>
      </c>
      <c r="C63" s="4" t="s">
        <v>1802</v>
      </c>
      <c r="D63" s="4" t="s">
        <v>2286</v>
      </c>
      <c r="E63" s="4" t="s">
        <v>17</v>
      </c>
      <c r="F63" s="4" t="s">
        <v>1906</v>
      </c>
      <c r="G63" s="4" t="s">
        <v>21</v>
      </c>
    </row>
    <row r="64" spans="1:7" ht="16" outlineLevel="4" x14ac:dyDescent="0.2">
      <c r="A64" s="4" t="s">
        <v>15</v>
      </c>
      <c r="B64" s="51" t="s">
        <v>138</v>
      </c>
      <c r="C64" s="4" t="s">
        <v>1803</v>
      </c>
      <c r="D64" s="4"/>
      <c r="E64" s="4" t="s">
        <v>17</v>
      </c>
      <c r="F64" s="4"/>
      <c r="G64" s="4" t="s">
        <v>15</v>
      </c>
    </row>
    <row r="65" spans="1:7" ht="17" customHeight="1" outlineLevel="4" x14ac:dyDescent="0.2">
      <c r="A65" s="4" t="s">
        <v>15</v>
      </c>
      <c r="B65" s="51" t="s">
        <v>138</v>
      </c>
      <c r="C65" s="4" t="s">
        <v>1804</v>
      </c>
      <c r="D65" s="4"/>
      <c r="E65" s="4" t="s">
        <v>17</v>
      </c>
      <c r="F65" s="4"/>
      <c r="G65" s="4" t="s">
        <v>15</v>
      </c>
    </row>
    <row r="66" spans="1:7" ht="16" outlineLevel="4" x14ac:dyDescent="0.2">
      <c r="A66" s="4" t="s">
        <v>15</v>
      </c>
      <c r="B66" s="51" t="s">
        <v>138</v>
      </c>
      <c r="C66" s="4" t="s">
        <v>1805</v>
      </c>
      <c r="D66" s="4"/>
      <c r="E66" s="4" t="s">
        <v>17</v>
      </c>
      <c r="F66" s="4"/>
      <c r="G66" s="4" t="s">
        <v>15</v>
      </c>
    </row>
    <row r="67" spans="1:7" ht="16" outlineLevel="4" x14ac:dyDescent="0.2">
      <c r="A67" s="4" t="s">
        <v>15</v>
      </c>
      <c r="B67" s="51" t="s">
        <v>138</v>
      </c>
      <c r="C67" s="4" t="s">
        <v>1806</v>
      </c>
      <c r="D67" s="4"/>
      <c r="E67" s="4" t="s">
        <v>17</v>
      </c>
      <c r="F67" s="4"/>
      <c r="G67" s="4" t="s">
        <v>15</v>
      </c>
    </row>
    <row r="68" spans="1:7" ht="16" outlineLevel="4" x14ac:dyDescent="0.2">
      <c r="A68" s="4" t="s">
        <v>15</v>
      </c>
      <c r="B68" s="51" t="s">
        <v>138</v>
      </c>
      <c r="C68" s="4" t="s">
        <v>1807</v>
      </c>
      <c r="D68" s="4"/>
      <c r="E68" s="4" t="s">
        <v>17</v>
      </c>
      <c r="F68" s="4"/>
      <c r="G68" s="4" t="s">
        <v>15</v>
      </c>
    </row>
    <row r="69" spans="1:7" ht="16" outlineLevel="4" x14ac:dyDescent="0.2">
      <c r="A69" s="4" t="s">
        <v>15</v>
      </c>
      <c r="B69" s="51" t="s">
        <v>138</v>
      </c>
      <c r="C69" s="4" t="s">
        <v>1808</v>
      </c>
      <c r="D69" s="4"/>
      <c r="E69" s="4" t="s">
        <v>17</v>
      </c>
      <c r="F69" s="4"/>
      <c r="G69" s="4" t="s">
        <v>15</v>
      </c>
    </row>
    <row r="70" spans="1:7" ht="16" outlineLevel="2" x14ac:dyDescent="0.2">
      <c r="A70" s="4" t="s">
        <v>15</v>
      </c>
      <c r="B70" s="53" t="s">
        <v>1178</v>
      </c>
      <c r="C70" s="4" t="s">
        <v>2280</v>
      </c>
      <c r="D70" s="4" t="s">
        <v>2287</v>
      </c>
      <c r="E70" s="4" t="s">
        <v>17</v>
      </c>
      <c r="F70" s="4" t="s">
        <v>2287</v>
      </c>
      <c r="G70" s="4"/>
    </row>
    <row r="71" spans="1:7" ht="16" customHeight="1" outlineLevel="3" x14ac:dyDescent="0.2">
      <c r="A71" s="4" t="s">
        <v>15</v>
      </c>
      <c r="B71" s="35" t="s">
        <v>1178</v>
      </c>
      <c r="C71" s="4" t="s">
        <v>1809</v>
      </c>
      <c r="D71" s="4" t="s">
        <v>1921</v>
      </c>
      <c r="E71" s="4" t="s">
        <v>17</v>
      </c>
      <c r="F71" s="4" t="s">
        <v>1921</v>
      </c>
      <c r="G71" s="4" t="s">
        <v>21</v>
      </c>
    </row>
    <row r="72" spans="1:7" ht="20" customHeight="1" outlineLevel="4" x14ac:dyDescent="0.2">
      <c r="A72" s="4" t="s">
        <v>15</v>
      </c>
      <c r="B72" s="51" t="s">
        <v>138</v>
      </c>
      <c r="C72" s="4" t="s">
        <v>1810</v>
      </c>
      <c r="D72" s="4" t="s">
        <v>1303</v>
      </c>
      <c r="E72" s="4" t="s">
        <v>17</v>
      </c>
      <c r="F72" s="4"/>
      <c r="G72" s="4" t="s">
        <v>15</v>
      </c>
    </row>
    <row r="73" spans="1:7" ht="21" customHeight="1" outlineLevel="4" x14ac:dyDescent="0.2">
      <c r="A73" s="4" t="s">
        <v>15</v>
      </c>
      <c r="B73" s="51" t="s">
        <v>138</v>
      </c>
      <c r="C73" s="4" t="s">
        <v>1811</v>
      </c>
      <c r="D73" s="4"/>
      <c r="E73" s="4" t="s">
        <v>17</v>
      </c>
      <c r="F73" s="4"/>
      <c r="G73" s="4" t="s">
        <v>15</v>
      </c>
    </row>
    <row r="74" spans="1:7" ht="20" customHeight="1" outlineLevel="4" x14ac:dyDescent="0.2">
      <c r="A74" s="4" t="s">
        <v>15</v>
      </c>
      <c r="B74" s="51" t="s">
        <v>138</v>
      </c>
      <c r="C74" s="4" t="s">
        <v>1812</v>
      </c>
      <c r="D74" s="4"/>
      <c r="E74" s="4" t="s">
        <v>17</v>
      </c>
      <c r="F74" s="4"/>
      <c r="G74" s="4" t="s">
        <v>15</v>
      </c>
    </row>
    <row r="75" spans="1:7" ht="25" customHeight="1" outlineLevel="4" x14ac:dyDescent="0.2">
      <c r="A75" s="4" t="s">
        <v>15</v>
      </c>
      <c r="B75" s="51" t="s">
        <v>138</v>
      </c>
      <c r="C75" s="4" t="s">
        <v>1813</v>
      </c>
      <c r="D75" s="4"/>
      <c r="E75" s="4" t="s">
        <v>17</v>
      </c>
      <c r="F75" s="4"/>
      <c r="G75" s="4" t="s">
        <v>15</v>
      </c>
    </row>
    <row r="76" spans="1:7" ht="32" outlineLevel="3" x14ac:dyDescent="0.2">
      <c r="A76" s="4" t="s">
        <v>15</v>
      </c>
      <c r="B76" s="35" t="s">
        <v>1178</v>
      </c>
      <c r="C76" s="4" t="s">
        <v>1814</v>
      </c>
      <c r="D76" s="4" t="s">
        <v>1920</v>
      </c>
      <c r="E76" s="4" t="s">
        <v>17</v>
      </c>
      <c r="F76" s="4" t="s">
        <v>1920</v>
      </c>
      <c r="G76" s="4" t="s">
        <v>21</v>
      </c>
    </row>
    <row r="77" spans="1:7" ht="16" outlineLevel="4" x14ac:dyDescent="0.2">
      <c r="A77" s="4" t="s">
        <v>15</v>
      </c>
      <c r="B77" s="51" t="s">
        <v>138</v>
      </c>
      <c r="C77" s="4" t="s">
        <v>1815</v>
      </c>
      <c r="D77" s="4" t="s">
        <v>1303</v>
      </c>
      <c r="E77" s="4" t="s">
        <v>17</v>
      </c>
      <c r="F77" s="4"/>
      <c r="G77" s="4" t="s">
        <v>15</v>
      </c>
    </row>
    <row r="78" spans="1:7" ht="16" outlineLevel="4" x14ac:dyDescent="0.2">
      <c r="A78" s="4" t="s">
        <v>15</v>
      </c>
      <c r="B78" s="51" t="s">
        <v>138</v>
      </c>
      <c r="C78" s="4" t="s">
        <v>1816</v>
      </c>
      <c r="D78" s="4"/>
      <c r="E78" s="4" t="s">
        <v>17</v>
      </c>
      <c r="F78" s="4"/>
      <c r="G78" s="4" t="s">
        <v>15</v>
      </c>
    </row>
    <row r="79" spans="1:7" ht="16" outlineLevel="4" x14ac:dyDescent="0.2">
      <c r="A79" s="4" t="s">
        <v>15</v>
      </c>
      <c r="B79" s="51" t="s">
        <v>138</v>
      </c>
      <c r="C79" s="4" t="s">
        <v>1817</v>
      </c>
      <c r="D79" s="4"/>
      <c r="E79" s="4" t="s">
        <v>17</v>
      </c>
      <c r="F79" s="4"/>
      <c r="G79" s="4" t="s">
        <v>15</v>
      </c>
    </row>
    <row r="80" spans="1:7" ht="16" outlineLevel="4" x14ac:dyDescent="0.2">
      <c r="A80" s="4" t="s">
        <v>15</v>
      </c>
      <c r="B80" s="51" t="s">
        <v>138</v>
      </c>
      <c r="C80" s="4" t="s">
        <v>1818</v>
      </c>
      <c r="D80" s="4"/>
      <c r="E80" s="4" t="s">
        <v>17</v>
      </c>
      <c r="F80" s="4"/>
      <c r="G80" s="4" t="s">
        <v>15</v>
      </c>
    </row>
    <row r="81" spans="1:7" ht="16" outlineLevel="4" x14ac:dyDescent="0.2">
      <c r="A81" s="4" t="s">
        <v>15</v>
      </c>
      <c r="B81" s="51" t="s">
        <v>138</v>
      </c>
      <c r="C81" s="4" t="s">
        <v>1819</v>
      </c>
      <c r="D81" s="4"/>
      <c r="E81" s="4" t="s">
        <v>17</v>
      </c>
      <c r="F81" s="4"/>
      <c r="G81" s="4" t="s">
        <v>15</v>
      </c>
    </row>
    <row r="82" spans="1:7" ht="16" outlineLevel="4" x14ac:dyDescent="0.2">
      <c r="A82" s="4" t="s">
        <v>15</v>
      </c>
      <c r="B82" s="51" t="s">
        <v>138</v>
      </c>
      <c r="C82" s="4" t="s">
        <v>1820</v>
      </c>
      <c r="D82" s="4"/>
      <c r="E82" s="4" t="s">
        <v>17</v>
      </c>
      <c r="F82" s="4"/>
      <c r="G82" s="4" t="s">
        <v>15</v>
      </c>
    </row>
    <row r="83" spans="1:7" ht="16" outlineLevel="1" x14ac:dyDescent="0.2">
      <c r="A83" s="4" t="s">
        <v>15</v>
      </c>
      <c r="B83" t="s">
        <v>1178</v>
      </c>
      <c r="C83" s="4" t="s">
        <v>1908</v>
      </c>
      <c r="D83" s="4" t="s">
        <v>1907</v>
      </c>
      <c r="E83" s="4" t="s">
        <v>17</v>
      </c>
      <c r="F83" s="56" t="s">
        <v>1907</v>
      </c>
      <c r="G83" s="4"/>
    </row>
    <row r="84" spans="1:7" ht="16" outlineLevel="2" x14ac:dyDescent="0.2">
      <c r="A84" s="4" t="s">
        <v>15</v>
      </c>
      <c r="B84" s="35" t="s">
        <v>1178</v>
      </c>
      <c r="C84" s="4" t="s">
        <v>2283</v>
      </c>
      <c r="D84" s="4" t="s">
        <v>2288</v>
      </c>
      <c r="E84" s="4" t="s">
        <v>17</v>
      </c>
      <c r="F84" s="4" t="s">
        <v>2288</v>
      </c>
      <c r="G84" s="4"/>
    </row>
    <row r="85" spans="1:7" ht="32" outlineLevel="2" x14ac:dyDescent="0.2">
      <c r="A85" s="4" t="s">
        <v>15</v>
      </c>
      <c r="B85" s="35" t="s">
        <v>1178</v>
      </c>
      <c r="C85" s="4" t="s">
        <v>1821</v>
      </c>
      <c r="D85" s="4" t="s">
        <v>2290</v>
      </c>
      <c r="E85" s="4" t="s">
        <v>17</v>
      </c>
      <c r="F85" s="4" t="s">
        <v>1897</v>
      </c>
      <c r="G85" s="4" t="s">
        <v>21</v>
      </c>
    </row>
    <row r="86" spans="1:7" ht="16" outlineLevel="2" x14ac:dyDescent="0.2">
      <c r="A86" s="4" t="s">
        <v>15</v>
      </c>
      <c r="B86" s="51" t="s">
        <v>138</v>
      </c>
      <c r="C86" s="4" t="s">
        <v>1822</v>
      </c>
      <c r="D86" s="4" t="s">
        <v>1303</v>
      </c>
      <c r="E86" s="4" t="s">
        <v>17</v>
      </c>
      <c r="F86" s="4"/>
      <c r="G86" s="4" t="s">
        <v>15</v>
      </c>
    </row>
    <row r="87" spans="1:7" ht="16" outlineLevel="2" x14ac:dyDescent="0.2">
      <c r="A87" s="4" t="s">
        <v>15</v>
      </c>
      <c r="B87" s="51" t="s">
        <v>138</v>
      </c>
      <c r="C87" s="4" t="s">
        <v>1823</v>
      </c>
      <c r="D87" s="4"/>
      <c r="E87" s="4" t="s">
        <v>17</v>
      </c>
      <c r="F87" s="4"/>
      <c r="G87" s="4" t="s">
        <v>15</v>
      </c>
    </row>
    <row r="88" spans="1:7" ht="16" outlineLevel="2" x14ac:dyDescent="0.2">
      <c r="A88" s="4" t="s">
        <v>15</v>
      </c>
      <c r="B88" s="53" t="s">
        <v>1178</v>
      </c>
      <c r="C88" s="4" t="s">
        <v>2282</v>
      </c>
      <c r="D88" s="4" t="s">
        <v>2289</v>
      </c>
      <c r="E88" s="4" t="s">
        <v>17</v>
      </c>
      <c r="F88" s="4" t="s">
        <v>2289</v>
      </c>
      <c r="G88" s="4" t="s">
        <v>15</v>
      </c>
    </row>
    <row r="89" spans="1:7" ht="32" outlineLevel="2" x14ac:dyDescent="0.2">
      <c r="A89" s="4" t="s">
        <v>15</v>
      </c>
      <c r="B89" s="35" t="s">
        <v>1178</v>
      </c>
      <c r="C89" s="4" t="s">
        <v>1824</v>
      </c>
      <c r="D89" s="4" t="s">
        <v>2291</v>
      </c>
      <c r="E89" s="4" t="s">
        <v>17</v>
      </c>
      <c r="F89" s="4" t="s">
        <v>1898</v>
      </c>
      <c r="G89" s="4" t="s">
        <v>21</v>
      </c>
    </row>
    <row r="90" spans="1:7" ht="16" outlineLevel="2" x14ac:dyDescent="0.2">
      <c r="A90" s="4" t="s">
        <v>15</v>
      </c>
      <c r="B90" s="51" t="s">
        <v>138</v>
      </c>
      <c r="C90" s="4" t="s">
        <v>1825</v>
      </c>
      <c r="D90" s="4" t="s">
        <v>1303</v>
      </c>
      <c r="E90" s="4" t="s">
        <v>17</v>
      </c>
      <c r="F90" s="4"/>
      <c r="G90" s="4" t="s">
        <v>15</v>
      </c>
    </row>
    <row r="91" spans="1:7" ht="16" outlineLevel="2" x14ac:dyDescent="0.2">
      <c r="A91" s="4" t="s">
        <v>15</v>
      </c>
      <c r="B91" s="51" t="s">
        <v>138</v>
      </c>
      <c r="C91" s="4" t="s">
        <v>1826</v>
      </c>
      <c r="D91" s="4"/>
      <c r="E91" s="4" t="s">
        <v>17</v>
      </c>
      <c r="F91" s="4"/>
      <c r="G91" s="4" t="s">
        <v>15</v>
      </c>
    </row>
    <row r="92" spans="1:7" ht="16" outlineLevel="2" x14ac:dyDescent="0.2">
      <c r="A92" s="4" t="s">
        <v>15</v>
      </c>
      <c r="B92" s="51" t="s">
        <v>138</v>
      </c>
      <c r="C92" s="4" t="s">
        <v>1827</v>
      </c>
      <c r="D92" s="4"/>
      <c r="E92" s="4" t="s">
        <v>17</v>
      </c>
      <c r="F92" s="4"/>
      <c r="G92" s="4" t="s">
        <v>15</v>
      </c>
    </row>
    <row r="93" spans="1:7" ht="16" outlineLevel="2" x14ac:dyDescent="0.2">
      <c r="A93" s="4" t="s">
        <v>15</v>
      </c>
      <c r="B93" s="51" t="s">
        <v>138</v>
      </c>
      <c r="C93" s="4" t="s">
        <v>1828</v>
      </c>
      <c r="D93" s="4"/>
      <c r="E93" s="4" t="s">
        <v>17</v>
      </c>
      <c r="F93" s="4"/>
      <c r="G93" s="4" t="s">
        <v>15</v>
      </c>
    </row>
    <row r="94" spans="1:7" ht="64" outlineLevel="2" x14ac:dyDescent="0.2">
      <c r="A94" s="4" t="s">
        <v>15</v>
      </c>
      <c r="B94" s="35" t="s">
        <v>1178</v>
      </c>
      <c r="C94" s="4" t="s">
        <v>1829</v>
      </c>
      <c r="D94" s="4" t="s">
        <v>1899</v>
      </c>
      <c r="E94" s="4" t="s">
        <v>17</v>
      </c>
      <c r="F94" s="4" t="s">
        <v>1899</v>
      </c>
      <c r="G94" s="4" t="s">
        <v>21</v>
      </c>
    </row>
    <row r="95" spans="1:7" ht="16" outlineLevel="2" x14ac:dyDescent="0.2">
      <c r="A95" s="4" t="s">
        <v>15</v>
      </c>
      <c r="B95" s="51" t="s">
        <v>138</v>
      </c>
      <c r="C95" s="4" t="s">
        <v>1830</v>
      </c>
      <c r="D95" s="4" t="s">
        <v>1303</v>
      </c>
      <c r="E95" s="4" t="s">
        <v>17</v>
      </c>
      <c r="F95" s="4"/>
      <c r="G95" s="4" t="s">
        <v>15</v>
      </c>
    </row>
    <row r="96" spans="1:7" ht="16" outlineLevel="2" x14ac:dyDescent="0.2">
      <c r="A96" s="4" t="s">
        <v>15</v>
      </c>
      <c r="B96" s="52" t="s">
        <v>16</v>
      </c>
      <c r="C96" s="4" t="s">
        <v>1831</v>
      </c>
      <c r="D96" s="4"/>
      <c r="E96" s="4" t="s">
        <v>17</v>
      </c>
      <c r="F96" s="4"/>
      <c r="G96" s="4" t="s">
        <v>15</v>
      </c>
    </row>
    <row r="97" spans="1:7" ht="16" outlineLevel="2" x14ac:dyDescent="0.2">
      <c r="A97" s="4" t="s">
        <v>15</v>
      </c>
      <c r="B97" s="52" t="s">
        <v>16</v>
      </c>
      <c r="C97" s="4" t="s">
        <v>1832</v>
      </c>
      <c r="D97" s="4"/>
      <c r="E97" s="4" t="s">
        <v>17</v>
      </c>
      <c r="F97" s="4"/>
      <c r="G97" s="4" t="s">
        <v>15</v>
      </c>
    </row>
    <row r="98" spans="1:7" ht="16" outlineLevel="2" x14ac:dyDescent="0.2">
      <c r="A98" s="4" t="s">
        <v>15</v>
      </c>
      <c r="B98" s="52" t="s">
        <v>16</v>
      </c>
      <c r="C98" s="4" t="s">
        <v>1833</v>
      </c>
      <c r="D98" s="4"/>
      <c r="E98" s="4" t="s">
        <v>17</v>
      </c>
      <c r="F98" s="4"/>
      <c r="G98" s="4" t="s">
        <v>15</v>
      </c>
    </row>
    <row r="99" spans="1:7" ht="16" outlineLevel="2" x14ac:dyDescent="0.2">
      <c r="A99" s="4" t="s">
        <v>15</v>
      </c>
      <c r="B99" s="51" t="s">
        <v>138</v>
      </c>
      <c r="C99" s="4" t="s">
        <v>1834</v>
      </c>
      <c r="D99" s="4"/>
      <c r="E99" s="4" t="s">
        <v>17</v>
      </c>
      <c r="F99" s="4"/>
      <c r="G99" s="4" t="s">
        <v>15</v>
      </c>
    </row>
    <row r="100" spans="1:7" ht="16" outlineLevel="2" x14ac:dyDescent="0.2">
      <c r="A100" s="4" t="s">
        <v>15</v>
      </c>
      <c r="B100" s="51" t="s">
        <v>138</v>
      </c>
      <c r="C100" s="4" t="s">
        <v>1835</v>
      </c>
      <c r="D100" s="4"/>
      <c r="E100" s="4" t="s">
        <v>17</v>
      </c>
      <c r="F100" s="4"/>
      <c r="G100" s="4" t="s">
        <v>15</v>
      </c>
    </row>
    <row r="101" spans="1:7" ht="16" outlineLevel="2" x14ac:dyDescent="0.2">
      <c r="A101" s="4" t="s">
        <v>15</v>
      </c>
      <c r="B101" s="51" t="s">
        <v>138</v>
      </c>
      <c r="C101" s="4" t="s">
        <v>1836</v>
      </c>
      <c r="D101" s="4"/>
      <c r="E101" s="4" t="s">
        <v>17</v>
      </c>
      <c r="F101" s="4"/>
      <c r="G101" s="4" t="s">
        <v>15</v>
      </c>
    </row>
    <row r="102" spans="1:7" ht="16" outlineLevel="2" x14ac:dyDescent="0.2">
      <c r="A102" s="4" t="s">
        <v>15</v>
      </c>
      <c r="B102" s="51" t="s">
        <v>138</v>
      </c>
      <c r="C102" s="4" t="s">
        <v>1837</v>
      </c>
      <c r="D102" s="4"/>
      <c r="E102" s="4" t="s">
        <v>17</v>
      </c>
      <c r="F102" s="4"/>
      <c r="G102" s="4" t="s">
        <v>15</v>
      </c>
    </row>
    <row r="103" spans="1:7" ht="48" outlineLevel="2" x14ac:dyDescent="0.2">
      <c r="A103" s="4" t="s">
        <v>15</v>
      </c>
      <c r="B103" s="35" t="s">
        <v>1178</v>
      </c>
      <c r="C103" s="4" t="s">
        <v>1838</v>
      </c>
      <c r="D103" s="4" t="s">
        <v>1900</v>
      </c>
      <c r="E103" s="4" t="s">
        <v>17</v>
      </c>
      <c r="F103" s="4" t="s">
        <v>1900</v>
      </c>
      <c r="G103" s="4" t="s">
        <v>21</v>
      </c>
    </row>
    <row r="104" spans="1:7" ht="16" outlineLevel="2" x14ac:dyDescent="0.2">
      <c r="A104" s="4" t="s">
        <v>15</v>
      </c>
      <c r="B104" s="51" t="s">
        <v>138</v>
      </c>
      <c r="C104" s="4" t="s">
        <v>1839</v>
      </c>
      <c r="D104" s="4" t="s">
        <v>1303</v>
      </c>
      <c r="E104" s="4" t="s">
        <v>17</v>
      </c>
      <c r="F104" s="4"/>
      <c r="G104" s="4" t="s">
        <v>15</v>
      </c>
    </row>
    <row r="105" spans="1:7" ht="16" outlineLevel="2" x14ac:dyDescent="0.2">
      <c r="A105" s="4" t="s">
        <v>15</v>
      </c>
      <c r="B105" s="51" t="s">
        <v>138</v>
      </c>
      <c r="C105" s="4" t="s">
        <v>1840</v>
      </c>
      <c r="D105" s="4"/>
      <c r="E105" s="4" t="s">
        <v>17</v>
      </c>
      <c r="F105" s="4"/>
      <c r="G105" s="4" t="s">
        <v>15</v>
      </c>
    </row>
    <row r="106" spans="1:7" ht="16" outlineLevel="2" x14ac:dyDescent="0.2">
      <c r="A106" s="4" t="s">
        <v>15</v>
      </c>
      <c r="B106" s="51" t="s">
        <v>138</v>
      </c>
      <c r="C106" s="4" t="s">
        <v>1841</v>
      </c>
      <c r="D106" s="4"/>
      <c r="E106" s="4" t="s">
        <v>17</v>
      </c>
      <c r="F106" s="4"/>
      <c r="G106" s="4" t="s">
        <v>15</v>
      </c>
    </row>
    <row r="107" spans="1:7" ht="16" outlineLevel="2" x14ac:dyDescent="0.2">
      <c r="A107" s="4" t="s">
        <v>15</v>
      </c>
      <c r="B107" s="51" t="s">
        <v>138</v>
      </c>
      <c r="C107" s="4" t="s">
        <v>1842</v>
      </c>
      <c r="D107" s="4"/>
      <c r="E107" s="4" t="s">
        <v>17</v>
      </c>
      <c r="F107" s="4"/>
      <c r="G107" s="4" t="s">
        <v>15</v>
      </c>
    </row>
    <row r="108" spans="1:7" ht="16" outlineLevel="2" x14ac:dyDescent="0.2">
      <c r="A108" s="4" t="s">
        <v>15</v>
      </c>
      <c r="B108" s="51" t="s">
        <v>138</v>
      </c>
      <c r="C108" s="4" t="s">
        <v>1843</v>
      </c>
      <c r="D108" s="4"/>
      <c r="E108" s="4" t="s">
        <v>17</v>
      </c>
      <c r="F108" s="4"/>
      <c r="G108" s="4" t="s">
        <v>15</v>
      </c>
    </row>
    <row r="109" spans="1:7" ht="16" outlineLevel="2" x14ac:dyDescent="0.2">
      <c r="A109" s="4" t="s">
        <v>15</v>
      </c>
      <c r="B109" s="51" t="s">
        <v>138</v>
      </c>
      <c r="C109" s="4" t="s">
        <v>1844</v>
      </c>
      <c r="D109" s="4"/>
      <c r="E109" s="4" t="s">
        <v>17</v>
      </c>
      <c r="F109" s="4"/>
      <c r="G109" s="4" t="s">
        <v>15</v>
      </c>
    </row>
    <row r="110" spans="1:7" ht="16" outlineLevel="2" x14ac:dyDescent="0.2">
      <c r="A110" s="4" t="s">
        <v>15</v>
      </c>
      <c r="B110" s="51" t="s">
        <v>138</v>
      </c>
      <c r="C110" s="4" t="s">
        <v>1845</v>
      </c>
      <c r="D110" s="4"/>
      <c r="E110" s="4" t="s">
        <v>17</v>
      </c>
      <c r="F110" s="4"/>
      <c r="G110" s="4" t="s">
        <v>15</v>
      </c>
    </row>
    <row r="111" spans="1:7" ht="64" outlineLevel="2" x14ac:dyDescent="0.2">
      <c r="A111" s="4" t="s">
        <v>15</v>
      </c>
      <c r="B111" s="35" t="s">
        <v>1178</v>
      </c>
      <c r="C111" s="4" t="s">
        <v>1846</v>
      </c>
      <c r="D111" s="4" t="s">
        <v>1901</v>
      </c>
      <c r="E111" s="4" t="s">
        <v>17</v>
      </c>
      <c r="F111" s="4" t="s">
        <v>1901</v>
      </c>
      <c r="G111" s="4" t="s">
        <v>21</v>
      </c>
    </row>
    <row r="112" spans="1:7" ht="16" outlineLevel="2" x14ac:dyDescent="0.2">
      <c r="A112" s="4" t="s">
        <v>15</v>
      </c>
      <c r="B112" s="51" t="s">
        <v>138</v>
      </c>
      <c r="C112" s="4" t="s">
        <v>1847</v>
      </c>
      <c r="D112" s="4" t="s">
        <v>1303</v>
      </c>
      <c r="E112" s="4" t="s">
        <v>17</v>
      </c>
      <c r="F112" s="4"/>
      <c r="G112" s="4" t="s">
        <v>15</v>
      </c>
    </row>
    <row r="113" spans="1:7" ht="16" outlineLevel="2" x14ac:dyDescent="0.2">
      <c r="A113" s="4" t="s">
        <v>15</v>
      </c>
      <c r="B113" s="51" t="s">
        <v>138</v>
      </c>
      <c r="C113" s="4" t="s">
        <v>1848</v>
      </c>
      <c r="D113" s="4"/>
      <c r="E113" s="4" t="s">
        <v>17</v>
      </c>
      <c r="F113" s="4"/>
      <c r="G113" s="4" t="s">
        <v>15</v>
      </c>
    </row>
    <row r="114" spans="1:7" ht="16" outlineLevel="2" x14ac:dyDescent="0.2">
      <c r="A114" s="4" t="s">
        <v>15</v>
      </c>
      <c r="B114" s="51" t="s">
        <v>138</v>
      </c>
      <c r="C114" s="4" t="s">
        <v>1849</v>
      </c>
      <c r="D114" s="4"/>
      <c r="E114" s="4" t="s">
        <v>17</v>
      </c>
      <c r="F114" s="4"/>
      <c r="G114" s="4" t="s">
        <v>15</v>
      </c>
    </row>
    <row r="115" spans="1:7" ht="16" outlineLevel="2" x14ac:dyDescent="0.2">
      <c r="A115" s="4" t="s">
        <v>15</v>
      </c>
      <c r="B115" s="51" t="s">
        <v>138</v>
      </c>
      <c r="C115" s="4" t="s">
        <v>1850</v>
      </c>
      <c r="D115" s="4"/>
      <c r="E115" s="4" t="s">
        <v>17</v>
      </c>
      <c r="F115" s="4"/>
      <c r="G115" s="4" t="s">
        <v>15</v>
      </c>
    </row>
    <row r="116" spans="1:7" ht="64" outlineLevel="2" x14ac:dyDescent="0.2">
      <c r="A116" s="4" t="s">
        <v>15</v>
      </c>
      <c r="B116" s="35" t="s">
        <v>1178</v>
      </c>
      <c r="C116" s="4" t="s">
        <v>1851</v>
      </c>
      <c r="D116" s="4" t="s">
        <v>1902</v>
      </c>
      <c r="E116" s="4" t="s">
        <v>17</v>
      </c>
      <c r="F116" s="4" t="s">
        <v>1902</v>
      </c>
      <c r="G116" s="4" t="s">
        <v>21</v>
      </c>
    </row>
    <row r="117" spans="1:7" ht="16" outlineLevel="2" x14ac:dyDescent="0.2">
      <c r="A117" s="4" t="s">
        <v>15</v>
      </c>
      <c r="B117" s="51" t="s">
        <v>138</v>
      </c>
      <c r="C117" s="4" t="s">
        <v>1852</v>
      </c>
      <c r="D117" s="4" t="s">
        <v>1303</v>
      </c>
      <c r="E117" s="4" t="s">
        <v>17</v>
      </c>
      <c r="F117" s="4"/>
      <c r="G117" s="4" t="s">
        <v>15</v>
      </c>
    </row>
    <row r="118" spans="1:7" ht="16" outlineLevel="2" x14ac:dyDescent="0.2">
      <c r="A118" s="4" t="s">
        <v>15</v>
      </c>
      <c r="B118" s="52" t="s">
        <v>16</v>
      </c>
      <c r="C118" s="4" t="s">
        <v>1853</v>
      </c>
      <c r="D118" s="4"/>
      <c r="E118" s="4" t="s">
        <v>17</v>
      </c>
      <c r="F118" s="4"/>
      <c r="G118" s="4" t="s">
        <v>15</v>
      </c>
    </row>
    <row r="119" spans="1:7" ht="16" outlineLevel="2" x14ac:dyDescent="0.2">
      <c r="A119" s="4" t="s">
        <v>15</v>
      </c>
      <c r="B119" s="52" t="s">
        <v>16</v>
      </c>
      <c r="C119" s="4" t="s">
        <v>1854</v>
      </c>
      <c r="D119" s="4"/>
      <c r="E119" s="4" t="s">
        <v>17</v>
      </c>
      <c r="F119" s="4"/>
      <c r="G119" s="4" t="s">
        <v>15</v>
      </c>
    </row>
    <row r="120" spans="1:7" ht="16" outlineLevel="2" x14ac:dyDescent="0.2">
      <c r="A120" s="4" t="s">
        <v>15</v>
      </c>
      <c r="B120" s="52" t="s">
        <v>16</v>
      </c>
      <c r="C120" s="4" t="s">
        <v>1855</v>
      </c>
      <c r="D120" s="4"/>
      <c r="E120" s="4" t="s">
        <v>17</v>
      </c>
      <c r="F120" s="4"/>
      <c r="G120" s="4" t="s">
        <v>15</v>
      </c>
    </row>
    <row r="121" spans="1:7" ht="16" outlineLevel="2" x14ac:dyDescent="0.2">
      <c r="A121" s="4" t="s">
        <v>15</v>
      </c>
      <c r="B121" s="51" t="s">
        <v>138</v>
      </c>
      <c r="C121" s="4" t="s">
        <v>1856</v>
      </c>
      <c r="D121" s="4"/>
      <c r="E121" s="4" t="s">
        <v>17</v>
      </c>
      <c r="F121" s="4"/>
      <c r="G121" s="4" t="s">
        <v>15</v>
      </c>
    </row>
    <row r="122" spans="1:7" ht="16" outlineLevel="2" x14ac:dyDescent="0.2">
      <c r="A122" s="4" t="s">
        <v>15</v>
      </c>
      <c r="B122" s="51" t="s">
        <v>138</v>
      </c>
      <c r="C122" s="4" t="s">
        <v>1857</v>
      </c>
      <c r="D122" s="4"/>
      <c r="E122" s="4" t="s">
        <v>17</v>
      </c>
      <c r="F122" s="4"/>
      <c r="G122" s="4" t="s">
        <v>15</v>
      </c>
    </row>
    <row r="123" spans="1:7" ht="16" outlineLevel="2" x14ac:dyDescent="0.2">
      <c r="A123" s="4" t="s">
        <v>15</v>
      </c>
      <c r="B123" s="51" t="s">
        <v>138</v>
      </c>
      <c r="C123" s="4" t="s">
        <v>1858</v>
      </c>
      <c r="D123" s="4"/>
      <c r="E123" s="4" t="s">
        <v>17</v>
      </c>
      <c r="F123" s="4"/>
      <c r="G123" s="4" t="s">
        <v>15</v>
      </c>
    </row>
    <row r="124" spans="1:7" ht="16" outlineLevel="2" x14ac:dyDescent="0.2">
      <c r="A124" s="4" t="s">
        <v>15</v>
      </c>
      <c r="B124" s="51" t="s">
        <v>138</v>
      </c>
      <c r="C124" s="4" t="s">
        <v>1859</v>
      </c>
      <c r="D124" s="4"/>
      <c r="E124" s="4" t="s">
        <v>17</v>
      </c>
      <c r="F124" s="4"/>
      <c r="G124" s="4" t="s">
        <v>15</v>
      </c>
    </row>
    <row r="125" spans="1:7" ht="64" outlineLevel="2" x14ac:dyDescent="0.2">
      <c r="A125" s="4" t="s">
        <v>15</v>
      </c>
      <c r="B125" s="35" t="s">
        <v>1178</v>
      </c>
      <c r="C125" s="4" t="s">
        <v>1860</v>
      </c>
      <c r="D125" s="4" t="s">
        <v>1903</v>
      </c>
      <c r="E125" s="4" t="s">
        <v>17</v>
      </c>
      <c r="F125" s="4" t="s">
        <v>1903</v>
      </c>
      <c r="G125" s="4" t="s">
        <v>21</v>
      </c>
    </row>
    <row r="126" spans="1:7" ht="16" outlineLevel="2" x14ac:dyDescent="0.2">
      <c r="A126" s="4" t="s">
        <v>15</v>
      </c>
      <c r="B126" s="51" t="s">
        <v>138</v>
      </c>
      <c r="C126" s="4" t="s">
        <v>1861</v>
      </c>
      <c r="D126" s="4" t="s">
        <v>1303</v>
      </c>
      <c r="E126" s="4" t="s">
        <v>17</v>
      </c>
      <c r="F126" s="4"/>
      <c r="G126" s="4" t="s">
        <v>15</v>
      </c>
    </row>
    <row r="127" spans="1:7" ht="16" outlineLevel="2" x14ac:dyDescent="0.2">
      <c r="A127" s="4" t="s">
        <v>15</v>
      </c>
      <c r="B127" s="51" t="s">
        <v>138</v>
      </c>
      <c r="C127" s="4" t="s">
        <v>1862</v>
      </c>
      <c r="D127" s="4"/>
      <c r="E127" s="4" t="s">
        <v>17</v>
      </c>
      <c r="F127" s="4"/>
      <c r="G127" s="4" t="s">
        <v>15</v>
      </c>
    </row>
    <row r="128" spans="1:7" ht="16" outlineLevel="2" x14ac:dyDescent="0.2">
      <c r="A128" s="4" t="s">
        <v>15</v>
      </c>
      <c r="B128" s="51" t="s">
        <v>138</v>
      </c>
      <c r="C128" s="4" t="s">
        <v>1863</v>
      </c>
      <c r="D128" s="4"/>
      <c r="E128" s="4" t="s">
        <v>17</v>
      </c>
      <c r="F128" s="4"/>
      <c r="G128" s="4" t="s">
        <v>15</v>
      </c>
    </row>
    <row r="129" spans="1:7" ht="16" outlineLevel="2" x14ac:dyDescent="0.2">
      <c r="A129" s="4" t="s">
        <v>15</v>
      </c>
      <c r="B129" s="51" t="s">
        <v>138</v>
      </c>
      <c r="C129" s="4" t="s">
        <v>1864</v>
      </c>
      <c r="D129" s="4"/>
      <c r="E129" s="4" t="s">
        <v>17</v>
      </c>
      <c r="F129" s="4"/>
      <c r="G129" s="4" t="s">
        <v>15</v>
      </c>
    </row>
    <row r="130" spans="1:7" ht="32" outlineLevel="2" x14ac:dyDescent="0.2">
      <c r="A130" s="4" t="s">
        <v>15</v>
      </c>
      <c r="B130" s="35" t="s">
        <v>1178</v>
      </c>
      <c r="C130" s="4" t="s">
        <v>1865</v>
      </c>
      <c r="D130" s="4" t="s">
        <v>2298</v>
      </c>
      <c r="E130" s="4" t="s">
        <v>17</v>
      </c>
      <c r="F130" s="4" t="s">
        <v>2298</v>
      </c>
      <c r="G130" s="4" t="s">
        <v>21</v>
      </c>
    </row>
    <row r="131" spans="1:7" ht="16" outlineLevel="2" x14ac:dyDescent="0.2">
      <c r="A131" s="4" t="s">
        <v>15</v>
      </c>
      <c r="B131" s="51" t="s">
        <v>138</v>
      </c>
      <c r="C131" s="4" t="s">
        <v>1866</v>
      </c>
      <c r="D131" s="4" t="s">
        <v>1303</v>
      </c>
      <c r="E131" s="4" t="s">
        <v>17</v>
      </c>
      <c r="F131" s="4"/>
      <c r="G131" s="4" t="s">
        <v>15</v>
      </c>
    </row>
    <row r="132" spans="1:7" ht="16" outlineLevel="2" x14ac:dyDescent="0.2">
      <c r="A132" s="4" t="s">
        <v>15</v>
      </c>
      <c r="B132" s="51" t="s">
        <v>138</v>
      </c>
      <c r="C132" s="4" t="s">
        <v>1867</v>
      </c>
      <c r="D132" s="4"/>
      <c r="E132" s="4" t="s">
        <v>17</v>
      </c>
      <c r="F132" s="4"/>
      <c r="G132" s="4" t="s">
        <v>15</v>
      </c>
    </row>
    <row r="133" spans="1:7" ht="16" outlineLevel="2" x14ac:dyDescent="0.2">
      <c r="A133" s="4" t="s">
        <v>15</v>
      </c>
      <c r="B133" s="51" t="s">
        <v>138</v>
      </c>
      <c r="C133" s="4" t="s">
        <v>1868</v>
      </c>
      <c r="D133" s="4"/>
      <c r="E133" s="4" t="s">
        <v>17</v>
      </c>
      <c r="F133" s="4"/>
      <c r="G133" s="4" t="s">
        <v>15</v>
      </c>
    </row>
    <row r="134" spans="1:7" ht="16" outlineLevel="2" x14ac:dyDescent="0.2">
      <c r="A134" s="4" t="s">
        <v>15</v>
      </c>
      <c r="B134" s="51" t="s">
        <v>138</v>
      </c>
      <c r="C134" s="4" t="s">
        <v>1869</v>
      </c>
      <c r="D134" s="4"/>
      <c r="E134" s="4" t="s">
        <v>17</v>
      </c>
      <c r="F134" s="4"/>
      <c r="G134" s="4" t="s">
        <v>15</v>
      </c>
    </row>
    <row r="135" spans="1:7" ht="48" outlineLevel="2" x14ac:dyDescent="0.2">
      <c r="A135" s="4" t="s">
        <v>15</v>
      </c>
      <c r="B135" s="35" t="s">
        <v>1178</v>
      </c>
      <c r="C135" s="4" t="s">
        <v>1870</v>
      </c>
      <c r="D135" s="4" t="s">
        <v>2293</v>
      </c>
      <c r="E135" s="4" t="s">
        <v>17</v>
      </c>
      <c r="F135" s="4" t="s">
        <v>1904</v>
      </c>
      <c r="G135" s="4" t="s">
        <v>21</v>
      </c>
    </row>
    <row r="136" spans="1:7" ht="16" outlineLevel="2" x14ac:dyDescent="0.2">
      <c r="A136" s="4" t="s">
        <v>15</v>
      </c>
      <c r="B136" s="51" t="s">
        <v>138</v>
      </c>
      <c r="C136" s="4" t="s">
        <v>1871</v>
      </c>
      <c r="D136" s="4" t="s">
        <v>1303</v>
      </c>
      <c r="E136" s="4" t="s">
        <v>17</v>
      </c>
      <c r="F136" s="4"/>
      <c r="G136" s="4" t="s">
        <v>15</v>
      </c>
    </row>
    <row r="137" spans="1:7" ht="16" outlineLevel="2" x14ac:dyDescent="0.2">
      <c r="A137" s="4" t="s">
        <v>15</v>
      </c>
      <c r="B137" s="51" t="s">
        <v>138</v>
      </c>
      <c r="C137" s="4" t="s">
        <v>1872</v>
      </c>
      <c r="D137" s="4"/>
      <c r="E137" s="4" t="s">
        <v>17</v>
      </c>
      <c r="F137" s="4"/>
      <c r="G137" s="4" t="s">
        <v>15</v>
      </c>
    </row>
    <row r="138" spans="1:7" ht="16" outlineLevel="2" x14ac:dyDescent="0.2">
      <c r="A138" s="4" t="s">
        <v>15</v>
      </c>
      <c r="B138" s="51" t="s">
        <v>138</v>
      </c>
      <c r="C138" s="4" t="s">
        <v>1873</v>
      </c>
      <c r="D138" s="4"/>
      <c r="E138" s="4" t="s">
        <v>17</v>
      </c>
      <c r="F138" s="4"/>
      <c r="G138" s="4" t="s">
        <v>15</v>
      </c>
    </row>
    <row r="139" spans="1:7" ht="16" outlineLevel="2" x14ac:dyDescent="0.2">
      <c r="A139" s="4" t="s">
        <v>15</v>
      </c>
      <c r="B139" s="51" t="s">
        <v>138</v>
      </c>
      <c r="C139" s="4" t="s">
        <v>1874</v>
      </c>
      <c r="D139" s="4"/>
      <c r="E139" s="4" t="s">
        <v>17</v>
      </c>
      <c r="F139" s="4"/>
      <c r="G139" s="4" t="s">
        <v>15</v>
      </c>
    </row>
    <row r="140" spans="1:7" ht="48" outlineLevel="2" x14ac:dyDescent="0.2">
      <c r="A140" s="4" t="s">
        <v>15</v>
      </c>
      <c r="B140" s="35" t="s">
        <v>1178</v>
      </c>
      <c r="C140" s="4" t="s">
        <v>1875</v>
      </c>
      <c r="D140" s="4" t="s">
        <v>1905</v>
      </c>
      <c r="E140" s="4" t="s">
        <v>17</v>
      </c>
      <c r="F140" s="4" t="s">
        <v>1905</v>
      </c>
      <c r="G140" s="4" t="s">
        <v>21</v>
      </c>
    </row>
    <row r="141" spans="1:7" ht="16" outlineLevel="3" x14ac:dyDescent="0.2">
      <c r="A141" s="4" t="s">
        <v>15</v>
      </c>
      <c r="B141" s="51" t="s">
        <v>138</v>
      </c>
      <c r="C141" s="4" t="s">
        <v>1876</v>
      </c>
      <c r="D141" s="4" t="s">
        <v>1303</v>
      </c>
      <c r="E141" s="4" t="s">
        <v>17</v>
      </c>
      <c r="F141" s="4"/>
      <c r="G141" s="4" t="s">
        <v>15</v>
      </c>
    </row>
    <row r="142" spans="1:7" ht="16" outlineLevel="3" x14ac:dyDescent="0.2">
      <c r="A142" s="4" t="s">
        <v>15</v>
      </c>
      <c r="B142" s="51" t="s">
        <v>138</v>
      </c>
      <c r="C142" s="4" t="s">
        <v>1877</v>
      </c>
      <c r="D142" s="4"/>
      <c r="E142" s="4" t="s">
        <v>17</v>
      </c>
      <c r="F142" s="4"/>
      <c r="G142" s="4" t="s">
        <v>15</v>
      </c>
    </row>
    <row r="143" spans="1:7" ht="16" outlineLevel="2" x14ac:dyDescent="0.2">
      <c r="A143" s="4" t="s">
        <v>15</v>
      </c>
      <c r="B143" s="51" t="s">
        <v>1178</v>
      </c>
      <c r="C143" s="4" t="s">
        <v>2281</v>
      </c>
      <c r="D143" s="4" t="s">
        <v>2295</v>
      </c>
      <c r="E143" s="4" t="s">
        <v>17</v>
      </c>
      <c r="F143" s="4" t="s">
        <v>2295</v>
      </c>
      <c r="G143" s="4" t="s">
        <v>15</v>
      </c>
    </row>
    <row r="144" spans="1:7" ht="16" outlineLevel="3" x14ac:dyDescent="0.2">
      <c r="A144" s="4" t="s">
        <v>15</v>
      </c>
      <c r="B144" s="35" t="s">
        <v>1178</v>
      </c>
      <c r="C144" s="4" t="s">
        <v>1878</v>
      </c>
      <c r="D144" s="4" t="s">
        <v>2294</v>
      </c>
      <c r="E144" s="4" t="s">
        <v>17</v>
      </c>
      <c r="F144" s="4" t="s">
        <v>2294</v>
      </c>
      <c r="G144" s="4" t="s">
        <v>21</v>
      </c>
    </row>
    <row r="145" spans="1:7" ht="16" outlineLevel="4" x14ac:dyDescent="0.2">
      <c r="A145" s="4" t="s">
        <v>15</v>
      </c>
      <c r="B145" s="51" t="s">
        <v>138</v>
      </c>
      <c r="C145" s="4" t="s">
        <v>1879</v>
      </c>
      <c r="D145" s="4" t="s">
        <v>1303</v>
      </c>
      <c r="E145" s="4" t="s">
        <v>17</v>
      </c>
      <c r="F145" s="4"/>
      <c r="G145" s="4" t="s">
        <v>15</v>
      </c>
    </row>
    <row r="146" spans="1:7" ht="16" outlineLevel="4" x14ac:dyDescent="0.2">
      <c r="A146" s="4" t="s">
        <v>15</v>
      </c>
      <c r="B146" s="51" t="s">
        <v>138</v>
      </c>
      <c r="C146" s="4" t="s">
        <v>1880</v>
      </c>
      <c r="D146" s="4"/>
      <c r="E146" s="4" t="s">
        <v>17</v>
      </c>
      <c r="F146" s="4"/>
      <c r="G146" s="4" t="s">
        <v>15</v>
      </c>
    </row>
    <row r="147" spans="1:7" ht="16" outlineLevel="4" x14ac:dyDescent="0.2">
      <c r="A147" s="4" t="s">
        <v>15</v>
      </c>
      <c r="B147" s="51" t="s">
        <v>138</v>
      </c>
      <c r="C147" s="4" t="s">
        <v>1881</v>
      </c>
      <c r="D147" s="4"/>
      <c r="E147" s="4" t="s">
        <v>17</v>
      </c>
      <c r="F147" s="4"/>
      <c r="G147" s="4" t="s">
        <v>15</v>
      </c>
    </row>
    <row r="148" spans="1:7" ht="16" outlineLevel="4" x14ac:dyDescent="0.2">
      <c r="A148" s="4" t="s">
        <v>15</v>
      </c>
      <c r="B148" s="51" t="s">
        <v>138</v>
      </c>
      <c r="C148" s="4" t="s">
        <v>1882</v>
      </c>
      <c r="D148" s="4"/>
      <c r="E148" s="4" t="s">
        <v>17</v>
      </c>
      <c r="F148" s="4"/>
      <c r="G148" s="4" t="s">
        <v>15</v>
      </c>
    </row>
    <row r="149" spans="1:7" ht="16" outlineLevel="4" x14ac:dyDescent="0.2">
      <c r="A149" s="4" t="s">
        <v>15</v>
      </c>
      <c r="B149" s="51" t="s">
        <v>138</v>
      </c>
      <c r="C149" s="4" t="s">
        <v>1883</v>
      </c>
      <c r="D149" s="4"/>
      <c r="E149" s="4" t="s">
        <v>17</v>
      </c>
      <c r="F149" s="4"/>
      <c r="G149" s="4" t="s">
        <v>15</v>
      </c>
    </row>
    <row r="150" spans="1:7" ht="16" outlineLevel="4" x14ac:dyDescent="0.2">
      <c r="A150" s="4" t="s">
        <v>15</v>
      </c>
      <c r="B150" s="51" t="s">
        <v>138</v>
      </c>
      <c r="C150" s="4" t="s">
        <v>1884</v>
      </c>
      <c r="D150" s="4"/>
      <c r="E150" s="4" t="s">
        <v>17</v>
      </c>
      <c r="F150" s="4"/>
      <c r="G150" s="4" t="s">
        <v>15</v>
      </c>
    </row>
    <row r="151" spans="1:7" ht="32" outlineLevel="2" x14ac:dyDescent="0.2">
      <c r="A151" s="4" t="s">
        <v>15</v>
      </c>
      <c r="B151" s="53" t="s">
        <v>1178</v>
      </c>
      <c r="C151" s="4" t="s">
        <v>2284</v>
      </c>
      <c r="D151" s="4" t="s">
        <v>2296</v>
      </c>
      <c r="E151" s="4" t="s">
        <v>17</v>
      </c>
      <c r="F151" s="4" t="s">
        <v>2296</v>
      </c>
      <c r="G151" s="4"/>
    </row>
    <row r="152" spans="1:7" ht="32" outlineLevel="3" x14ac:dyDescent="0.2">
      <c r="A152" s="4" t="s">
        <v>15</v>
      </c>
      <c r="B152" s="35" t="s">
        <v>1178</v>
      </c>
      <c r="C152" s="4" t="s">
        <v>1885</v>
      </c>
      <c r="D152" s="4" t="s">
        <v>2297</v>
      </c>
      <c r="E152" s="4" t="s">
        <v>17</v>
      </c>
      <c r="F152" s="4" t="s">
        <v>2297</v>
      </c>
      <c r="G152" s="4" t="s">
        <v>21</v>
      </c>
    </row>
    <row r="153" spans="1:7" ht="16" outlineLevel="4" x14ac:dyDescent="0.2">
      <c r="A153" s="4" t="s">
        <v>15</v>
      </c>
      <c r="B153" s="51" t="s">
        <v>138</v>
      </c>
      <c r="C153" s="4" t="s">
        <v>1886</v>
      </c>
      <c r="D153" s="4" t="s">
        <v>1303</v>
      </c>
      <c r="E153" s="4" t="s">
        <v>17</v>
      </c>
      <c r="F153" s="4"/>
      <c r="G153" s="4" t="s">
        <v>15</v>
      </c>
    </row>
    <row r="154" spans="1:7" ht="16" outlineLevel="4" x14ac:dyDescent="0.2">
      <c r="A154" s="4" t="s">
        <v>15</v>
      </c>
      <c r="B154" s="51" t="s">
        <v>138</v>
      </c>
      <c r="C154" s="4" t="s">
        <v>1887</v>
      </c>
      <c r="D154" s="4"/>
      <c r="E154" s="4" t="s">
        <v>17</v>
      </c>
      <c r="F154" s="4"/>
      <c r="G154" s="4" t="s">
        <v>15</v>
      </c>
    </row>
    <row r="155" spans="1:7" ht="16" outlineLevel="4" x14ac:dyDescent="0.2">
      <c r="A155" s="4" t="s">
        <v>15</v>
      </c>
      <c r="B155" s="51" t="s">
        <v>138</v>
      </c>
      <c r="C155" s="4" t="s">
        <v>1888</v>
      </c>
      <c r="D155" s="4"/>
      <c r="E155" s="4" t="s">
        <v>17</v>
      </c>
      <c r="F155" s="4"/>
      <c r="G155" s="4" t="s">
        <v>15</v>
      </c>
    </row>
    <row r="156" spans="1:7" ht="16" outlineLevel="4" x14ac:dyDescent="0.2">
      <c r="A156" s="4" t="s">
        <v>15</v>
      </c>
      <c r="B156" s="51" t="s">
        <v>138</v>
      </c>
      <c r="C156" s="4" t="s">
        <v>1889</v>
      </c>
      <c r="D156" s="4"/>
      <c r="E156" s="4" t="s">
        <v>17</v>
      </c>
      <c r="F156" s="4"/>
      <c r="G156" s="4" t="s">
        <v>15</v>
      </c>
    </row>
    <row r="157" spans="1:7" ht="32" outlineLevel="3" x14ac:dyDescent="0.2">
      <c r="A157" s="4" t="s">
        <v>15</v>
      </c>
      <c r="B157" s="35" t="s">
        <v>1178</v>
      </c>
      <c r="C157" s="4" t="s">
        <v>1890</v>
      </c>
      <c r="D157" s="4" t="s">
        <v>1920</v>
      </c>
      <c r="E157" s="4" t="s">
        <v>17</v>
      </c>
      <c r="F157" s="4" t="s">
        <v>1920</v>
      </c>
      <c r="G157" s="4" t="s">
        <v>21</v>
      </c>
    </row>
    <row r="158" spans="1:7" ht="16" outlineLevel="4" x14ac:dyDescent="0.2">
      <c r="A158" s="4" t="s">
        <v>15</v>
      </c>
      <c r="B158" s="51" t="s">
        <v>138</v>
      </c>
      <c r="C158" s="4" t="s">
        <v>1891</v>
      </c>
      <c r="D158" s="4" t="s">
        <v>1303</v>
      </c>
      <c r="E158" s="4" t="s">
        <v>17</v>
      </c>
      <c r="F158" s="4"/>
      <c r="G158" s="4" t="s">
        <v>15</v>
      </c>
    </row>
    <row r="159" spans="1:7" ht="16" outlineLevel="4" x14ac:dyDescent="0.2">
      <c r="A159" s="4" t="s">
        <v>15</v>
      </c>
      <c r="B159" s="51" t="s">
        <v>138</v>
      </c>
      <c r="C159" s="4" t="s">
        <v>1892</v>
      </c>
      <c r="D159" s="4"/>
      <c r="E159" s="4" t="s">
        <v>17</v>
      </c>
      <c r="F159" s="4"/>
      <c r="G159" s="4" t="s">
        <v>15</v>
      </c>
    </row>
    <row r="160" spans="1:7" ht="16" outlineLevel="4" x14ac:dyDescent="0.2">
      <c r="A160" s="4" t="s">
        <v>15</v>
      </c>
      <c r="B160" s="51" t="s">
        <v>138</v>
      </c>
      <c r="C160" s="4" t="s">
        <v>1893</v>
      </c>
      <c r="D160" s="4"/>
      <c r="E160" s="4" t="s">
        <v>17</v>
      </c>
      <c r="F160" s="4"/>
      <c r="G160" s="4" t="s">
        <v>15</v>
      </c>
    </row>
    <row r="161" spans="1:7" ht="16" outlineLevel="4" x14ac:dyDescent="0.2">
      <c r="A161" s="4" t="s">
        <v>15</v>
      </c>
      <c r="B161" s="51" t="s">
        <v>138</v>
      </c>
      <c r="C161" s="4" t="s">
        <v>1894</v>
      </c>
      <c r="D161" s="4"/>
      <c r="E161" s="4" t="s">
        <v>17</v>
      </c>
      <c r="F161" s="4"/>
      <c r="G161" s="4" t="s">
        <v>15</v>
      </c>
    </row>
    <row r="162" spans="1:7" ht="17" customHeight="1" outlineLevel="4" x14ac:dyDescent="0.2">
      <c r="A162" s="4" t="s">
        <v>15</v>
      </c>
      <c r="B162" s="51" t="s">
        <v>138</v>
      </c>
      <c r="C162" s="4" t="s">
        <v>1895</v>
      </c>
      <c r="D162" s="4"/>
      <c r="E162" s="4" t="s">
        <v>17</v>
      </c>
      <c r="F162" s="4"/>
      <c r="G162" s="4" t="s">
        <v>15</v>
      </c>
    </row>
    <row r="163" spans="1:7" ht="16" outlineLevel="4" x14ac:dyDescent="0.2">
      <c r="A163" s="4" t="s">
        <v>15</v>
      </c>
      <c r="B163" s="51" t="s">
        <v>138</v>
      </c>
      <c r="C163" s="4" t="s">
        <v>1896</v>
      </c>
      <c r="D163" s="4"/>
      <c r="E163" s="4" t="s">
        <v>17</v>
      </c>
      <c r="F163" s="4"/>
      <c r="G163" s="4" t="s">
        <v>15</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Enums</vt:lpstr>
      <vt:lpstr>VVB Account Registration</vt:lpstr>
      <vt:lpstr>Project Proponent</vt:lpstr>
      <vt:lpstr>Project Description</vt:lpstr>
      <vt:lpstr>Monitoring Report</vt:lpstr>
      <vt:lpstr>Validation Reports</vt:lpstr>
      <vt:lpstr>Verification Reports</vt:lpstr>
      <vt:lpstr>Reductions Removals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2026-02-06T18:12:06Z</dcterms:created>
  <dcterms:modified xsi:type="dcterms:W3CDTF">2026-07-22T20:09:43Z</dcterms:modified>
  <cp:category/>
</cp:coreProperties>
</file>